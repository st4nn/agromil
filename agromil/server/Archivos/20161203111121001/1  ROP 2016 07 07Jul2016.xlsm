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espinosa\Downloads\"/>
    </mc:Choice>
  </mc:AlternateContent>
  <bookViews>
    <workbookView xWindow="0" yWindow="0" windowWidth="20490" windowHeight="7635" tabRatio="682" activeTab="1"/>
  </bookViews>
  <sheets>
    <sheet name="_control" sheetId="1" r:id="rId1"/>
    <sheet name="Consolidado" sheetId="2" r:id="rId2"/>
    <sheet name="Hoja1" sheetId="4" r:id="rId3"/>
    <sheet name="Reporte WO" sheetId="3" state="hidden" r:id="rId4"/>
  </sheets>
  <functionGroups builtInGroupCount="18"/>
  <externalReferences>
    <externalReference r:id="rId5"/>
  </externalReferences>
  <definedNames>
    <definedName name="_xlnm._FilterDatabase" localSheetId="1" hidden="1">Consolidado!$A$9:$Y$258</definedName>
    <definedName name="_xlnm.Print_Area" localSheetId="1">Consolidado!$A$1:$X$241</definedName>
    <definedName name="_xlnm.Print_Titles" localSheetId="1">Consolidado!$1:$9</definedName>
    <definedName name="Z_1762FAF3_23CF_40D2_BD75_20B953FDC76D_.wvu.Cols" localSheetId="1" hidden="1">Consolidado!$B:$D,Consolidado!$G:$H,Consolidado!$J:$R,Consolidado!$Y:$Y</definedName>
    <definedName name="Z_1762FAF3_23CF_40D2_BD75_20B953FDC76D_.wvu.FilterData" localSheetId="1" hidden="1">Consolidado!$A$9:$X$238</definedName>
  </definedNames>
  <calcPr calcId="152511"/>
  <customWorkbookViews>
    <customWorkbookView name="Jose Luis Tovar - Vista personalizada" guid="{1762FAF3-23CF-40D2-BD75-20B953FDC76D}" mergeInterval="0" personalView="1" maximized="1" xWindow="-8" yWindow="-8" windowWidth="1382" windowHeight="744" tabRatio="831" activeSheetId="2" showComments="commIndAndComment"/>
  </customWorkbookViews>
</workbook>
</file>

<file path=xl/calcChain.xml><?xml version="1.0" encoding="utf-8"?>
<calcChain xmlns="http://schemas.openxmlformats.org/spreadsheetml/2006/main">
  <c r="S258" i="2" l="1"/>
  <c r="R258" i="2"/>
  <c r="P258" i="2"/>
  <c r="K258" i="2"/>
  <c r="I258" i="2"/>
  <c r="S257" i="2"/>
  <c r="R257" i="2"/>
  <c r="P257" i="2"/>
  <c r="K257" i="2"/>
  <c r="I257" i="2"/>
  <c r="S256" i="2"/>
  <c r="R256" i="2"/>
  <c r="P256" i="2"/>
  <c r="K256" i="2"/>
  <c r="I256" i="2"/>
  <c r="S255" i="2"/>
  <c r="R255" i="2"/>
  <c r="P255" i="2"/>
  <c r="K255" i="2"/>
  <c r="I255" i="2"/>
  <c r="S254" i="2"/>
  <c r="R254" i="2"/>
  <c r="P254" i="2"/>
  <c r="K254" i="2"/>
  <c r="I254" i="2"/>
  <c r="S253" i="2"/>
  <c r="R253" i="2"/>
  <c r="P253" i="2"/>
  <c r="K253" i="2"/>
  <c r="I253" i="2"/>
  <c r="S252" i="2"/>
  <c r="R252" i="2"/>
  <c r="P252" i="2"/>
  <c r="K252" i="2"/>
  <c r="I252" i="2"/>
  <c r="S251" i="2"/>
  <c r="R251" i="2"/>
  <c r="P251" i="2"/>
  <c r="K251" i="2"/>
  <c r="I251" i="2"/>
  <c r="S250" i="2"/>
  <c r="R250" i="2"/>
  <c r="P250" i="2"/>
  <c r="K250" i="2"/>
  <c r="I250" i="2"/>
  <c r="S249" i="2"/>
  <c r="R249" i="2"/>
  <c r="P249" i="2"/>
  <c r="K249" i="2"/>
  <c r="I249" i="2"/>
  <c r="S248" i="2"/>
  <c r="R248" i="2"/>
  <c r="P248" i="2"/>
  <c r="K248" i="2"/>
  <c r="I248" i="2"/>
  <c r="S247" i="2"/>
  <c r="R247" i="2"/>
  <c r="P247" i="2"/>
  <c r="K247" i="2"/>
  <c r="I247" i="2"/>
  <c r="S246" i="2"/>
  <c r="R246" i="2"/>
  <c r="P246" i="2"/>
  <c r="K246" i="2"/>
  <c r="I246" i="2"/>
  <c r="S245" i="2"/>
  <c r="R245" i="2"/>
  <c r="P245" i="2"/>
  <c r="K245" i="2"/>
  <c r="I245" i="2"/>
  <c r="S244" i="2"/>
  <c r="R244" i="2"/>
  <c r="P244" i="2"/>
  <c r="K244" i="2"/>
  <c r="I244" i="2"/>
  <c r="S243" i="2"/>
  <c r="R243" i="2"/>
  <c r="P243" i="2"/>
  <c r="K243" i="2"/>
  <c r="I243" i="2"/>
  <c r="S242" i="2"/>
  <c r="R242" i="2"/>
  <c r="P242" i="2"/>
  <c r="K242" i="2"/>
  <c r="I242" i="2"/>
  <c r="S241" i="2"/>
  <c r="R241" i="2"/>
  <c r="P241" i="2"/>
  <c r="K241" i="2"/>
  <c r="I241" i="2"/>
  <c r="S240" i="2"/>
  <c r="R240" i="2"/>
  <c r="P240" i="2"/>
  <c r="K240" i="2"/>
  <c r="I240" i="2"/>
  <c r="S239" i="2"/>
  <c r="R239" i="2"/>
  <c r="P239" i="2"/>
  <c r="K239" i="2"/>
  <c r="I239" i="2"/>
  <c r="S238" i="2"/>
  <c r="R238" i="2"/>
  <c r="P238" i="2"/>
  <c r="K238" i="2"/>
  <c r="I238" i="2"/>
  <c r="S237" i="2"/>
  <c r="R237" i="2"/>
  <c r="P237" i="2"/>
  <c r="K237" i="2"/>
  <c r="I237" i="2"/>
  <c r="S236" i="2"/>
  <c r="R236" i="2"/>
  <c r="P236" i="2"/>
  <c r="K236" i="2"/>
  <c r="I236" i="2"/>
  <c r="S235" i="2"/>
  <c r="R235" i="2"/>
  <c r="P235" i="2"/>
  <c r="K235" i="2"/>
  <c r="I235" i="2"/>
  <c r="S234" i="2"/>
  <c r="R234" i="2"/>
  <c r="P234" i="2"/>
  <c r="K234" i="2"/>
  <c r="I234" i="2"/>
  <c r="S233" i="2"/>
  <c r="R233" i="2"/>
  <c r="P233" i="2"/>
  <c r="K233" i="2"/>
  <c r="I233" i="2"/>
  <c r="S232" i="2"/>
  <c r="R232" i="2"/>
  <c r="P232" i="2"/>
  <c r="K232" i="2"/>
  <c r="I232" i="2"/>
  <c r="S231" i="2"/>
  <c r="R231" i="2"/>
  <c r="P231" i="2"/>
  <c r="K231" i="2"/>
  <c r="I231" i="2"/>
  <c r="S230" i="2"/>
  <c r="R230" i="2"/>
  <c r="P230" i="2"/>
  <c r="K230" i="2"/>
  <c r="I230" i="2"/>
  <c r="S229" i="2"/>
  <c r="R229" i="2"/>
  <c r="P229" i="2"/>
  <c r="K229" i="2"/>
  <c r="I229" i="2"/>
  <c r="S228" i="2"/>
  <c r="R228" i="2"/>
  <c r="P228" i="2"/>
  <c r="K228" i="2"/>
  <c r="I228" i="2"/>
  <c r="S227" i="2"/>
  <c r="R227" i="2"/>
  <c r="P227" i="2"/>
  <c r="K227" i="2"/>
  <c r="I227" i="2"/>
  <c r="S226" i="2"/>
  <c r="R226" i="2"/>
  <c r="P226" i="2"/>
  <c r="K226" i="2"/>
  <c r="I226" i="2"/>
  <c r="S225" i="2"/>
  <c r="R225" i="2"/>
  <c r="P225" i="2"/>
  <c r="K225" i="2"/>
  <c r="I225" i="2"/>
  <c r="S224" i="2"/>
  <c r="R224" i="2"/>
  <c r="P224" i="2"/>
  <c r="K224" i="2"/>
  <c r="I224" i="2"/>
  <c r="S223" i="2"/>
  <c r="R223" i="2"/>
  <c r="P223" i="2"/>
  <c r="K223" i="2"/>
  <c r="I223" i="2"/>
  <c r="S222" i="2"/>
  <c r="R222" i="2"/>
  <c r="P222" i="2"/>
  <c r="K222" i="2"/>
  <c r="I222" i="2"/>
  <c r="S221" i="2"/>
  <c r="R221" i="2"/>
  <c r="P221" i="2"/>
  <c r="K221" i="2"/>
  <c r="I221" i="2"/>
  <c r="S220" i="2"/>
  <c r="R220" i="2"/>
  <c r="P220" i="2"/>
  <c r="K220" i="2"/>
  <c r="I220" i="2"/>
  <c r="S219" i="2"/>
  <c r="R219" i="2"/>
  <c r="P219" i="2"/>
  <c r="K219" i="2"/>
  <c r="I219" i="2"/>
  <c r="S218" i="2"/>
  <c r="R218" i="2"/>
  <c r="P218" i="2"/>
  <c r="K218" i="2"/>
  <c r="I218" i="2"/>
  <c r="S217" i="2"/>
  <c r="R217" i="2"/>
  <c r="P217" i="2"/>
  <c r="K217" i="2"/>
  <c r="I217" i="2"/>
  <c r="S216" i="2"/>
  <c r="R216" i="2"/>
  <c r="P216" i="2"/>
  <c r="K216" i="2"/>
  <c r="I216" i="2"/>
  <c r="S215" i="2"/>
  <c r="R215" i="2"/>
  <c r="P215" i="2"/>
  <c r="K215" i="2"/>
  <c r="I215" i="2"/>
  <c r="S214" i="2"/>
  <c r="R214" i="2"/>
  <c r="P214" i="2"/>
  <c r="K214" i="2"/>
  <c r="I214" i="2"/>
  <c r="S213" i="2"/>
  <c r="R213" i="2"/>
  <c r="P213" i="2"/>
  <c r="K213" i="2"/>
  <c r="I213" i="2"/>
  <c r="S212" i="2"/>
  <c r="R212" i="2"/>
  <c r="P212" i="2"/>
  <c r="K212" i="2"/>
  <c r="I212" i="2"/>
  <c r="S211" i="2"/>
  <c r="R211" i="2"/>
  <c r="P211" i="2"/>
  <c r="K211" i="2"/>
  <c r="I211" i="2"/>
  <c r="S210" i="2"/>
  <c r="R210" i="2"/>
  <c r="P210" i="2"/>
  <c r="K210" i="2"/>
  <c r="I210" i="2"/>
  <c r="S209" i="2"/>
  <c r="R209" i="2"/>
  <c r="P209" i="2"/>
  <c r="K209" i="2"/>
  <c r="I209" i="2"/>
  <c r="S208" i="2"/>
  <c r="R208" i="2"/>
  <c r="P208" i="2"/>
  <c r="K208" i="2"/>
  <c r="I208" i="2"/>
  <c r="S207" i="2"/>
  <c r="R207" i="2"/>
  <c r="P207" i="2"/>
  <c r="K207" i="2"/>
  <c r="I207" i="2"/>
  <c r="S206" i="2"/>
  <c r="R206" i="2"/>
  <c r="P206" i="2"/>
  <c r="K206" i="2"/>
  <c r="I206" i="2"/>
  <c r="S205" i="2"/>
  <c r="R205" i="2"/>
  <c r="P205" i="2"/>
  <c r="K205" i="2"/>
  <c r="I205" i="2"/>
  <c r="S204" i="2"/>
  <c r="R204" i="2"/>
  <c r="P204" i="2"/>
  <c r="K204" i="2"/>
  <c r="I204" i="2"/>
  <c r="S203" i="2"/>
  <c r="R203" i="2"/>
  <c r="P203" i="2"/>
  <c r="K203" i="2"/>
  <c r="I203" i="2"/>
  <c r="S202" i="2"/>
  <c r="R202" i="2"/>
  <c r="P202" i="2"/>
  <c r="K202" i="2"/>
  <c r="I202" i="2"/>
  <c r="S201" i="2"/>
  <c r="R201" i="2"/>
  <c r="P201" i="2"/>
  <c r="K201" i="2"/>
  <c r="I201" i="2"/>
  <c r="S200" i="2"/>
  <c r="R200" i="2"/>
  <c r="P200" i="2"/>
  <c r="K200" i="2"/>
  <c r="I200" i="2"/>
  <c r="S199" i="2"/>
  <c r="R199" i="2"/>
  <c r="P199" i="2"/>
  <c r="K199" i="2"/>
  <c r="I199" i="2"/>
  <c r="S198" i="2"/>
  <c r="R198" i="2"/>
  <c r="P198" i="2"/>
  <c r="K198" i="2"/>
  <c r="I198" i="2"/>
  <c r="S197" i="2"/>
  <c r="R197" i="2"/>
  <c r="P197" i="2"/>
  <c r="K197" i="2"/>
  <c r="I197" i="2"/>
  <c r="S196" i="2"/>
  <c r="R196" i="2"/>
  <c r="P196" i="2"/>
  <c r="K196" i="2"/>
  <c r="I196" i="2"/>
  <c r="S195" i="2"/>
  <c r="R195" i="2"/>
  <c r="P195" i="2"/>
  <c r="K195" i="2"/>
  <c r="I195" i="2"/>
  <c r="S194" i="2"/>
  <c r="R194" i="2"/>
  <c r="P194" i="2"/>
  <c r="K194" i="2"/>
  <c r="I194" i="2"/>
  <c r="S193" i="2"/>
  <c r="R193" i="2"/>
  <c r="P193" i="2"/>
  <c r="K193" i="2"/>
  <c r="I193" i="2"/>
  <c r="S192" i="2"/>
  <c r="R192" i="2"/>
  <c r="P192" i="2"/>
  <c r="K192" i="2"/>
  <c r="I192" i="2"/>
  <c r="S191" i="2"/>
  <c r="R191" i="2"/>
  <c r="P191" i="2"/>
  <c r="K191" i="2"/>
  <c r="I191" i="2"/>
  <c r="S190" i="2"/>
  <c r="R190" i="2"/>
  <c r="P190" i="2"/>
  <c r="K190" i="2"/>
  <c r="I190" i="2"/>
  <c r="S189" i="2"/>
  <c r="R189" i="2"/>
  <c r="P189" i="2"/>
  <c r="K189" i="2"/>
  <c r="I189" i="2"/>
  <c r="S188" i="2"/>
  <c r="R188" i="2"/>
  <c r="P188" i="2"/>
  <c r="K188" i="2"/>
  <c r="I188" i="2"/>
  <c r="S187" i="2"/>
  <c r="R187" i="2"/>
  <c r="P187" i="2"/>
  <c r="K187" i="2"/>
  <c r="I187" i="2"/>
  <c r="S186" i="2"/>
  <c r="R186" i="2"/>
  <c r="P186" i="2"/>
  <c r="K186" i="2"/>
  <c r="I186" i="2"/>
  <c r="S185" i="2"/>
  <c r="R185" i="2"/>
  <c r="P185" i="2"/>
  <c r="K185" i="2"/>
  <c r="I185" i="2"/>
  <c r="S184" i="2"/>
  <c r="R184" i="2"/>
  <c r="P184" i="2"/>
  <c r="K184" i="2"/>
  <c r="I184" i="2"/>
  <c r="S183" i="2"/>
  <c r="R183" i="2"/>
  <c r="P183" i="2"/>
  <c r="K183" i="2"/>
  <c r="I183" i="2"/>
  <c r="S182" i="2"/>
  <c r="R182" i="2"/>
  <c r="P182" i="2"/>
  <c r="K182" i="2"/>
  <c r="I182" i="2"/>
  <c r="S181" i="2"/>
  <c r="R181" i="2"/>
  <c r="P181" i="2"/>
  <c r="K181" i="2"/>
  <c r="I181" i="2"/>
  <c r="S180" i="2"/>
  <c r="R180" i="2"/>
  <c r="P180" i="2"/>
  <c r="K180" i="2"/>
  <c r="I180" i="2"/>
  <c r="S179" i="2"/>
  <c r="R179" i="2"/>
  <c r="P179" i="2"/>
  <c r="K179" i="2"/>
  <c r="I179" i="2"/>
  <c r="S178" i="2"/>
  <c r="R178" i="2"/>
  <c r="P178" i="2"/>
  <c r="K178" i="2"/>
  <c r="I178" i="2"/>
  <c r="S177" i="2"/>
  <c r="R177" i="2"/>
  <c r="P177" i="2"/>
  <c r="K177" i="2"/>
  <c r="I177" i="2"/>
  <c r="S176" i="2"/>
  <c r="R176" i="2"/>
  <c r="P176" i="2"/>
  <c r="K176" i="2"/>
  <c r="I176" i="2"/>
  <c r="S175" i="2"/>
  <c r="R175" i="2"/>
  <c r="P175" i="2"/>
  <c r="K175" i="2"/>
  <c r="I175" i="2"/>
  <c r="S174" i="2"/>
  <c r="R174" i="2"/>
  <c r="P174" i="2"/>
  <c r="K174" i="2"/>
  <c r="I174" i="2"/>
  <c r="S173" i="2"/>
  <c r="R173" i="2"/>
  <c r="P173" i="2"/>
  <c r="K173" i="2"/>
  <c r="I173" i="2"/>
  <c r="S172" i="2"/>
  <c r="R172" i="2"/>
  <c r="P172" i="2"/>
  <c r="K172" i="2"/>
  <c r="I172" i="2"/>
  <c r="S171" i="2"/>
  <c r="R171" i="2"/>
  <c r="P171" i="2"/>
  <c r="K171" i="2"/>
  <c r="I171" i="2"/>
  <c r="S170" i="2"/>
  <c r="R170" i="2"/>
  <c r="P170" i="2"/>
  <c r="K170" i="2"/>
  <c r="I170" i="2"/>
  <c r="S169" i="2"/>
  <c r="R169" i="2"/>
  <c r="P169" i="2"/>
  <c r="K169" i="2"/>
  <c r="I169" i="2"/>
  <c r="S168" i="2"/>
  <c r="R168" i="2"/>
  <c r="P168" i="2"/>
  <c r="K168" i="2"/>
  <c r="I168" i="2"/>
  <c r="S167" i="2"/>
  <c r="R167" i="2"/>
  <c r="P167" i="2"/>
  <c r="K167" i="2"/>
  <c r="I167" i="2"/>
  <c r="S166" i="2"/>
  <c r="R166" i="2"/>
  <c r="P166" i="2"/>
  <c r="K166" i="2"/>
  <c r="I166" i="2"/>
  <c r="S165" i="2"/>
  <c r="R165" i="2"/>
  <c r="P165" i="2"/>
  <c r="K165" i="2"/>
  <c r="I165" i="2"/>
  <c r="S164" i="2"/>
  <c r="R164" i="2"/>
  <c r="P164" i="2"/>
  <c r="K164" i="2"/>
  <c r="I164" i="2"/>
  <c r="S163" i="2"/>
  <c r="R163" i="2"/>
  <c r="P163" i="2"/>
  <c r="K163" i="2"/>
  <c r="I163" i="2"/>
  <c r="S162" i="2"/>
  <c r="R162" i="2"/>
  <c r="P162" i="2"/>
  <c r="K162" i="2"/>
  <c r="I162" i="2"/>
  <c r="S161" i="2"/>
  <c r="R161" i="2"/>
  <c r="P161" i="2"/>
  <c r="K161" i="2"/>
  <c r="I161" i="2"/>
  <c r="S160" i="2"/>
  <c r="R160" i="2"/>
  <c r="P160" i="2"/>
  <c r="K160" i="2"/>
  <c r="I160" i="2"/>
  <c r="S159" i="2"/>
  <c r="R159" i="2"/>
  <c r="P159" i="2"/>
  <c r="K159" i="2"/>
  <c r="I159" i="2"/>
  <c r="S158" i="2"/>
  <c r="R158" i="2"/>
  <c r="P158" i="2"/>
  <c r="K158" i="2"/>
  <c r="I158" i="2"/>
  <c r="S157" i="2"/>
  <c r="R157" i="2"/>
  <c r="P157" i="2"/>
  <c r="K157" i="2"/>
  <c r="I157" i="2"/>
  <c r="S156" i="2"/>
  <c r="R156" i="2"/>
  <c r="P156" i="2"/>
  <c r="K156" i="2"/>
  <c r="I156" i="2"/>
  <c r="S155" i="2"/>
  <c r="R155" i="2"/>
  <c r="P155" i="2"/>
  <c r="K155" i="2"/>
  <c r="I155" i="2"/>
  <c r="S154" i="2"/>
  <c r="R154" i="2"/>
  <c r="P154" i="2"/>
  <c r="K154" i="2"/>
  <c r="I154" i="2"/>
  <c r="S153" i="2"/>
  <c r="R153" i="2"/>
  <c r="P153" i="2"/>
  <c r="K153" i="2"/>
  <c r="I153" i="2"/>
  <c r="S152" i="2"/>
  <c r="R152" i="2"/>
  <c r="P152" i="2"/>
  <c r="K152" i="2"/>
  <c r="I152" i="2"/>
  <c r="S151" i="2"/>
  <c r="R151" i="2"/>
  <c r="P151" i="2"/>
  <c r="K151" i="2"/>
  <c r="I151" i="2"/>
  <c r="S150" i="2"/>
  <c r="R150" i="2"/>
  <c r="P150" i="2"/>
  <c r="K150" i="2"/>
  <c r="I150" i="2"/>
  <c r="S149" i="2"/>
  <c r="R149" i="2"/>
  <c r="P149" i="2"/>
  <c r="K149" i="2"/>
  <c r="I149" i="2"/>
  <c r="S148" i="2"/>
  <c r="R148" i="2"/>
  <c r="P148" i="2"/>
  <c r="K148" i="2"/>
  <c r="I148" i="2"/>
  <c r="S147" i="2"/>
  <c r="R147" i="2"/>
  <c r="P147" i="2"/>
  <c r="K147" i="2"/>
  <c r="I147" i="2"/>
  <c r="S146" i="2"/>
  <c r="R146" i="2"/>
  <c r="P146" i="2"/>
  <c r="K146" i="2"/>
  <c r="I146" i="2"/>
  <c r="S145" i="2"/>
  <c r="R145" i="2"/>
  <c r="P145" i="2"/>
  <c r="K145" i="2"/>
  <c r="I145" i="2"/>
  <c r="S144" i="2"/>
  <c r="R144" i="2"/>
  <c r="P144" i="2"/>
  <c r="K144" i="2"/>
  <c r="I144" i="2"/>
  <c r="S143" i="2"/>
  <c r="R143" i="2"/>
  <c r="P143" i="2"/>
  <c r="K143" i="2"/>
  <c r="I143" i="2"/>
  <c r="S142" i="2"/>
  <c r="R142" i="2"/>
  <c r="P142" i="2"/>
  <c r="K142" i="2"/>
  <c r="I142" i="2"/>
  <c r="S141" i="2"/>
  <c r="R141" i="2"/>
  <c r="P141" i="2"/>
  <c r="K141" i="2"/>
  <c r="I141" i="2"/>
  <c r="S140" i="2"/>
  <c r="R140" i="2"/>
  <c r="P140" i="2"/>
  <c r="K140" i="2"/>
  <c r="I140" i="2"/>
  <c r="S139" i="2"/>
  <c r="R139" i="2"/>
  <c r="P139" i="2"/>
  <c r="K139" i="2"/>
  <c r="I139" i="2"/>
  <c r="S138" i="2"/>
  <c r="R138" i="2"/>
  <c r="P138" i="2"/>
  <c r="K138" i="2"/>
  <c r="I138" i="2"/>
  <c r="S137" i="2"/>
  <c r="R137" i="2"/>
  <c r="P137" i="2"/>
  <c r="K137" i="2"/>
  <c r="I137" i="2"/>
  <c r="S136" i="2"/>
  <c r="R136" i="2"/>
  <c r="P136" i="2"/>
  <c r="K136" i="2"/>
  <c r="I136" i="2"/>
  <c r="S135" i="2"/>
  <c r="R135" i="2"/>
  <c r="P135" i="2"/>
  <c r="K135" i="2"/>
  <c r="I135" i="2"/>
  <c r="S134" i="2"/>
  <c r="R134" i="2"/>
  <c r="P134" i="2"/>
  <c r="K134" i="2"/>
  <c r="I134" i="2"/>
  <c r="S133" i="2"/>
  <c r="R133" i="2"/>
  <c r="P133" i="2"/>
  <c r="K133" i="2"/>
  <c r="I133" i="2"/>
  <c r="S132" i="2"/>
  <c r="R132" i="2"/>
  <c r="P132" i="2"/>
  <c r="K132" i="2"/>
  <c r="I132" i="2"/>
  <c r="S131" i="2"/>
  <c r="R131" i="2"/>
  <c r="P131" i="2"/>
  <c r="K131" i="2"/>
  <c r="I131" i="2"/>
  <c r="S130" i="2"/>
  <c r="R130" i="2"/>
  <c r="P130" i="2"/>
  <c r="K130" i="2"/>
  <c r="I130" i="2"/>
  <c r="S129" i="2"/>
  <c r="R129" i="2"/>
  <c r="P129" i="2"/>
  <c r="K129" i="2"/>
  <c r="I129" i="2"/>
  <c r="S128" i="2"/>
  <c r="R128" i="2"/>
  <c r="P128" i="2"/>
  <c r="K128" i="2"/>
  <c r="I128" i="2"/>
  <c r="S127" i="2"/>
  <c r="R127" i="2"/>
  <c r="P127" i="2"/>
  <c r="K127" i="2"/>
  <c r="I127" i="2"/>
  <c r="S126" i="2"/>
  <c r="R126" i="2"/>
  <c r="P126" i="2"/>
  <c r="K126" i="2"/>
  <c r="I126" i="2"/>
  <c r="S125" i="2"/>
  <c r="R125" i="2"/>
  <c r="P125" i="2"/>
  <c r="K125" i="2"/>
  <c r="I125" i="2"/>
  <c r="S124" i="2"/>
  <c r="R124" i="2"/>
  <c r="P124" i="2"/>
  <c r="K124" i="2"/>
  <c r="I124" i="2"/>
  <c r="S123" i="2"/>
  <c r="R123" i="2"/>
  <c r="P123" i="2"/>
  <c r="K123" i="2"/>
  <c r="I123" i="2"/>
  <c r="S122" i="2"/>
  <c r="R122" i="2"/>
  <c r="P122" i="2"/>
  <c r="K122" i="2"/>
  <c r="I122" i="2"/>
  <c r="S121" i="2"/>
  <c r="R121" i="2"/>
  <c r="P121" i="2"/>
  <c r="K121" i="2"/>
  <c r="I121" i="2"/>
  <c r="S120" i="2"/>
  <c r="R120" i="2"/>
  <c r="P120" i="2"/>
  <c r="K120" i="2"/>
  <c r="I120" i="2"/>
  <c r="S119" i="2"/>
  <c r="R119" i="2"/>
  <c r="P119" i="2"/>
  <c r="K119" i="2"/>
  <c r="I119" i="2"/>
  <c r="S118" i="2"/>
  <c r="R118" i="2"/>
  <c r="P118" i="2"/>
  <c r="K118" i="2"/>
  <c r="I118" i="2"/>
  <c r="S117" i="2"/>
  <c r="R117" i="2"/>
  <c r="P117" i="2"/>
  <c r="K117" i="2"/>
  <c r="I117" i="2"/>
  <c r="S116" i="2"/>
  <c r="R116" i="2"/>
  <c r="P116" i="2"/>
  <c r="K116" i="2"/>
  <c r="I116" i="2"/>
  <c r="S115" i="2"/>
  <c r="R115" i="2"/>
  <c r="P115" i="2"/>
  <c r="K115" i="2"/>
  <c r="I115" i="2"/>
  <c r="S114" i="2"/>
  <c r="R114" i="2"/>
  <c r="P114" i="2"/>
  <c r="K114" i="2"/>
  <c r="I114" i="2"/>
  <c r="S113" i="2"/>
  <c r="R113" i="2"/>
  <c r="P113" i="2"/>
  <c r="K113" i="2"/>
  <c r="I113" i="2"/>
  <c r="S112" i="2"/>
  <c r="R112" i="2"/>
  <c r="P112" i="2"/>
  <c r="K112" i="2"/>
  <c r="I112" i="2"/>
  <c r="S111" i="2"/>
  <c r="R111" i="2"/>
  <c r="P111" i="2"/>
  <c r="K111" i="2"/>
  <c r="I111" i="2"/>
  <c r="S110" i="2"/>
  <c r="R110" i="2"/>
  <c r="P110" i="2"/>
  <c r="K110" i="2"/>
  <c r="I110" i="2"/>
  <c r="S109" i="2"/>
  <c r="R109" i="2"/>
  <c r="P109" i="2"/>
  <c r="K109" i="2"/>
  <c r="I109" i="2"/>
  <c r="S108" i="2"/>
  <c r="R108" i="2"/>
  <c r="P108" i="2"/>
  <c r="K108" i="2"/>
  <c r="I108" i="2"/>
  <c r="S107" i="2"/>
  <c r="R107" i="2"/>
  <c r="P107" i="2"/>
  <c r="K107" i="2"/>
  <c r="I107" i="2"/>
  <c r="S106" i="2"/>
  <c r="R106" i="2"/>
  <c r="P106" i="2"/>
  <c r="K106" i="2"/>
  <c r="I106" i="2"/>
  <c r="S105" i="2"/>
  <c r="R105" i="2"/>
  <c r="P105" i="2"/>
  <c r="K105" i="2"/>
  <c r="I105" i="2"/>
  <c r="S104" i="2"/>
  <c r="R104" i="2"/>
  <c r="P104" i="2"/>
  <c r="K104" i="2"/>
  <c r="I104" i="2"/>
  <c r="S103" i="2"/>
  <c r="R103" i="2"/>
  <c r="P103" i="2"/>
  <c r="K103" i="2"/>
  <c r="I103" i="2"/>
  <c r="S102" i="2"/>
  <c r="R102" i="2"/>
  <c r="P102" i="2"/>
  <c r="K102" i="2"/>
  <c r="I102" i="2"/>
  <c r="S101" i="2"/>
  <c r="R101" i="2"/>
  <c r="P101" i="2"/>
  <c r="K101" i="2"/>
  <c r="I101" i="2"/>
  <c r="S100" i="2"/>
  <c r="R100" i="2"/>
  <c r="P100" i="2"/>
  <c r="K100" i="2"/>
  <c r="I100" i="2"/>
  <c r="S99" i="2"/>
  <c r="R99" i="2"/>
  <c r="P99" i="2"/>
  <c r="K99" i="2"/>
  <c r="I99" i="2"/>
  <c r="S98" i="2"/>
  <c r="R98" i="2"/>
  <c r="P98" i="2"/>
  <c r="K98" i="2"/>
  <c r="I98" i="2"/>
  <c r="S97" i="2"/>
  <c r="R97" i="2"/>
  <c r="P97" i="2"/>
  <c r="K97" i="2"/>
  <c r="I97" i="2"/>
  <c r="S96" i="2"/>
  <c r="R96" i="2"/>
  <c r="P96" i="2"/>
  <c r="K96" i="2"/>
  <c r="I96" i="2"/>
  <c r="S95" i="2"/>
  <c r="R95" i="2"/>
  <c r="P95" i="2"/>
  <c r="K95" i="2"/>
  <c r="I95" i="2"/>
  <c r="S94" i="2"/>
  <c r="R94" i="2"/>
  <c r="P94" i="2"/>
  <c r="K94" i="2"/>
  <c r="I94" i="2"/>
  <c r="S93" i="2"/>
  <c r="R93" i="2"/>
  <c r="P93" i="2"/>
  <c r="K93" i="2"/>
  <c r="I93" i="2"/>
  <c r="S92" i="2"/>
  <c r="R92" i="2"/>
  <c r="P92" i="2"/>
  <c r="K92" i="2"/>
  <c r="I92" i="2"/>
  <c r="S91" i="2"/>
  <c r="R91" i="2"/>
  <c r="P91" i="2"/>
  <c r="K91" i="2"/>
  <c r="I91" i="2"/>
  <c r="S90" i="2"/>
  <c r="R90" i="2"/>
  <c r="P90" i="2"/>
  <c r="K90" i="2"/>
  <c r="I90" i="2"/>
  <c r="S89" i="2"/>
  <c r="R89" i="2"/>
  <c r="P89" i="2"/>
  <c r="K89" i="2"/>
  <c r="I89" i="2"/>
  <c r="S88" i="2"/>
  <c r="R88" i="2"/>
  <c r="P88" i="2"/>
  <c r="K88" i="2"/>
  <c r="I88" i="2"/>
  <c r="S87" i="2"/>
  <c r="R87" i="2"/>
  <c r="P87" i="2"/>
  <c r="K87" i="2"/>
  <c r="I87" i="2"/>
  <c r="S86" i="2"/>
  <c r="R86" i="2"/>
  <c r="P86" i="2"/>
  <c r="K86" i="2"/>
  <c r="I86" i="2"/>
  <c r="S85" i="2"/>
  <c r="R85" i="2"/>
  <c r="P85" i="2"/>
  <c r="K85" i="2"/>
  <c r="I85" i="2"/>
  <c r="S84" i="2"/>
  <c r="R84" i="2"/>
  <c r="P84" i="2"/>
  <c r="K84" i="2"/>
  <c r="I84" i="2"/>
  <c r="S83" i="2"/>
  <c r="R83" i="2"/>
  <c r="P83" i="2"/>
  <c r="K83" i="2"/>
  <c r="I83" i="2"/>
  <c r="S82" i="2"/>
  <c r="R82" i="2"/>
  <c r="P82" i="2"/>
  <c r="K82" i="2"/>
  <c r="I82" i="2"/>
  <c r="S81" i="2"/>
  <c r="R81" i="2"/>
  <c r="P81" i="2"/>
  <c r="K81" i="2"/>
  <c r="I81" i="2"/>
  <c r="S80" i="2"/>
  <c r="R80" i="2"/>
  <c r="P80" i="2"/>
  <c r="K80" i="2"/>
  <c r="I80" i="2"/>
  <c r="S79" i="2"/>
  <c r="R79" i="2"/>
  <c r="P79" i="2"/>
  <c r="K79" i="2"/>
  <c r="I79" i="2"/>
  <c r="S78" i="2"/>
  <c r="R78" i="2"/>
  <c r="P78" i="2"/>
  <c r="K78" i="2"/>
  <c r="I78" i="2"/>
  <c r="S77" i="2"/>
  <c r="R77" i="2"/>
  <c r="P77" i="2"/>
  <c r="K77" i="2"/>
  <c r="I77" i="2"/>
  <c r="S76" i="2"/>
  <c r="R76" i="2"/>
  <c r="P76" i="2"/>
  <c r="K76" i="2"/>
  <c r="I76" i="2"/>
  <c r="S75" i="2"/>
  <c r="R75" i="2"/>
  <c r="P75" i="2"/>
  <c r="K75" i="2"/>
  <c r="I75" i="2"/>
  <c r="S74" i="2"/>
  <c r="R74" i="2"/>
  <c r="P74" i="2"/>
  <c r="K74" i="2"/>
  <c r="I74" i="2"/>
  <c r="S73" i="2"/>
  <c r="R73" i="2"/>
  <c r="P73" i="2"/>
  <c r="K73" i="2"/>
  <c r="I73" i="2"/>
  <c r="S72" i="2"/>
  <c r="R72" i="2"/>
  <c r="P72" i="2"/>
  <c r="K72" i="2"/>
  <c r="I72" i="2"/>
  <c r="S71" i="2"/>
  <c r="R71" i="2"/>
  <c r="P71" i="2"/>
  <c r="K71" i="2"/>
  <c r="I71" i="2"/>
  <c r="S70" i="2"/>
  <c r="R70" i="2"/>
  <c r="P70" i="2"/>
  <c r="K70" i="2"/>
  <c r="I70" i="2"/>
  <c r="S69" i="2"/>
  <c r="R69" i="2"/>
  <c r="P69" i="2"/>
  <c r="K69" i="2"/>
  <c r="I69" i="2"/>
  <c r="S68" i="2"/>
  <c r="R68" i="2"/>
  <c r="P68" i="2"/>
  <c r="K68" i="2"/>
  <c r="I68" i="2"/>
  <c r="S67" i="2"/>
  <c r="R67" i="2"/>
  <c r="P67" i="2"/>
  <c r="K67" i="2"/>
  <c r="I67" i="2"/>
  <c r="S66" i="2"/>
  <c r="R66" i="2"/>
  <c r="P66" i="2"/>
  <c r="K66" i="2"/>
  <c r="I66" i="2"/>
  <c r="S65" i="2"/>
  <c r="R65" i="2"/>
  <c r="P65" i="2"/>
  <c r="K65" i="2"/>
  <c r="I65" i="2"/>
  <c r="S64" i="2"/>
  <c r="R64" i="2"/>
  <c r="P64" i="2"/>
  <c r="K64" i="2"/>
  <c r="I64" i="2"/>
  <c r="S63" i="2"/>
  <c r="R63" i="2"/>
  <c r="P63" i="2"/>
  <c r="K63" i="2"/>
  <c r="I63" i="2"/>
  <c r="S62" i="2"/>
  <c r="R62" i="2"/>
  <c r="P62" i="2"/>
  <c r="K62" i="2"/>
  <c r="I62" i="2"/>
  <c r="S61" i="2"/>
  <c r="R61" i="2"/>
  <c r="P61" i="2"/>
  <c r="K61" i="2"/>
  <c r="I61" i="2"/>
  <c r="S60" i="2"/>
  <c r="R60" i="2"/>
  <c r="P60" i="2"/>
  <c r="K60" i="2"/>
  <c r="I60" i="2"/>
  <c r="S59" i="2"/>
  <c r="R59" i="2"/>
  <c r="P59" i="2"/>
  <c r="K59" i="2"/>
  <c r="I59" i="2"/>
  <c r="S58" i="2"/>
  <c r="R58" i="2"/>
  <c r="P58" i="2"/>
  <c r="K58" i="2"/>
  <c r="I58" i="2"/>
  <c r="S57" i="2"/>
  <c r="R57" i="2"/>
  <c r="P57" i="2"/>
  <c r="K57" i="2"/>
  <c r="I57" i="2"/>
  <c r="S56" i="2"/>
  <c r="R56" i="2"/>
  <c r="P56" i="2"/>
  <c r="K56" i="2"/>
  <c r="I56" i="2"/>
  <c r="S55" i="2"/>
  <c r="R55" i="2"/>
  <c r="P55" i="2"/>
  <c r="K55" i="2"/>
  <c r="I55" i="2"/>
  <c r="S54" i="2"/>
  <c r="R54" i="2"/>
  <c r="P54" i="2"/>
  <c r="K54" i="2"/>
  <c r="I54" i="2"/>
  <c r="S53" i="2"/>
  <c r="R53" i="2"/>
  <c r="P53" i="2"/>
  <c r="K53" i="2"/>
  <c r="I53" i="2"/>
  <c r="S52" i="2"/>
  <c r="R52" i="2"/>
  <c r="P52" i="2"/>
  <c r="K52" i="2"/>
  <c r="I52" i="2"/>
  <c r="S51" i="2"/>
  <c r="R51" i="2"/>
  <c r="P51" i="2"/>
  <c r="K51" i="2"/>
  <c r="I51" i="2"/>
  <c r="S50" i="2"/>
  <c r="R50" i="2"/>
  <c r="P50" i="2"/>
  <c r="K50" i="2"/>
  <c r="I50" i="2"/>
  <c r="S49" i="2"/>
  <c r="R49" i="2"/>
  <c r="P49" i="2"/>
  <c r="K49" i="2"/>
  <c r="I49" i="2"/>
  <c r="S48" i="2"/>
  <c r="R48" i="2"/>
  <c r="P48" i="2"/>
  <c r="K48" i="2"/>
  <c r="I48" i="2"/>
  <c r="S47" i="2"/>
  <c r="R47" i="2"/>
  <c r="P47" i="2"/>
  <c r="K47" i="2"/>
  <c r="I47" i="2"/>
  <c r="S46" i="2"/>
  <c r="R46" i="2"/>
  <c r="P46" i="2"/>
  <c r="K46" i="2"/>
  <c r="I46" i="2"/>
  <c r="S45" i="2"/>
  <c r="R45" i="2"/>
  <c r="P45" i="2"/>
  <c r="K45" i="2"/>
  <c r="I45" i="2"/>
  <c r="S44" i="2"/>
  <c r="R44" i="2"/>
  <c r="P44" i="2"/>
  <c r="K44" i="2"/>
  <c r="I44" i="2"/>
  <c r="S43" i="2"/>
  <c r="R43" i="2"/>
  <c r="P43" i="2"/>
  <c r="K43" i="2"/>
  <c r="I43" i="2"/>
  <c r="S42" i="2"/>
  <c r="R42" i="2"/>
  <c r="P42" i="2"/>
  <c r="K42" i="2"/>
  <c r="I42" i="2"/>
  <c r="S41" i="2"/>
  <c r="R41" i="2"/>
  <c r="P41" i="2"/>
  <c r="K41" i="2"/>
  <c r="I41" i="2"/>
  <c r="S40" i="2"/>
  <c r="R40" i="2"/>
  <c r="P40" i="2"/>
  <c r="K40" i="2"/>
  <c r="I40" i="2"/>
  <c r="S39" i="2"/>
  <c r="R39" i="2"/>
  <c r="P39" i="2"/>
  <c r="K39" i="2"/>
  <c r="I39" i="2"/>
  <c r="S38" i="2"/>
  <c r="R38" i="2"/>
  <c r="P38" i="2"/>
  <c r="K38" i="2"/>
  <c r="I38" i="2"/>
  <c r="S37" i="2"/>
  <c r="R37" i="2"/>
  <c r="P37" i="2"/>
  <c r="K37" i="2"/>
  <c r="I37" i="2"/>
  <c r="S36" i="2"/>
  <c r="R36" i="2"/>
  <c r="P36" i="2"/>
  <c r="K36" i="2"/>
  <c r="I36" i="2"/>
  <c r="S35" i="2"/>
  <c r="R35" i="2"/>
  <c r="P35" i="2"/>
  <c r="K35" i="2"/>
  <c r="I35" i="2"/>
  <c r="S34" i="2"/>
  <c r="R34" i="2"/>
  <c r="P34" i="2"/>
  <c r="K34" i="2"/>
  <c r="I34" i="2"/>
  <c r="S33" i="2"/>
  <c r="R33" i="2"/>
  <c r="P33" i="2"/>
  <c r="K33" i="2"/>
  <c r="I33" i="2"/>
  <c r="S32" i="2"/>
  <c r="R32" i="2"/>
  <c r="P32" i="2"/>
  <c r="K32" i="2"/>
  <c r="I32" i="2"/>
  <c r="S31" i="2"/>
  <c r="R31" i="2"/>
  <c r="P31" i="2"/>
  <c r="K31" i="2"/>
  <c r="I31" i="2"/>
  <c r="S30" i="2"/>
  <c r="R30" i="2"/>
  <c r="P30" i="2"/>
  <c r="K30" i="2"/>
  <c r="I30" i="2"/>
  <c r="S29" i="2"/>
  <c r="R29" i="2"/>
  <c r="P29" i="2"/>
  <c r="K29" i="2"/>
  <c r="I29" i="2"/>
  <c r="S28" i="2"/>
  <c r="R28" i="2"/>
  <c r="P28" i="2"/>
  <c r="K28" i="2"/>
  <c r="I28" i="2"/>
  <c r="S27" i="2"/>
  <c r="R27" i="2"/>
  <c r="P27" i="2"/>
  <c r="K27" i="2"/>
  <c r="I27" i="2"/>
  <c r="S26" i="2"/>
  <c r="R26" i="2"/>
  <c r="P26" i="2"/>
  <c r="K26" i="2"/>
  <c r="I26" i="2"/>
  <c r="S25" i="2"/>
  <c r="R25" i="2"/>
  <c r="P25" i="2"/>
  <c r="K25" i="2"/>
  <c r="I25" i="2"/>
  <c r="S24" i="2"/>
  <c r="R24" i="2"/>
  <c r="P24" i="2"/>
  <c r="K24" i="2"/>
  <c r="I24" i="2"/>
  <c r="S23" i="2"/>
  <c r="R23" i="2"/>
  <c r="P23" i="2"/>
  <c r="K23" i="2"/>
  <c r="I23" i="2"/>
  <c r="S22" i="2"/>
  <c r="R22" i="2"/>
  <c r="P22" i="2"/>
  <c r="K22" i="2"/>
  <c r="I22" i="2"/>
  <c r="S21" i="2"/>
  <c r="R21" i="2"/>
  <c r="P21" i="2"/>
  <c r="K21" i="2"/>
  <c r="I21" i="2"/>
  <c r="S20" i="2"/>
  <c r="R20" i="2"/>
  <c r="P20" i="2"/>
  <c r="K20" i="2"/>
  <c r="I20" i="2"/>
  <c r="S19" i="2"/>
  <c r="R19" i="2"/>
  <c r="P19" i="2"/>
  <c r="K19" i="2"/>
  <c r="I19" i="2"/>
  <c r="S18" i="2"/>
  <c r="R18" i="2"/>
  <c r="P18" i="2"/>
  <c r="K18" i="2"/>
  <c r="I18" i="2"/>
  <c r="S17" i="2"/>
  <c r="R17" i="2"/>
  <c r="P17" i="2"/>
  <c r="K17" i="2"/>
  <c r="I17" i="2"/>
  <c r="S16" i="2"/>
  <c r="R16" i="2"/>
  <c r="P16" i="2"/>
  <c r="K16" i="2"/>
  <c r="I16" i="2"/>
  <c r="S15" i="2"/>
  <c r="R15" i="2"/>
  <c r="P15" i="2"/>
  <c r="K15" i="2"/>
  <c r="I15" i="2"/>
  <c r="S14" i="2"/>
  <c r="R14" i="2"/>
  <c r="P14" i="2"/>
  <c r="K14" i="2"/>
  <c r="I14" i="2"/>
  <c r="S13" i="2"/>
  <c r="R13" i="2"/>
  <c r="P13" i="2"/>
  <c r="K13" i="2"/>
  <c r="I13" i="2"/>
  <c r="S12" i="2"/>
  <c r="R12" i="2"/>
  <c r="P12" i="2"/>
  <c r="K12" i="2"/>
  <c r="I12" i="2"/>
  <c r="S11" i="2"/>
  <c r="R11" i="2"/>
  <c r="P11" i="2"/>
  <c r="K11" i="2"/>
  <c r="I11" i="2"/>
  <c r="S10" i="2"/>
  <c r="R10" i="2"/>
  <c r="P10" i="2"/>
  <c r="K10" i="2"/>
  <c r="I10" i="2"/>
  <c r="X258" i="2" l="1"/>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20" i="2"/>
  <c r="X219" i="2"/>
  <c r="X218" i="2"/>
  <c r="X217" i="2"/>
  <c r="X216" i="2"/>
  <c r="X215" i="2"/>
  <c r="X214" i="2"/>
  <c r="X213" i="2"/>
  <c r="X212" i="2"/>
  <c r="X211" i="2"/>
  <c r="X210" i="2"/>
  <c r="X209" i="2"/>
  <c r="X208" i="2"/>
  <c r="X207" i="2"/>
  <c r="X206" i="2"/>
  <c r="X205" i="2"/>
  <c r="X204" i="2"/>
  <c r="X203" i="2"/>
  <c r="X202" i="2"/>
  <c r="X201" i="2"/>
  <c r="X200" i="2"/>
  <c r="X199" i="2"/>
  <c r="X198" i="2"/>
  <c r="X197" i="2"/>
  <c r="X196" i="2"/>
  <c r="X195" i="2"/>
  <c r="X194" i="2"/>
  <c r="X193" i="2"/>
  <c r="X192" i="2"/>
  <c r="X191" i="2"/>
  <c r="X190" i="2"/>
  <c r="X189" i="2"/>
  <c r="X188" i="2"/>
  <c r="X187" i="2"/>
  <c r="X186" i="2"/>
  <c r="X185" i="2"/>
  <c r="X184" i="2"/>
  <c r="X183" i="2"/>
  <c r="X182" i="2"/>
  <c r="X181" i="2"/>
  <c r="X180" i="2"/>
  <c r="X179" i="2"/>
  <c r="X178" i="2"/>
  <c r="X177" i="2"/>
  <c r="X176" i="2"/>
  <c r="X175" i="2"/>
  <c r="X174" i="2"/>
  <c r="X173" i="2"/>
  <c r="X172" i="2"/>
  <c r="X171" i="2"/>
  <c r="X170" i="2"/>
  <c r="X169" i="2"/>
  <c r="X168" i="2"/>
  <c r="X167" i="2"/>
  <c r="X166" i="2"/>
  <c r="X165" i="2"/>
  <c r="X164" i="2"/>
  <c r="X163" i="2"/>
  <c r="X162" i="2"/>
  <c r="X161" i="2"/>
  <c r="X160" i="2"/>
  <c r="X159" i="2"/>
  <c r="X158" i="2"/>
  <c r="X157" i="2"/>
  <c r="X156" i="2"/>
  <c r="X155" i="2"/>
  <c r="X154" i="2"/>
  <c r="X153" i="2"/>
  <c r="X152" i="2"/>
  <c r="X151" i="2"/>
  <c r="X150" i="2"/>
  <c r="X149" i="2"/>
  <c r="X148" i="2"/>
  <c r="X147" i="2"/>
  <c r="X146" i="2"/>
  <c r="X145" i="2"/>
  <c r="X144" i="2"/>
  <c r="X143" i="2"/>
  <c r="X142" i="2"/>
  <c r="X141" i="2"/>
  <c r="X140" i="2"/>
  <c r="X139" i="2"/>
  <c r="X138" i="2"/>
  <c r="X137" i="2"/>
  <c r="X136" i="2"/>
  <c r="X135" i="2"/>
  <c r="X134" i="2"/>
  <c r="X133" i="2"/>
  <c r="X132" i="2"/>
  <c r="X131" i="2"/>
  <c r="X130" i="2"/>
  <c r="X129" i="2"/>
  <c r="X128" i="2"/>
  <c r="X127" i="2"/>
  <c r="X126" i="2"/>
  <c r="X125" i="2"/>
  <c r="X124" i="2"/>
  <c r="X123" i="2"/>
  <c r="X122" i="2"/>
  <c r="X121" i="2"/>
  <c r="X120" i="2"/>
  <c r="X119" i="2"/>
  <c r="X118" i="2"/>
  <c r="X117" i="2"/>
  <c r="X116" i="2"/>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X48" i="2"/>
  <c r="X47" i="2"/>
  <c r="X46" i="2"/>
  <c r="X45" i="2"/>
  <c r="X44" i="2"/>
  <c r="X43" i="2"/>
  <c r="X42" i="2"/>
  <c r="X41" i="2"/>
  <c r="X40" i="2"/>
  <c r="X39" i="2"/>
  <c r="X38" i="2"/>
  <c r="X37" i="2"/>
  <c r="X36" i="2"/>
  <c r="X35" i="2"/>
  <c r="X34" i="2"/>
  <c r="X33" i="2"/>
  <c r="X32" i="2"/>
  <c r="X31" i="2"/>
  <c r="X30" i="2"/>
  <c r="X29" i="2"/>
  <c r="X28" i="2"/>
  <c r="X27" i="2"/>
  <c r="X26" i="2"/>
  <c r="X25" i="2"/>
  <c r="X24" i="2"/>
  <c r="X23" i="2"/>
  <c r="X22" i="2"/>
  <c r="X21" i="2"/>
  <c r="X20" i="2"/>
  <c r="X19" i="2"/>
  <c r="X18" i="2"/>
  <c r="X17" i="2"/>
  <c r="X16" i="2"/>
  <c r="X15" i="2"/>
  <c r="X14" i="2"/>
  <c r="X13" i="2"/>
  <c r="X12" i="2"/>
  <c r="X11" i="2"/>
  <c r="X10" i="2"/>
  <c r="D10" i="4" l="1"/>
  <c r="D7" i="4"/>
  <c r="D4" i="4"/>
  <c r="C12" i="4"/>
  <c r="C9" i="4"/>
  <c r="C8" i="4"/>
  <c r="A9" i="4"/>
  <c r="C6" i="4"/>
  <c r="C5" i="4"/>
  <c r="C3" i="4"/>
  <c r="C2" i="4"/>
  <c r="X9" i="2"/>
  <c r="W9" i="2"/>
  <c r="V9" i="2"/>
  <c r="U9" i="2"/>
  <c r="T9" i="2"/>
  <c r="S9" i="2"/>
  <c r="R9" i="2"/>
  <c r="I9" i="2"/>
  <c r="H9" i="2"/>
  <c r="G9" i="2"/>
  <c r="F9" i="2"/>
  <c r="E9" i="2"/>
  <c r="D9" i="2"/>
  <c r="C9" i="2"/>
  <c r="B9" i="2"/>
  <c r="A9" i="2"/>
  <c r="F10" i="3" l="1"/>
  <c r="G10" i="3"/>
  <c r="H10" i="3"/>
  <c r="I10" i="3"/>
  <c r="J10" i="3"/>
  <c r="K10" i="3"/>
  <c r="L10" i="3"/>
  <c r="M10" i="3"/>
  <c r="E10" i="3"/>
  <c r="M9" i="3"/>
  <c r="L9" i="3"/>
  <c r="J9" i="3"/>
  <c r="M8" i="3"/>
  <c r="L8" i="3"/>
  <c r="J8" i="3"/>
  <c r="A6" i="2" l="1"/>
  <c r="BN6" i="2"/>
  <c r="A7" i="2" l="1"/>
  <c r="Y15" i="1" l="1"/>
</calcChain>
</file>

<file path=xl/sharedStrings.xml><?xml version="1.0" encoding="utf-8"?>
<sst xmlns="http://schemas.openxmlformats.org/spreadsheetml/2006/main" count="1423" uniqueCount="460">
  <si>
    <t>Sur</t>
  </si>
  <si>
    <t>Centro</t>
  </si>
  <si>
    <t>*</t>
  </si>
  <si>
    <t>Control Worksheet (NB any row with a '*' as the first character in column A is ignored)</t>
  </si>
  <si>
    <t>Global Parameters (setdefault will be used unless parameter of same name is passed in from Agresso)</t>
  </si>
  <si>
    <t>Parameter</t>
  </si>
  <si>
    <t>Value</t>
  </si>
  <si>
    <t>setdefault</t>
  </si>
  <si>
    <t>conProyecto</t>
  </si>
  <si>
    <t>conPeriodo</t>
  </si>
  <si>
    <t>Descripción</t>
  </si>
  <si>
    <t>Index</t>
  </si>
  <si>
    <t>Valor Atributo</t>
  </si>
  <si>
    <t>Valor</t>
  </si>
  <si>
    <t>Todas</t>
  </si>
  <si>
    <t>Todos</t>
  </si>
  <si>
    <t>N</t>
  </si>
  <si>
    <t>Activo</t>
  </si>
  <si>
    <t>C</t>
  </si>
  <si>
    <t>Cerrado</t>
  </si>
  <si>
    <t>Corporativo</t>
  </si>
  <si>
    <t>T</t>
  </si>
  <si>
    <t>Terminado</t>
  </si>
  <si>
    <t>Norte</t>
  </si>
  <si>
    <t>P</t>
  </si>
  <si>
    <t>En Espera</t>
  </si>
  <si>
    <t>Occidente</t>
  </si>
  <si>
    <t>Oriente</t>
  </si>
  <si>
    <t>conFinal</t>
  </si>
  <si>
    <t>Valor Autorizado</t>
  </si>
  <si>
    <t>Valor ejecutado acumulado al  periodo anteior</t>
  </si>
  <si>
    <t>Valor del personal presente periodo</t>
  </si>
  <si>
    <t xml:space="preserve">Valor subconsultores </t>
  </si>
  <si>
    <t>Valor otros costos directos</t>
  </si>
  <si>
    <t xml:space="preserve">Valor ejecutado acumulado </t>
  </si>
  <si>
    <t>Ingreso</t>
  </si>
  <si>
    <t>Diferencia</t>
  </si>
  <si>
    <t>Facturado</t>
  </si>
  <si>
    <t>WIP</t>
  </si>
  <si>
    <t>conPeriodoAnterior</t>
  </si>
  <si>
    <t>BusinessUnit</t>
  </si>
  <si>
    <t>conRegion</t>
  </si>
  <si>
    <t>conEstado</t>
  </si>
  <si>
    <t>NA</t>
  </si>
  <si>
    <t>Proyecto</t>
  </si>
  <si>
    <t>numCedula</t>
  </si>
  <si>
    <t>Valor Disponible</t>
  </si>
  <si>
    <t>Costo por completar</t>
  </si>
  <si>
    <t>Work Order</t>
  </si>
  <si>
    <t>Etapa del Proyecto</t>
  </si>
  <si>
    <t>LG</t>
  </si>
  <si>
    <t>PY</t>
  </si>
  <si>
    <t>CP</t>
  </si>
  <si>
    <t>Estado WO</t>
  </si>
  <si>
    <t>numFilasPY</t>
  </si>
  <si>
    <t>REPORTE POR WORK ORDER</t>
  </si>
  <si>
    <t>Area</t>
  </si>
  <si>
    <t>PY1031-I-CONST-LINEA-115 KV DESDE PTO LÓPEZ - PTO. GAITÁN</t>
  </si>
  <si>
    <t>Vr
Autorizado</t>
  </si>
  <si>
    <t>Labor</t>
  </si>
  <si>
    <t>Sub
Consultant</t>
  </si>
  <si>
    <t>OCD</t>
  </si>
  <si>
    <t>Excecuted
ITD
Current
Month</t>
  </si>
  <si>
    <t>Work Executed
Invoiced</t>
  </si>
  <si>
    <t>Work
Executed
Not Invoiced</t>
  </si>
  <si>
    <t>Account
Receivables</t>
  </si>
  <si>
    <t>Project
Comments</t>
  </si>
  <si>
    <t>Cost to
complete</t>
  </si>
  <si>
    <t>Project</t>
  </si>
  <si>
    <t>Executed
ITD
Last
Month</t>
  </si>
  <si>
    <t>Executed
ITD 
Current
Month</t>
  </si>
  <si>
    <t>Over (-)/
Under (+)
Execution
ITD</t>
  </si>
  <si>
    <t>Agresso
Accounting</t>
  </si>
  <si>
    <t>Multiplier
Calculation</t>
  </si>
  <si>
    <t>Over (-)/
Under (+)
Ongoing
Month</t>
  </si>
  <si>
    <t>Executed
ITD 
Ongoing
Month</t>
  </si>
  <si>
    <t>Ejecutado
UNO/
HELISA</t>
  </si>
  <si>
    <t>Ejecutado
AGRESSO</t>
  </si>
  <si>
    <t>Available
to
Execute</t>
  </si>
  <si>
    <t>Figures in Thousands of COP</t>
  </si>
  <si>
    <t>Español:</t>
  </si>
  <si>
    <t>Vr
Authorized</t>
  </si>
  <si>
    <t>Sub
Consultores</t>
  </si>
  <si>
    <t>Trabajo Ejecutado
Facturado</t>
  </si>
  <si>
    <t>Trabajo
Ejecutado
No Facturado</t>
  </si>
  <si>
    <t>Cuentas
Por Cobrar</t>
  </si>
  <si>
    <t>Comentario
Del proyecto</t>
  </si>
  <si>
    <t>English</t>
  </si>
  <si>
    <t xml:space="preserve">Ejecución
Inicio-Hoy 
MesEnCurso
</t>
  </si>
  <si>
    <t>Sobre (-)/Infra (+)
Mes en Curso</t>
  </si>
  <si>
    <t>Disponible a
Ejecutar</t>
  </si>
  <si>
    <t>Ejecución para
completar</t>
  </si>
  <si>
    <t>Ejecutado
Inicio-Hoy
Mes
Actual</t>
  </si>
  <si>
    <t>Sobre(-)
/Infra(+)
Ejecución
Inicio - Hoy</t>
  </si>
  <si>
    <t>Ejecutado
Inicio-Hoy
Mes
Anterior</t>
  </si>
  <si>
    <t>Ejecutado
Inicio-Hoy
Mes 
Actual</t>
  </si>
  <si>
    <t>Cifras en Miles de COP</t>
  </si>
  <si>
    <t>La de la Hoja es: lcdpdlh2016*
la de la Macro es: lcdpdlm2015*</t>
  </si>
  <si>
    <t>GP</t>
  </si>
  <si>
    <t>PM</t>
  </si>
  <si>
    <t>Reg</t>
  </si>
  <si>
    <t>Etapa</t>
  </si>
  <si>
    <t>Stage</t>
  </si>
  <si>
    <t>Comentarios:
Finanzas</t>
  </si>
  <si>
    <t>1031-PY01</t>
  </si>
  <si>
    <t>1031-PY02</t>
  </si>
  <si>
    <t>TOTALES</t>
  </si>
  <si>
    <t>Ejecutado
ITD
Reportado</t>
  </si>
  <si>
    <t>IN1020-EMAPAG  EP-SBCC-001-S-PTAR LAS ESCLUSAS</t>
  </si>
  <si>
    <t>Legalización</t>
  </si>
  <si>
    <t>24</t>
  </si>
  <si>
    <t>I. Municipal</t>
  </si>
  <si>
    <t>JNAVARRETE</t>
  </si>
  <si>
    <t>=Valor Autorizado - Ejecutado ITD Mes anterior - Ejecutado Mes En Curso.</t>
  </si>
  <si>
    <t xml:space="preserve">=Diferencia entre: (Ejecución Reportada en Agresso mes anterior más Ejecución en Curso Calculada) Y Ejecución ITD Calculada.
</t>
  </si>
  <si>
    <t>= Cálculo de Ejecución Mes en Curso.</t>
  </si>
  <si>
    <t>= Calculo de ejecución ITD hasta el mes Anterior.</t>
  </si>
  <si>
    <t>=suma de Ejecutado ITD hasta el mes anterior más Calculo de ejecución en Curso.</t>
  </si>
  <si>
    <t>= Valor Reportado en Agresso hasta el mes Anterior.</t>
  </si>
  <si>
    <t>= Valor Reportado en Agresso hasta el mes en curso.</t>
  </si>
  <si>
    <t>Ejecutado
ITD
Mes en Curso</t>
  </si>
  <si>
    <t>Ejecutado
ITD 
Mes Anterior</t>
  </si>
  <si>
    <t>Labor Directa</t>
  </si>
  <si>
    <t>Mes en curso</t>
  </si>
  <si>
    <t>Hasta el mes anterior</t>
  </si>
  <si>
    <t>SubConsultores</t>
  </si>
  <si>
    <t>Costos Directos</t>
  </si>
  <si>
    <t>Total</t>
  </si>
  <si>
    <t>Otros Costos Directos</t>
  </si>
  <si>
    <t>Al Mes Anterior</t>
  </si>
  <si>
    <t>Labor Directa en Contabilidad</t>
  </si>
  <si>
    <t>SELECT DISTINCT 
  rr0project.rel_value AS Proyecto,
  dbo.getFxValorAutorizado(t.work_order) AS ValorAutorizado,
  dbo.getRevenuesITD (t.work_order) AS ejecutadoAgresso,
  dbo.getFxCostosPersonalWO('3', t.work_order,'&lt;conPeriodo&gt;', '&lt;conPeriodo&gt;','&lt;conPeriodo&gt;') AS CostosPersonal,
  dbo.getFxCostosLaborDirectaContabilidad('4', t.work_order, '', '200101', '201603', '') AS CostosPersonalContabilidad,
  dbo.getFxCostosPersonalWO('3', t.work_order,'&lt;conPeriodo&gt;', '201604','&lt;conPeriodo&gt;') AS CostosPersonalICTD,
  dbo.getFMCostosPersonal(t.work_order) AS FM,
  dbo.getFxCostosSubconsultoresWOCIA('1', t.work_order,'&lt;conPeriodo&gt;', 'N/A','N/A', rr0work_orderCIA.rel_value)AS SubConsultores,
  dbo.getFxCostosSubconsultoresWOCIA('2', t.work_order,'&lt;conPeriodo&gt;', 'N/A','N/A', rr0work_orderCIA.rel_value)AS SubConsultoresICTD,
  dbo.getFMWorkOrder(t.work_order) AS FMWOSubconsultores,
  dbo.getCostosDirectosWOCIA(t.work_order, rr0work_orderCIA.rel_value, '&lt;conPeriodo&gt;', '&lt;conPeriodo&gt;') AS CostosDirectosCIA,
  dbo.getCostosDirectosWOCIA(t.work_order, rr0work_orderCIA.rel_value, '201001', '&lt;conPeriodo&gt;') AS CostosDirectosCIAICTD,
  dbo.getFMCostosDirectos(t.work_order) AS FMCostosDirectos,
  dbo.getRevenuesITDCIACurrentPeriod(t.work_order, '&lt;conPeriodo&gt;')*-1 AS IngresoTotal,
  dbo.getInvoiceTodayValueForReportWOCIA('1', t.work_order,'41570500', rr0work_orderCIA.rel_value)*-1 AS InvoiceTodateWO,
  dbo.getWIPValueForReportWOCIA('1', t.work_order,'41570500', rr0work_orderCIA.rel_value) AS WIPCIAAc,
  dbo.getCarteraWO(t.work_order) AS Cartera,
  Project.description AS DescripcionProyecto,
  dbo.getFxIDEstadoProyecto(t.project) AS etapaProyecto,
  NombreRegionalWO.dim_value AS RegionalWO,
  aUnegocio.Description AS UnidadNegocio,
  dbo.getShortNamePMProject(t.Project) AS shortProjectManager
FROM atsworkorder t
INNER JOIN aglrelvalue rr0project ON(t.client=rr0project.client
                                     AND rr0project.rel_attr_id='B0'
                                     AND rr0project.attribute_id='B0'
                                     AND t.project=rr0project.att_value)
INNER JOIN aglrelvalue rr0r0project ON(rr0project.client=rr0r0project.client
                                       AND rr0r0project.rel_attr_id='Z7'
                                       AND rr0r0project.attribute_id='B0'
                                       AND rr0project.rel_value=rr0r0project.att_value)
INNER JOIN aglrelvalue rr1project ON(t.client=rr1project.client
                                     AND rr1project.rel_attr_id='C0'
                                     AND rr1project.attribute_id='B0'
                                     AND t.project=rr1project.att_value)
INNER JOIN aglrelvalue rr2project ON(t.client=rr2project.client
                                     AND rr2project.rel_attr_id='C0'
                                     AND rr2project.attribute_id='B0'
                                     AND t.project=rr2project.att_value)
INNER JOIN aglrelvalue rr3project ON(t.client=rr3project.client
                                     AND rr3project.rel_attr_id='ZZ3'
                                     AND rr3project.attribute_id='B0'
                                     AND t.project=rr3project.att_value)
INNER JOIN atsproject Project ON (Project.client = t.client
                                  AND Project.project = t.project)
INNER JOIN aglrelvalue rr0work_order ON(t.client=rr0work_order.client
                                        AND rr0work_order.rel_attr_id='Z7'
                                        AND rr0work_order.attribute_id='BF'
                                        AND t.work_order=rr0work_order.att_value)
LEFT JOIN agldimvalue NombreRegionalWO ON (NombreRegionalWO.client = t.client
                                           AND NombreRegionalWO.dim_value = t.dim1
                                           AND NombreRegionalWO.attribute_id = 'Z7')
LEFT JOIN aglrelvalue rr0work_orderCIA ON(t.client=rr0work_orderCIA.client
                                          AND rr0work_orderCIA.rel_attr_id='ZZM'
                                          AND rr0work_orderCIA.attribute_id='BF'
                                          AND t.work_order=rr0work_orderCIA.att_value), aglrelvalue bPM,
                                                                                        agldimvalue aPM,
                                                                                        aglrelvalue bCliente,
                                                                                        agldimvalue aCliente,
                                                                                        aglrelvalue bUnegocio,
                                                                                        agldimvalue aUnegocio
WHERE t.client='01'
  AND aPM.client = bPM.client
  AND bPM.attribute_id='B0'
  AND bPM.rel_attr_id='C0'
  AND aPM.attribute_id = bPM.rel_attr_id
  AND bPM.rel_value = aPM.dim_value
  AND bPM.client in('01')
  AND bPM.att_value = Project.project
  AND aPM.dim_value = Project.resource_id
  AND aCliente.client = bCliente.client
  AND bCliente.attribute_id='B0'
  AND bCliente.rel_attr_id='A4'
  AND aCliente.attribute_id = bCliente.rel_attr_id
  AND bCliente.rel_value = aCliente.dim_value
  AND bCliente.client in('01')
  AND bCliente.att_value = Project.project --and aCliente.dim_value = '860001074'
  AND aUnegocio.client = bUnegocio.client
  AND bUnegocio.attribute_id='B0'
  AND bUnegocio.rel_attr_id='Z8'
  AND aUnegocio.attribute_id = bUnegocio.rel_attr_id
  AND bUnegocio.rel_value = aUnegocio.dim_value
  AND bUnegocio.client in('01')
  AND bUnegocio.att_value = Project.project
  AND rr3project.rel_value &lt;&gt; 'OP'
  AND Project.project &lt;&gt; 'PY9999'
  AND Project.project NOT LIKE 'AD%'
  AND (t.work_order LIKE '%-PY%'      OR t.work_order LIKE '%-IN%')
  tmpWHERE  ORDER BY etapaProyecto, Proyecto</t>
  </si>
  <si>
    <t xml:space="preserve">Ejecutado 
ITD
Calculado </t>
  </si>
  <si>
    <t>SELECT DISTINCT 
  rr0project.rel_value AS Proyecto,
  dbo.getFxValorAutorizado(t.work_order) AS ValorAutorizado,
  dbo.getRevenuesITD (t.work_order) AS ejecutadoAgresso,
  dbo.getFxCostosPersonalWO('3', t.work_order,'201606', '201606','201606') AS CostosPersonal,
  dbo.getFxCostosLaborDirectaContabilidad('4', t.work_order, '', '200101', '201603', '') AS CostosPersonalContabilidad,
  dbo.getFxCostosPersonalWO('3', t.work_order,'201606', '201604','201606') AS CostosPersonalICTD,
  dbo.getFMCostosPersonal(t.work_order) AS FM,
  dbo.getFxCostosSubconsultoresWOCIA('1', t.work_order,'201606', 'N/A','N/A', rr0work_orderCIA.rel_value)AS SubConsultores,
  dbo.getFxCostosSubconsultoresWOCIA('2', t.work_order,'201606', 'N/A','N/A', rr0work_orderCIA.rel_value)AS SubConsultoresICTD,
  dbo.getFMWorkOrder(t.work_order) AS FMWOSubconsultores,
  dbo.getCostosDirectosWOCIA(t.work_order, rr0work_orderCIA.rel_value, '201606', '201606') AS CostosDirectosCIA,
  dbo.getCostosDirectosWOCIA(t.work_order, rr0work_orderCIA.rel_value, '201001', '201606') AS CostosDirectosCIAICTD,
  dbo.getFMCostosDirectos(t.work_order) AS FMCostosDirectos,
  dbo.getRevenuesITDCIACurrentPeriod(t.work_order, '201606')*-1 AS IngresoTotal,
  dbo.getInvoiceTodayValueForReportWOCIA('1', t.work_order,'41570500', rr0work_orderCIA.rel_value)*-1 AS InvoiceTodateWO,
  dbo.getWIPValueForReportWOCIA('1', t.work_order,'41570500', rr0work_orderCIA.rel_value) AS WIPCIAAc,
  dbo.getCarteraWO(t.work_order) AS Cartera,
  Project.description AS DescripcionProyecto,
  dbo.getFxIDEstadoProyecto(t.project) AS etapaProyecto,
  NombreRegionalWO.dim_value AS RegionalWO,
  aUnegocio.Description AS UnidadNegocio,
  dbo.getShortNamePMProject(t.Project) AS shortProjectManager
FROM atsworkorder t
INNER JOIN aglrelvalue rr0project ON(t.client=rr0project.client
                                     AND rr0project.rel_attr_id='B0'
                                     AND rr0project.attribute_id='B0'
                                     AND t.project=rr0project.att_value)
INNER JOIN aglrelvalue rr0r0project ON(rr0project.client=rr0r0project.client
                                       AND rr0r0project.rel_attr_id='Z7'
                                       AND rr0r0project.attribute_id='B0'
                                       AND rr0project.rel_value=rr0r0project.att_value)
INNER JOIN aglrelvalue rr1project ON(t.client=rr1project.client
                                     AND rr1project.rel_attr_id='C0'
                                     AND rr1project.attribute_id='B0'
                                     AND t.project=rr1project.att_value)
INNER JOIN aglrelvalue rr2project ON(t.client=rr2project.client
                                     AND rr2project.rel_attr_id='C0'
                                     AND rr2project.attribute_id='B0'
                                     AND t.project=rr2project.att_value)
INNER JOIN aglrelvalue rr3project ON(t.client=rr3project.client
                                     AND rr3project.rel_attr_id='ZZ3'
                                     AND rr3project.attribute_id='B0'
                                     AND t.project=rr3project.att_value)
INNER JOIN atsproject Project ON (Project.client = t.client
                                  AND Project.project = t.project)
INNER JOIN aglrelvalue rr0work_order ON(t.client=rr0work_order.client
                                        AND rr0work_order.rel_attr_id='Z7'
                                        AND rr0work_order.attribute_id='BF'
                                        AND t.work_order=rr0work_order.att_value)
LEFT JOIN agldimvalue NombreRegionalWO ON (NombreRegionalWO.client = t.client
                                           AND NombreRegionalWO.dim_value = t.dim1
                                           AND NombreRegionalWO.attribute_id = 'Z7')
LEFT JOIN aglrelvalue rr0work_orderCIA ON(t.client=rr0work_orderCIA.client
                                          AND rr0work_orderCIA.rel_attr_id='ZZM'
                                          AND rr0work_orderCIA.attribute_id='BF'
                                          AND t.work_order=rr0work_orderCIA.att_value), aglrelvalue bPM,
                                                                                        agldimvalue aPM,
                                                                                        aglrelvalue bCliente,
                                                                                        agldimvalue aCliente,
                                                                                        aglrelvalue bUnegocio,
                                                                                        agldimvalue aUnegocio
WHERE t.client='01'
  AND aPM.client = bPM.client
  AND bPM.attribute_id='B0'
  AND bPM.rel_attr_id='C0'
  AND aPM.attribute_id = bPM.rel_attr_id
  AND bPM.rel_value = aPM.dim_value
  AND bPM.client in('01')
  AND bPM.att_value = Project.project
  AND aPM.dim_value = Project.resource_id
  AND aCliente.client = bCliente.client
  AND bCliente.attribute_id='B0'
  AND bCliente.rel_attr_id='A4'
  AND aCliente.attribute_id = bCliente.rel_attr_id
  AND bCliente.rel_value = aCliente.dim_value
  AND bCliente.client in('01')
  AND bCliente.att_value = Project.project --and aCliente.dim_value = '860001074'
  AND aUnegocio.client = bUnegocio.client
  AND bUnegocio.attribute_id='B0'
  AND bUnegocio.rel_attr_id='Z8'
  AND aUnegocio.attribute_id = bUnegocio.rel_attr_id
  AND bUnegocio.rel_value = aUnegocio.dim_value
  AND bUnegocio.client in('01')
  AND bUnegocio.att_value = Project.project
  AND rr3project.rel_value &lt;&gt; 'OP'
  AND Project.project &lt;&gt; 'PY9999'
  AND Project.project NOT LIKE 'AD%'
  AND (t.work_order LIKE '%-PY%'      OR t.work_order LIKE '%-IN%')
    ORDER BY etapaProyecto, Proyecto</t>
  </si>
  <si>
    <t>PY1277-AGS-I-INTERVENTORIA AIRPORT PLAZA</t>
  </si>
  <si>
    <t>22</t>
  </si>
  <si>
    <t>Edificaciones</t>
  </si>
  <si>
    <t>RFERNANDEZ</t>
  </si>
  <si>
    <t>1206-AGROCASCADA-SERVICIO-I-S-TEC-PAFCI RUBIALES</t>
  </si>
  <si>
    <t>Ejecución</t>
  </si>
  <si>
    <t>21</t>
  </si>
  <si>
    <t xml:space="preserve">MBAYONA   </t>
  </si>
  <si>
    <t>IN1002-DISEÑO SUBESTACIONES INCIENSO Y GUATESUR</t>
  </si>
  <si>
    <t>Energía</t>
  </si>
  <si>
    <t xml:space="preserve">HTILANO   </t>
  </si>
  <si>
    <t>IN1003-DISEÑO DE LA LINEA CENTRO - INCIENSO 230 KV</t>
  </si>
  <si>
    <t>IN1006-WSP USA TRADUCCION HOTEL EL CARIBE</t>
  </si>
  <si>
    <t>23</t>
  </si>
  <si>
    <t xml:space="preserve">LGPEREZ   </t>
  </si>
  <si>
    <t>IN1016-JV PERU-ISA-S-LT-220KV LA PLANICIE-INDUSTRIALES</t>
  </si>
  <si>
    <t xml:space="preserve">HNARVAEZ  </t>
  </si>
  <si>
    <t>IN1018-ENEE-SBCC-S-SUBESTACIÓN LA ENTRADA</t>
  </si>
  <si>
    <t xml:space="preserve">LTRIANA   </t>
  </si>
  <si>
    <t>IN1030-UK-CRC</t>
  </si>
  <si>
    <t xml:space="preserve">OLAVIERA  </t>
  </si>
  <si>
    <t>PY1000-CENS MANTENIMIENTO CORREDORES DE SERVIDUMBRE</t>
  </si>
  <si>
    <t>M. Ambiente</t>
  </si>
  <si>
    <t xml:space="preserve">SGOMEZ    </t>
  </si>
  <si>
    <t>PY1004-CODENSA GRAN SABANA</t>
  </si>
  <si>
    <t>CVELASQUEZ</t>
  </si>
  <si>
    <t>PY1006-CODENSA NORTE</t>
  </si>
  <si>
    <t>PY1008-CODENSA NUEVA ESPERANZA</t>
  </si>
  <si>
    <t>PY1009-CODENSA S/E COMPARTIR</t>
  </si>
  <si>
    <t>PY1013-DISPAC-I-CONSTRUC-LT/SUB, INTERCO ELECTRICA-FASE I</t>
  </si>
  <si>
    <t xml:space="preserve">GMONTOYA  </t>
  </si>
  <si>
    <t>PY1016-CONTROL DE CALIDAD-SUPERVISON CENTROS SERVICIOS</t>
  </si>
  <si>
    <t xml:space="preserve">FPARIAS   </t>
  </si>
  <si>
    <t>PY1023-INTERVENTORIA E INVENTARIO DE ACTIVOS DE LA EEC</t>
  </si>
  <si>
    <t xml:space="preserve">LREY      </t>
  </si>
  <si>
    <t>PY1024-EPM INTERVENTORIA ELECTRIFICACION RURAL</t>
  </si>
  <si>
    <t xml:space="preserve">DMORALES  </t>
  </si>
  <si>
    <t>PY1025-I-CONSTRUCCIÓN DE LÍNEA A 44 KV, GRUPO 01</t>
  </si>
  <si>
    <t xml:space="preserve">CDIAZ     </t>
  </si>
  <si>
    <t>PY1027-EPM-EN-INT-OBRAS CIVILES SUBESTACIONES ELÉCTRICAS</t>
  </si>
  <si>
    <t xml:space="preserve">DESCOBAR  </t>
  </si>
  <si>
    <t>PY1030-EPM SAN LORENZO SONSÓN</t>
  </si>
  <si>
    <t xml:space="preserve">HRUIZ     </t>
  </si>
  <si>
    <t xml:space="preserve">CTRILLOS  </t>
  </si>
  <si>
    <t>PY1033-ESSA-INGENIERÍA ESTUDIOS S/E Y LÍNEAS NORTE</t>
  </si>
  <si>
    <t xml:space="preserve">JROMERO   </t>
  </si>
  <si>
    <t>PY1039-INTERVENTORIA SUGAMUXI</t>
  </si>
  <si>
    <t>Transporte</t>
  </si>
  <si>
    <t xml:space="preserve">TLUQUEZ   </t>
  </si>
  <si>
    <t>PY1041-ISA BETANIA MIROLINDO EIA</t>
  </si>
  <si>
    <t>PY1042-ISA GUAPI - CONTROL DE OBRA</t>
  </si>
  <si>
    <t xml:space="preserve">APAEZ     </t>
  </si>
  <si>
    <t>PY1047-UPME LINEA 500 KV SOGAMOSO-NORTE-NUEVA ESPERANZA</t>
  </si>
  <si>
    <t xml:space="preserve">AACEVEDO  </t>
  </si>
  <si>
    <t>PY1048-UPME 03-2013 INTERVENTORIA SUBESTACION TULUNI</t>
  </si>
  <si>
    <t>PY1049-UPME 07-2013 INTERVENTORÍA SE MONTERÍA 230 KV</t>
  </si>
  <si>
    <t>PY1075-CENS 20514 PROYECTOS CONEXIÓN TIBÚ</t>
  </si>
  <si>
    <t>PY1076-UPME 05-2012 LINEA BOLIVAR-CARTAGENA</t>
  </si>
  <si>
    <t>PY1077-LEVANTAMIENTO INFORMACION GRUPO II CONT 4114000279</t>
  </si>
  <si>
    <t xml:space="preserve">RRAMBAO   </t>
  </si>
  <si>
    <t>PY1078-LEVANTAMIENTO INFORMACION GRUPO I- CONT 4114000280</t>
  </si>
  <si>
    <t>PY1082-JV-MEDELLIN INT EXT  ALUMBRADO PUBLICO / CONSORCIO CS</t>
  </si>
  <si>
    <t>PY1084-CONSULTORIA LT-SAN LORENZO-SONSÓN</t>
  </si>
  <si>
    <t>PY1087-CEO GD02 1 FAER DPTO CAUCA</t>
  </si>
  <si>
    <t xml:space="preserve">EVELANDIA </t>
  </si>
  <si>
    <t>PY1111-UPME 05-2014 LÍNEA 500 KV CERROMATOSO - CHINU</t>
  </si>
  <si>
    <t xml:space="preserve">PRINCON   </t>
  </si>
  <si>
    <t>PY1117-GAS NATURAL-S- SB Y LT AT  4115000183</t>
  </si>
  <si>
    <t xml:space="preserve">VCARREÑO  </t>
  </si>
  <si>
    <t>PY1121-INTERVENTORIA OBRAS SANEAMIENTO BASICO PORCE III</t>
  </si>
  <si>
    <t xml:space="preserve">JVALENCIA </t>
  </si>
  <si>
    <t>PY1130-JV-ANI DEVINORTE - CONSORCIO ICITY</t>
  </si>
  <si>
    <t xml:space="preserve">YSALAZAR  </t>
  </si>
  <si>
    <t>PY1136-IDU ANDENES</t>
  </si>
  <si>
    <t>PY1137-JV-IDU CALLE 170 Y AV.9/CRA-DIEGOFONSECA 026-2009</t>
  </si>
  <si>
    <t xml:space="preserve">MPEREZ    </t>
  </si>
  <si>
    <t>PY1138-JV-IDU CICLOPUENTES</t>
  </si>
  <si>
    <t>PY1139-JV-IDU CALLE 100</t>
  </si>
  <si>
    <t>PY1140-JV-IDU SITP GRUPO 7-CONSORCIO SITP</t>
  </si>
  <si>
    <t>PY1145-APP RANCHERIA</t>
  </si>
  <si>
    <t>PY1146-CGR DOÑA JUANA - CONSULTORIA PERMANENTE</t>
  </si>
  <si>
    <t xml:space="preserve">CBUITRAGO </t>
  </si>
  <si>
    <t>PY1147-CGR DOÑA JUANA - PONDAJE 7</t>
  </si>
  <si>
    <t>PY1152-CONSORCIO VIAL SUR VIA SAN FRANCISCO MOCOA 2 Y 3</t>
  </si>
  <si>
    <t xml:space="preserve">LGOMEZ    </t>
  </si>
  <si>
    <t>PY1165-AQUASEO Q 012 13-I REDES TUMACO(7156)</t>
  </si>
  <si>
    <t>PY1170-TECNOAMBIENTAL</t>
  </si>
  <si>
    <t>25</t>
  </si>
  <si>
    <t xml:space="preserve">NCASTAÑO  </t>
  </si>
  <si>
    <t>PY1176-CONSORCIO VIAL DEL SUR CONVENIO 407-35</t>
  </si>
  <si>
    <t>PY1178-DISEÑO VUAD CONSTRUSAR-USTA</t>
  </si>
  <si>
    <t xml:space="preserve">DGOMEZ    </t>
  </si>
  <si>
    <t>PY1179-JV-FINDETER COLDEPORTES/INTERVENTOR PARQUES URBANOS</t>
  </si>
  <si>
    <t>PY1182-CENS 234 CONVENCIÓN-TIBU-D-REPOTENC LÍNEA CONEXIÓN</t>
  </si>
  <si>
    <t xml:space="preserve">JARCOS    </t>
  </si>
  <si>
    <t>PY1183-CENS 235-14 DISEÑO DEL PROYECTO TIBU PLANTA ZULIA</t>
  </si>
  <si>
    <t>PY1202-CENS 282-14-C-D-E-TECNICOS DEL PROYECTO 1, LT</t>
  </si>
  <si>
    <t>PY1203-CENS 285 BELEN-INSULA OCAÑA-C-D-E-TEC-PROYECT 2-LT</t>
  </si>
  <si>
    <t>PY1215-E-B233-AMPLIACION PISTA AEROPUERTO DE SANTA MARTA</t>
  </si>
  <si>
    <t>PY1217-ALC.POPAYAN-S-DOBLE CALZADA</t>
  </si>
  <si>
    <t xml:space="preserve">CZAPATA   </t>
  </si>
  <si>
    <t>PY1218-OAP 01 2015 CARAC. AMBIENTAL B/VENTURA</t>
  </si>
  <si>
    <t xml:space="preserve">SMARTINEZ </t>
  </si>
  <si>
    <t>PY1224-MINTIC INTERVENTORIA HOGARES DIGITALES</t>
  </si>
  <si>
    <t>Telecom</t>
  </si>
  <si>
    <t xml:space="preserve">JCELIS    </t>
  </si>
  <si>
    <t>PY1235-GOB. ATLANTICO-I-VIA POLO NUEVO PITALITO MALAMBO</t>
  </si>
  <si>
    <t xml:space="preserve">MBUENDIA  </t>
  </si>
  <si>
    <t>PY1240-GOB CAUCA-032-2014-E-D-PUENTE RIO MICAY</t>
  </si>
  <si>
    <t>PY1247-FINDETER-18-S-MEGACOLEGIO MONTERIA</t>
  </si>
  <si>
    <t xml:space="preserve">NDECASTRO </t>
  </si>
  <si>
    <t>PY1262-JV-FINDETER-025-S-COLECTORES / MADRID CUNDINAMARCA</t>
  </si>
  <si>
    <t xml:space="preserve">LSERRATO  </t>
  </si>
  <si>
    <t>PY1327-GOB.NARIÑO-020-C-OPTIM ACUED CANDELILLAS-TUMACO</t>
  </si>
  <si>
    <t>PY1334-ESSA-CT-2015-000058-S- PROYECTOS DEL STR</t>
  </si>
  <si>
    <t>PY1354-EPM-847-S-PCBs</t>
  </si>
  <si>
    <t xml:space="preserve">GOROZCO   </t>
  </si>
  <si>
    <t>PY1385-VIRGILIO-04-S-I-D-CONSTRUCCIÓN ETCAN-CENTRO</t>
  </si>
  <si>
    <t>PY1390-CODENSA-02-S-OPERACIONES COMERCIALES-CENTRO</t>
  </si>
  <si>
    <t>PY1397-OAP-C-COMUNIDADES ETNICAS-TOLIMA</t>
  </si>
  <si>
    <t>PY1407-JV-FINDETER_063_S_PTAP VENECIA/ WSP BUENAVENTURA</t>
  </si>
  <si>
    <t>PY1417-EPSA-D-PROYECTOS STR COSTA</t>
  </si>
  <si>
    <t>PY1447-UPME-01-2014-S-SUBESTACION LA LOMA</t>
  </si>
  <si>
    <t xml:space="preserve">GREY      </t>
  </si>
  <si>
    <t>PY1451-PB-S-INTERVENTORIA GRAMALOTE-CENTRO</t>
  </si>
  <si>
    <t>PY1452-PB-S-INTERVENTORIA HUILA TOLIMA-CENTRO</t>
  </si>
  <si>
    <t xml:space="preserve">CPRADO    </t>
  </si>
  <si>
    <t>PY1453-PB-E-ESTUDIOS Y DISEÑOS NORTE DE SANTANDER-CENTRO</t>
  </si>
  <si>
    <t xml:space="preserve">SBERNAL   </t>
  </si>
  <si>
    <t>PY1467-CEPSA-COMPRAS-ADMINISTRACIÓN CONTRATOS-128.03</t>
  </si>
  <si>
    <t>Oil &amp; Gas</t>
  </si>
  <si>
    <t>PY1470-JV-ECOPETROL-GESTIÓN HSE - 64.25</t>
  </si>
  <si>
    <t>PY1472-ECOPETROL-I-RP2-06012-CONTROL CONSOLIDADO-COC-64.19</t>
  </si>
  <si>
    <t>PY1474-JV-ECOPETROL-REDUCCIÓN APODERAMIENTO - 64.27</t>
  </si>
  <si>
    <t>PY1476-JV-EEB-LT-NORTE - TEQUENDAMA-41.04 / CONEXION SOGAMOSO</t>
  </si>
  <si>
    <t>PY1477-JV-FONADE-ED-VIAS GRUPO 1-NTE SANTANDER - 70.13 - JV-CONSORCIO DIS CEI</t>
  </si>
  <si>
    <t>HMONTENEGR</t>
  </si>
  <si>
    <t>PY1479-FONDO ADAPTACION- FASE III-SITIOS CRITICOS-131.06</t>
  </si>
  <si>
    <t>PY1480-FONDO ADAPTACION-SITIOS CRÍTICOS MÁLAGA -131.04</t>
  </si>
  <si>
    <t xml:space="preserve">RCASTRO   </t>
  </si>
  <si>
    <t>PY1481-JV-FONDO ADAPTACION-GRUPO 4-HUILA-TOLIMA-131.03/CEI SMA</t>
  </si>
  <si>
    <t>PY1488-JV-AERONAUTICA- AEROPUERTO EL DORADO-FASE I-4.33</t>
  </si>
  <si>
    <t>PY1493-JV-CONPROS-D-FASE III PUERTO BOYACÁ-OTANCHE-133.01 -JV-DISENOS OTANCHE</t>
  </si>
  <si>
    <t>PY1499-COVIANDES-DOBLE CALZADA BTÁ-V/CIO-FASE III-76.09</t>
  </si>
  <si>
    <t>PY1503-PROYECTO Y PROPUESTAS S.I. PB</t>
  </si>
  <si>
    <t xml:space="preserve">JTOVAR    </t>
  </si>
  <si>
    <t>PY1516-GESTION DE CONTRATO PERF 64-18</t>
  </si>
  <si>
    <t>PY1530-ESSA-CT-2015-000191 -LT YARIGUI-CENTRO</t>
  </si>
  <si>
    <t>PY1531-EPM-S-CT-2015-002555 - GR.1 UPL 1</t>
  </si>
  <si>
    <t>PY1548-CIRCUNVALAR OCCIDENTE SANTA ROSA-D-FACTIBILIDAD</t>
  </si>
  <si>
    <t>PY1550-ALTERNATIVAS VIALES-D-CAMBAO MANIZALES FASE III</t>
  </si>
  <si>
    <t xml:space="preserve">VROJAS    </t>
  </si>
  <si>
    <t>PY1563-PROING_C_PLANTA SOLAR_LETICIA</t>
  </si>
  <si>
    <t>PY1565-PB-USA REVISION DE DISEÑOS</t>
  </si>
  <si>
    <t>PY1566-EPM-002101-C-VALLE SAN NICOLAS</t>
  </si>
  <si>
    <t>PY1570-CENS-S-CORREDORES DE SERVIDUMBRE 1 Y 2</t>
  </si>
  <si>
    <t>PY1580-CODENSA-S-REDES MT/BT/AP 5600012985</t>
  </si>
  <si>
    <t>PY1587-CODENSA-S-5600013134-IPAL</t>
  </si>
  <si>
    <t>PY1589-BANCO REPUBLICA-D- RESIDUOS SIRRI-CE</t>
  </si>
  <si>
    <t>PY1590-GOB.ATLANTICO-003-I-ACUEDUCTO MALAMBO</t>
  </si>
  <si>
    <t xml:space="preserve">KELLY     </t>
  </si>
  <si>
    <t>PY1598-EPSA-D-PROYECTO STR VALLEDUPAR</t>
  </si>
  <si>
    <t>PY1599-EPSA-D-PROYECTO STR MONTERIA</t>
  </si>
  <si>
    <t>PY1604-OAP-C-046-CARACT. ETNOCULTURAL-SOCIOAMBIENTAL</t>
  </si>
  <si>
    <t>PY1623-UPME-013-S-SUBESTACIÓN LA LOMA</t>
  </si>
  <si>
    <t>PY1624-UPME-016-S-SUBESTACION CARACOLI</t>
  </si>
  <si>
    <t>PY1632-EPM-S-CT-2015-002554 - GR 2 STR.</t>
  </si>
  <si>
    <t>PY1646-EPSA_237_D_REDES MT Y BT_VALLE</t>
  </si>
  <si>
    <t>PY1649-CEMEX-C-LEVANTAMIENTO DE VEDA CARACOLITO</t>
  </si>
  <si>
    <t>PY1650-SANT QUILICHAO_224_D_MT Y BT_CAUCA</t>
  </si>
  <si>
    <t>PY1651-SUPERVISIÓN DE OBRAS CONTRATO COMBUSTIBLES EL DORADO</t>
  </si>
  <si>
    <t>PY1658-EMGESA - IPAL - 5600013787</t>
  </si>
  <si>
    <t>PY1661-UPME- S - STR BOSQUE II</t>
  </si>
  <si>
    <t>PY1671-INFRATA LIMITED - PROYECTO - ENTIDADES FINANCIADORAS</t>
  </si>
  <si>
    <t xml:space="preserve">JPATIÑO   </t>
  </si>
  <si>
    <t>PY1685-UPME - PALANQUE 230 KV</t>
  </si>
  <si>
    <t xml:space="preserve">SVALENCIA </t>
  </si>
  <si>
    <t>PY1707-INFRATA-CONCESION MULALO – LOBO GUERRERO</t>
  </si>
  <si>
    <t>PY1716-INS.CANCEROLOGICO-D-062-GAICA Y AGUAS LLUVIAS</t>
  </si>
  <si>
    <t>PY1719-GRUPO ARGOS-BANYANG TREE-ANGSANA TAYRONA</t>
  </si>
  <si>
    <t>PY1737-SUPERVISIÓN RED DE DISTRIBUCIÓN COMBUSTIBLE</t>
  </si>
  <si>
    <t>PY1745-PLAN DE APROVECHAMIENTO FORESTAL VÍA DE ACCESO PROYECTO APOLO</t>
  </si>
  <si>
    <t>PY1765-WSP CAN - Energy Design Guidelines</t>
  </si>
  <si>
    <t xml:space="preserve">LAVELLA   </t>
  </si>
  <si>
    <t>PY1768-JV - CONSORCIO SMA ACI CEI - 316 - 900127011-2</t>
  </si>
  <si>
    <t>PY1769-JV - CONSORCIO INTERVETORÍAS TRONCALES 2007 - 326 - 5032 - 900191853-9</t>
  </si>
  <si>
    <t>PY1770-JV - UT METROVIAS CORREDORES - 1.80 - 900230354-3</t>
  </si>
  <si>
    <t>PY1771-JV - CONSORCIO CEI ACI - 64.20 - 900285629 - 1</t>
  </si>
  <si>
    <t>PY1772-JV - CONSORCIO SMA CEI - 120.01 - 900439796-1</t>
  </si>
  <si>
    <t>PY1773-JV-CONSORCIO INTERCEPTOR TUNJUELO BAJO - 2.37 - 900192019</t>
  </si>
  <si>
    <t>PY1774-JV - CONSORCIO CEI ETSA - 112.03 - 900311315</t>
  </si>
  <si>
    <t>PY1775-JV - CONSORCIO CEI SMA SOCIEDAD DE HECHO EN LIQ. - 800080998-9</t>
  </si>
  <si>
    <t>IN1000-ENEE HONDURAS, SUPERVISION DE DISEÑO</t>
  </si>
  <si>
    <t>Cierre</t>
  </si>
  <si>
    <t>MRODRIGUEZ</t>
  </si>
  <si>
    <t>IN1001-INFOM OBRAS PARA LAS COMUNIDADES HISTA Y MAMSOHUE</t>
  </si>
  <si>
    <t xml:space="preserve">CRENGIFO  </t>
  </si>
  <si>
    <t>IN1014-WSP CARIBBEAN-145-12376-E-D ACUSTICA AUDI TRINIDAD</t>
  </si>
  <si>
    <t>IN1025-GAS NATURAL_C_INVENTARIO PANAMA</t>
  </si>
  <si>
    <t>PY1001-CENS GRUPO 1 ZONAS (1,3 Y 4)</t>
  </si>
  <si>
    <t>PY1003-CODENSA IPAL</t>
  </si>
  <si>
    <t>PY1005-CODENSA BACATA TIBABUYES USME</t>
  </si>
  <si>
    <t>PY1007-CODENSA BANCO II</t>
  </si>
  <si>
    <t>PY1011-CEO FAER II - 101</t>
  </si>
  <si>
    <t>PY1012-ESTUDIOS DISEÑOS BOSA</t>
  </si>
  <si>
    <t>PY1014-D-I-OBRAS DE DESARROLLO DE ALTA TENSIÓN</t>
  </si>
  <si>
    <t>PY1017-INVENTARIO DE ALMACENES</t>
  </si>
  <si>
    <t>PY1019-ELECTROHUILA BETANIA</t>
  </si>
  <si>
    <t>PY1020-ELECTROHUILA S/E HOBO</t>
  </si>
  <si>
    <t>PY1021-LA GALDA</t>
  </si>
  <si>
    <t>PY1022-ASOLLANOS DE LA VIRGEN</t>
  </si>
  <si>
    <t xml:space="preserve">RANZOLA   </t>
  </si>
  <si>
    <t>PY1026-I-LINEAS DE TRANSMISIÓN, GRUPO 02</t>
  </si>
  <si>
    <t>PY1028-EPM EL SALTO YARUMAL</t>
  </si>
  <si>
    <t>PY1029-EPM-TE-INT-PUENTE PUERTO SERVIEZ</t>
  </si>
  <si>
    <t>PY1032-EPSA CUCUANA MIROLINDO</t>
  </si>
  <si>
    <t>PY1034-FINAGRO INTERVENTORIA ZONA 2</t>
  </si>
  <si>
    <t xml:space="preserve">JOJEDA    </t>
  </si>
  <si>
    <t>PY1035-FINAGRO INTERVENTORIA ZONA 1</t>
  </si>
  <si>
    <t>PY1036-FINDETER COLEGIO SOACHA</t>
  </si>
  <si>
    <t>PY1037-FINDETER MEGACOLEGIOS 1000-1260</t>
  </si>
  <si>
    <t>PY1040-TIGERCOMPANIES - ESTACION EL PORVENIR DE OCENSA</t>
  </si>
  <si>
    <t>PY1043-ISA FAUNA Y FLORA</t>
  </si>
  <si>
    <t>PY1046-UPME COPEY</t>
  </si>
  <si>
    <t>PY1125-INVIAS 59 14 VIA HIGUERONES MOJARRAS CAUCA</t>
  </si>
  <si>
    <t>PY1131-JV-ANI SANTAMARTA PARAGUACHON/BIC2014</t>
  </si>
  <si>
    <t>PY1132-JV-ANI PROSPERIDAD GRUPO 3 / CONSORCIO T&amp;C002</t>
  </si>
  <si>
    <t>PY1133-JV-PDA BOYACA GRUPO A/ILAM-INALCON-CRA</t>
  </si>
  <si>
    <t>PY1134-JV-PDA BOYACA GRUPO J/ILAM-INALCON-CRA</t>
  </si>
  <si>
    <t>PY1135-JV-FONDO DE ADAPTACION BARRANQUILLITA</t>
  </si>
  <si>
    <t>PY1141-JV-INVIAS MANIZALES-CONSORCIO CI 014</t>
  </si>
  <si>
    <t xml:space="preserve">IVASQUEZ  </t>
  </si>
  <si>
    <t>PY1142-JV-TRANSMILENIO SIRCI</t>
  </si>
  <si>
    <t>PY1143-FONADE INVENTARIO DE TITULOS MINEROS</t>
  </si>
  <si>
    <t xml:space="preserve">JSOLANO   </t>
  </si>
  <si>
    <t>PY1144-FONDAP E&amp;D TOLIMA 10 PROYECTOS</t>
  </si>
  <si>
    <t>PY1149-JV-TRANSMILENIO 02 13 RUTAS URBANAS GBJ</t>
  </si>
  <si>
    <t>PY1150-WSP SISTEMA INFORMACION REG NORTE</t>
  </si>
  <si>
    <t>PY1154-CONSORCIO APP CAMBAO MANIZALES</t>
  </si>
  <si>
    <t>PY1155-JV-FONADE 17 12 FISCALIZACI TITULOS MINEROS</t>
  </si>
  <si>
    <t>Minería</t>
  </si>
  <si>
    <t>PY1156-EAAB - 1176 13 - EL DORADO Y LA LAGUNA</t>
  </si>
  <si>
    <t>PY1157-JV-I-BATALLON PUERTO RICO-CAQUETA/ SAMAN2013</t>
  </si>
  <si>
    <t>PY1159-GAICO 68 13 FERROCARRILES CERREJON LIMIT</t>
  </si>
  <si>
    <t>PY1160-FONDAP  02 14 AP Y SB BOLIVAR CESAR</t>
  </si>
  <si>
    <t>PY1163-JV-I-MTTO Y CONSER VÍAS CASANARE / CRAING</t>
  </si>
  <si>
    <t>PY1164-FONDO COLOMBIA SITIUM EDIFICIO OFICINAS</t>
  </si>
  <si>
    <t>PY1166-JV-SERV PENITENCIARIOSYCARCELARIOS-R(7211)/HID-GEN</t>
  </si>
  <si>
    <t>PY1167-CORPOICA  DISEÑO CENTRO INV CARIMAGUA</t>
  </si>
  <si>
    <t>PY1168-WSP SUDAFRICA PANTALEON</t>
  </si>
  <si>
    <t>PY1169-CONSORCIO VIAL DEL SUR SECTORES 1,4 Y 5</t>
  </si>
  <si>
    <t>PY1180-RPC-WSP ASESORIA MEDIO AMBIENTAL</t>
  </si>
  <si>
    <t>PY1204-EMGESA - IPAL</t>
  </si>
  <si>
    <t>PY1209-GECELCA SERVICIO LEVANTAMIENTO TOPOGRAFICO</t>
  </si>
  <si>
    <t>PY1214-I-D-8 BAHÍAS COMPENSACIÓN CAPACITIVA</t>
  </si>
  <si>
    <t>PY1230-ELECTROHUILA-DISEÑO "LA PLATA"</t>
  </si>
  <si>
    <t>PY1237-JV-INVIAS-INTERVENTORIA-CASANARE MOD 1  CONSORCIO CJ</t>
  </si>
  <si>
    <t>PY1243-ALCALDIA POPAYAN-ESTUDIOS Y DISEÑOS</t>
  </si>
  <si>
    <t>PY1244-CENS ECOPETROL-000018-I-ELECTRIFICACION RURAL</t>
  </si>
  <si>
    <t>PY1245-OHL - A - AEROPUERTO BUCARAMANGA</t>
  </si>
  <si>
    <t>PY1257-ISA-816-D-REDES VEREDAS MESA BALSILLAS-MUN ORTEGA</t>
  </si>
  <si>
    <t>PY1281-UPME_008_D_AMPLIACION_DE_LA_SE_VALLEDUPAR_A_230KV.</t>
  </si>
  <si>
    <t>PY1302-LATTITUDE-D-ZIRUMA-ADULTO MAYOR Y COLISEO GAIRA</t>
  </si>
  <si>
    <t>PY1308-COLORCON - D- SEDE LABORATORIO CIUDAD DE BOGOTA</t>
  </si>
  <si>
    <t>PY1326-ARD_277_E_OPTIMIZACION Y AMPLIACION_MIRANDA-CAUCA</t>
  </si>
  <si>
    <t>PY1337-LATTITUDE-D-DISEÑO CENTRO DEL ADULTO MAYOR</t>
  </si>
  <si>
    <t>PY1343-FONDO ADAPTACION-E-SITIOS CRITICOS NOR SANTANDER</t>
  </si>
  <si>
    <t xml:space="preserve">OMESA     </t>
  </si>
  <si>
    <t>PY1391-ELECTROHUILA-025-S-CONS. SE PITALITO-HUILA</t>
  </si>
  <si>
    <t>PY1396-JV-UPME-011 2015-A-ATRACTIVIDAD MINERIA / BOYD-WSP</t>
  </si>
  <si>
    <t xml:space="preserve">OHORTUA   </t>
  </si>
  <si>
    <t>PY1402-TECHNOELITE-D-INGENIERÍA BARANOA</t>
  </si>
  <si>
    <t>PY1416-GEOMATICA-LT SOGAMOSO-NORTE TEQUENDAMA 500KV</t>
  </si>
  <si>
    <t xml:space="preserve">JCARRILLO </t>
  </si>
  <si>
    <t>PY1425-PARSONS-ID-SOGAMOSO-NORTE-TEQUENDAMA FASEII</t>
  </si>
  <si>
    <t xml:space="preserve">LQUINTERO </t>
  </si>
  <si>
    <t>PY1465-CEPSA-ABASTECICIMIENTO DE CEPCOLSA-128.02</t>
  </si>
  <si>
    <t>PY1466-CEPSA-ABASTECICIMIENTO DE CEPCOLSA-128.01</t>
  </si>
  <si>
    <t>PY1468-EAAB-TANQUE SANTO DOMINGO-ALTOS ESTANCIA-2.39</t>
  </si>
  <si>
    <t xml:space="preserve">AANTENOR  </t>
  </si>
  <si>
    <t>PY1469-ECOPETROL-GERENCIA TÉCNICA TRANSPORTE-64.26</t>
  </si>
  <si>
    <t>PY1471-ECOPETROL- GERENCIA REGIONAL SUR 2011-64.23</t>
  </si>
  <si>
    <t>PY1473-JV-ECOPETROL-CONTRATOS GERENCIA DE POLIDUCTOS-64.22</t>
  </si>
  <si>
    <t xml:space="preserve">ENAVARRO  </t>
  </si>
  <si>
    <t>PY1475-ECOPETROL-GERENCIA REGIONAL MAGDALENA MEDIO-64.2</t>
  </si>
  <si>
    <t>PY1478-JV-FONDO ADAPTACION-FENOMENO DE LA NIÑA-131.02 JV-CONSULTORES ESTRUCTURALES</t>
  </si>
  <si>
    <t>PY1482-FONDO ADAPTACION-FENÓMENO NIÑA HUILA-TOLIMA-131.05</t>
  </si>
  <si>
    <t xml:space="preserve">ERAMIREZ  </t>
  </si>
  <si>
    <t>PY1483-D.N.SANTANDER-E-ACUEDUCTO-ALCANTARILLADO-136.01</t>
  </si>
  <si>
    <t>PY1484-JV-INVIAS-DOBLE CALZADA BUCARAMANGA-CUCUTA-1.82-JV-CEI - EDL</t>
  </si>
  <si>
    <t>PY1485-PETROLLANO-FERROCARRIL LLANOS DAA-134.02</t>
  </si>
  <si>
    <t>PY1486-PETROLLANO- PREINVERSIÓN FERROCARRIL LLANOS-134.01</t>
  </si>
  <si>
    <t>PY1487-ALLIED-AIRCRAFT HYDRANT FUELING SYSTEM-123.01</t>
  </si>
  <si>
    <t>PY1494-JV-CONS.RUTA SOL- CONCESIONARIO-116.01</t>
  </si>
  <si>
    <t>PY1495-JV-CONST-A-DOBLE CALZADA BTÁ - VILLAVCIO-118.01 JV-EDL - CEI AUDITORIA</t>
  </si>
  <si>
    <t>PY1496-JV-COVIANDES-ED-FASE III TÚNEL BTÁ - V/CIO-76.10-11-12-JV EC VILLAVICENCIO</t>
  </si>
  <si>
    <t>PY1497-JV-FCC-PF-LT-LA VIRGINIA-ALFEREZ-SAN MARCOS-137.01</t>
  </si>
  <si>
    <t xml:space="preserve">RMAURICIO </t>
  </si>
  <si>
    <t>PY1498-JV-PROY-ED-FASE II-NUEVA CALZADA BTA - V/CIO-130.01-02-JV-DISENOS VILLAVICENCIO</t>
  </si>
  <si>
    <t>PY1501-ESSA-S- RESOLUCIÓN CREG PROYECTOS DEL STR</t>
  </si>
  <si>
    <t>PY1514-CONS INTER VP TRSNPORTE 64-16</t>
  </si>
  <si>
    <t>PY1519-GERENCIA ESTUDIO ANGEL ARANGO</t>
  </si>
  <si>
    <t>PY1520-INTERV REFORZAMINETO JARILLON</t>
  </si>
  <si>
    <t>PY1521-ESTU FASE I-II PUERTO SALGAR</t>
  </si>
  <si>
    <t>PY1522-PRESTA INS CONTRACTUAL</t>
  </si>
  <si>
    <t>PY1523-CONSULTORIA INFORM PRIMARIA</t>
  </si>
  <si>
    <t>PY1524-INVENTARIO HSEQ</t>
  </si>
  <si>
    <t>PY1525-CONSULTORIA GERENCIA APIAY</t>
  </si>
  <si>
    <t>PY1526-INTERV EDUACION CARRERA 10</t>
  </si>
  <si>
    <t>PY1527-ELECTROHUILA DISEÑO S/E GARZÓN II Y SUR-NEIVA</t>
  </si>
  <si>
    <t>PY1551-ASISTENCIA TÉCNICA PUERTO DE SANTA MARTA</t>
  </si>
  <si>
    <t>PY1552-CONSORCIO ETSA-CEI-CONSULTORIA-EPC-128</t>
  </si>
  <si>
    <t>PY1571-JV-FINDETER_12_E_EMBALSE PTAR_CALI</t>
  </si>
  <si>
    <t>PY1600-BIOMAX-S-ACPM PUERTO SERVIEZ–TERMOSIERRA</t>
  </si>
  <si>
    <t>PY1608-CEO_D_PRONE_POPAYAN</t>
  </si>
  <si>
    <t>PY1715-EMINCAR - PROYECTO CASTELLANOS CUBA</t>
  </si>
  <si>
    <t>PY1101-ZONA FRANCA PUERTO DIQUE-GERENCIA PROYEC</t>
  </si>
  <si>
    <t>PY1102-EPM - LINEA TRANSMISION-LA SIERRA COCORNA</t>
  </si>
  <si>
    <t>PY1116-ENEE 3103 01 14 SBCC 230/34.5 KV 50 MVA</t>
  </si>
  <si>
    <t>PY1118-CENS 168 14 DIS LIN TRANSM = SUP 110 KV</t>
  </si>
  <si>
    <t>PY1119-GAS NATURAL 3110755514M1 AT SERV APOYO</t>
  </si>
  <si>
    <t>PY1184-GECELCA-TOPOGRAFIA EN PUERTO LIBERTADOR CÓRDOBA</t>
  </si>
  <si>
    <t>PY1188-DESARR ANTEPROYECTO-INTERCONE 500 KV ECUADOR-PERÚ.</t>
  </si>
  <si>
    <t>LMANJARRES</t>
  </si>
  <si>
    <t>PY1216-AGS-COMPLEJO PORTUARIO E INDUSTRIAL MAMONAL</t>
  </si>
  <si>
    <t>PY1162-|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</si>
</sst>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 #,##0.00_ ;_ * \-#,##0.00_ ;_ * &quot;-&quot;??_ ;_ @_ "/>
    <numFmt numFmtId="165" formatCode="0.00;[Red]0.00"/>
    <numFmt numFmtId="166" formatCode="#,##0_ ;[Red]\-#,##0\ "/>
    <numFmt numFmtId="167" formatCode="_ * #,##0_ ;_ * \-#,##0_ ;_ * &quot;-&quot;??_ ;_ @_ "/>
  </numFmts>
  <fonts count="30" x14ac:knownFonts="1">
    <font>
      <sz val="11"/>
      <color theme="1"/>
      <name val="Calibri"/>
      <family val="2"/>
      <scheme val="minor"/>
    </font>
    <font>
      <b/>
      <sz val="11"/>
      <color theme="0"/>
      <name val="Tahoma"/>
      <family val="2"/>
    </font>
    <font>
      <b/>
      <i/>
      <sz val="11"/>
      <color theme="1"/>
      <name val="Tahoma"/>
      <family val="2"/>
    </font>
    <font>
      <b/>
      <sz val="11"/>
      <color theme="1" tint="4.9989318521683403E-2"/>
      <name val="Tahoma"/>
      <family val="2"/>
    </font>
    <font>
      <b/>
      <sz val="20"/>
      <color theme="0"/>
      <name val="Tahoma"/>
      <family val="2"/>
    </font>
    <font>
      <b/>
      <i/>
      <sz val="14"/>
      <color theme="1"/>
      <name val="Calibri"/>
      <family val="2"/>
      <scheme val="minor"/>
    </font>
    <font>
      <b/>
      <i/>
      <sz val="18"/>
      <color theme="1"/>
      <name val="Calibri"/>
      <family val="2"/>
      <scheme val="minor"/>
    </font>
    <font>
      <sz val="11"/>
      <color theme="0"/>
      <name val="Calibri"/>
      <family val="2"/>
      <scheme val="minor"/>
    </font>
    <font>
      <sz val="11"/>
      <color theme="4"/>
      <name val="Calibri"/>
      <family val="2"/>
      <scheme val="minor"/>
    </font>
    <font>
      <b/>
      <i/>
      <sz val="22"/>
      <color theme="1"/>
      <name val="Calibri"/>
      <family val="2"/>
      <scheme val="minor"/>
    </font>
    <font>
      <b/>
      <sz val="22"/>
      <color theme="0"/>
      <name val="Tahoma"/>
      <family val="2"/>
    </font>
    <font>
      <sz val="11"/>
      <color theme="0" tint="-0.34998626667073579"/>
      <name val="Calibri"/>
      <family val="2"/>
      <scheme val="minor"/>
    </font>
    <font>
      <b/>
      <sz val="10"/>
      <color theme="0"/>
      <name val="Tahoma"/>
      <family val="2"/>
    </font>
    <font>
      <sz val="9"/>
      <color theme="0"/>
      <name val="Tahoma"/>
      <family val="2"/>
    </font>
    <font>
      <b/>
      <i/>
      <sz val="20"/>
      <color theme="1"/>
      <name val="Calibri"/>
      <family val="2"/>
      <scheme val="minor"/>
    </font>
    <font>
      <b/>
      <sz val="11"/>
      <color theme="0" tint="-0.34998626667073579"/>
      <name val="Tahoma"/>
      <family val="2"/>
    </font>
    <font>
      <sz val="11"/>
      <color rgb="FF0000FF"/>
      <name val="Calibri"/>
      <family val="2"/>
      <scheme val="minor"/>
    </font>
    <font>
      <b/>
      <i/>
      <sz val="18"/>
      <color rgb="FF0000FF"/>
      <name val="Calibri"/>
      <family val="2"/>
      <scheme val="minor"/>
    </font>
    <font>
      <b/>
      <sz val="11"/>
      <color theme="4" tint="-0.249977111117893"/>
      <name val="Calibri"/>
      <family val="2"/>
      <scheme val="minor"/>
    </font>
    <font>
      <sz val="11"/>
      <color theme="4" tint="-0.249977111117893"/>
      <name val="Calibri"/>
      <family val="2"/>
      <scheme val="minor"/>
    </font>
    <font>
      <b/>
      <sz val="11"/>
      <color theme="0"/>
      <name val="Calibri"/>
      <family val="2"/>
      <scheme val="minor"/>
    </font>
    <font>
      <sz val="11"/>
      <color rgb="FF777777"/>
      <name val="Calibri"/>
      <family val="2"/>
      <scheme val="minor"/>
    </font>
    <font>
      <sz val="11"/>
      <color rgb="FFFF0000"/>
      <name val="Calibri"/>
      <family val="2"/>
      <scheme val="minor"/>
    </font>
    <font>
      <b/>
      <sz val="11"/>
      <color theme="1"/>
      <name val="Tahoma"/>
      <family val="2"/>
    </font>
    <font>
      <sz val="10"/>
      <color theme="1"/>
      <name val="Calibri"/>
      <family val="2"/>
      <scheme val="minor"/>
    </font>
    <font>
      <sz val="10"/>
      <color rgb="FF777777"/>
      <name val="Calibri"/>
      <family val="2"/>
      <scheme val="minor"/>
    </font>
    <font>
      <sz val="8"/>
      <color theme="1"/>
      <name val="Calibri"/>
      <family val="2"/>
      <scheme val="minor"/>
    </font>
    <font>
      <i/>
      <sz val="11"/>
      <color theme="1"/>
      <name val="Calibri"/>
      <family val="2"/>
      <scheme val="minor"/>
    </font>
    <font>
      <u/>
      <sz val="11"/>
      <color theme="1"/>
      <name val="Calibri"/>
      <family val="2"/>
      <scheme val="minor"/>
    </font>
    <font>
      <sz val="11"/>
      <color theme="1"/>
      <name val="Calibri"/>
      <family val="2"/>
      <scheme val="minor"/>
    </font>
  </fonts>
  <fills count="11">
    <fill>
      <patternFill patternType="none"/>
    </fill>
    <fill>
      <patternFill patternType="gray125"/>
    </fill>
    <fill>
      <patternFill patternType="solid">
        <fgColor theme="8"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0000"/>
        <bgColor indexed="64"/>
      </patternFill>
    </fill>
    <fill>
      <patternFill patternType="solid">
        <fgColor rgb="FF92D050"/>
        <bgColor indexed="64"/>
      </patternFill>
    </fill>
    <fill>
      <patternFill patternType="solid">
        <fgColor theme="0" tint="-0.249977111117893"/>
        <bgColor indexed="64"/>
      </patternFill>
    </fill>
  </fills>
  <borders count="26">
    <border>
      <left/>
      <right/>
      <top/>
      <bottom/>
      <diagonal/>
    </border>
    <border>
      <left/>
      <right/>
      <top style="medium">
        <color auto="1"/>
      </top>
      <bottom style="medium">
        <color auto="1"/>
      </bottom>
      <diagonal/>
    </border>
    <border>
      <left/>
      <right/>
      <top style="medium">
        <color indexed="64"/>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indexed="64"/>
      </right>
      <top style="thin">
        <color auto="1"/>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diagonal/>
    </border>
    <border>
      <left/>
      <right/>
      <top/>
      <bottom style="thin">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thin">
        <color auto="1"/>
      </top>
      <bottom/>
      <diagonal/>
    </border>
  </borders>
  <cellStyleXfs count="2">
    <xf numFmtId="0" fontId="0" fillId="0" borderId="0"/>
    <xf numFmtId="164" fontId="29" fillId="0" borderId="0" applyFont="0" applyFill="0" applyBorder="0" applyAlignment="0" applyProtection="0"/>
  </cellStyleXfs>
  <cellXfs count="154">
    <xf numFmtId="0" fontId="0" fillId="0" borderId="0" xfId="0"/>
    <xf numFmtId="0" fontId="0" fillId="0" borderId="0" xfId="0"/>
    <xf numFmtId="38" fontId="2" fillId="3" borderId="1" xfId="0" applyNumberFormat="1" applyFont="1" applyFill="1" applyBorder="1"/>
    <xf numFmtId="0" fontId="0" fillId="0" borderId="0" xfId="0" applyAlignment="1">
      <alignment wrapText="1"/>
    </xf>
    <xf numFmtId="0" fontId="0" fillId="0" borderId="0" xfId="0" applyAlignment="1">
      <alignment vertical="center"/>
    </xf>
    <xf numFmtId="0" fontId="0" fillId="4" borderId="4" xfId="0" applyFill="1" applyBorder="1"/>
    <xf numFmtId="0" fontId="0" fillId="4" borderId="2"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3" xfId="0" applyFill="1" applyBorder="1"/>
    <xf numFmtId="0" fontId="0" fillId="4" borderId="9" xfId="0" applyFill="1" applyBorder="1"/>
    <xf numFmtId="3" fontId="0" fillId="0" borderId="0" xfId="0" applyNumberFormat="1"/>
    <xf numFmtId="0" fontId="3" fillId="4" borderId="10" xfId="0" applyFont="1" applyFill="1" applyBorder="1" applyAlignment="1">
      <alignment vertical="center" wrapText="1"/>
    </xf>
    <xf numFmtId="0" fontId="1" fillId="2" borderId="10" xfId="0" applyFont="1" applyFill="1" applyBorder="1" applyAlignment="1">
      <alignment vertical="center" wrapText="1"/>
    </xf>
    <xf numFmtId="0" fontId="1" fillId="2" borderId="10" xfId="0" applyFont="1" applyFill="1" applyBorder="1" applyAlignment="1">
      <alignment horizontal="center" vertical="center" wrapText="1"/>
    </xf>
    <xf numFmtId="0" fontId="1" fillId="5" borderId="10" xfId="0" applyFont="1" applyFill="1" applyBorder="1" applyAlignment="1">
      <alignment horizontal="center" vertical="center" wrapText="1"/>
    </xf>
    <xf numFmtId="0" fontId="3" fillId="4" borderId="0" xfId="0" applyFont="1" applyFill="1" applyBorder="1" applyAlignment="1" applyProtection="1">
      <alignment horizontal="left" indent="3"/>
    </xf>
    <xf numFmtId="0" fontId="3" fillId="4" borderId="0" xfId="0" applyFont="1" applyFill="1" applyBorder="1" applyAlignment="1" applyProtection="1">
      <alignment horizontal="left" indent="1"/>
    </xf>
    <xf numFmtId="0" fontId="0" fillId="4" borderId="0" xfId="0" applyFill="1" applyProtection="1"/>
    <xf numFmtId="0" fontId="4" fillId="4" borderId="0" xfId="0" applyFont="1" applyFill="1" applyBorder="1" applyAlignment="1" applyProtection="1">
      <alignment horizontal="left" indent="3"/>
    </xf>
    <xf numFmtId="0" fontId="0" fillId="0" borderId="0" xfId="0" applyProtection="1"/>
    <xf numFmtId="4" fontId="0" fillId="0" borderId="11" xfId="0" applyNumberFormat="1" applyBorder="1"/>
    <xf numFmtId="3" fontId="0" fillId="0" borderId="11" xfId="0" applyNumberFormat="1" applyBorder="1"/>
    <xf numFmtId="3" fontId="2" fillId="3" borderId="1" xfId="0" applyNumberFormat="1" applyFont="1" applyFill="1" applyBorder="1"/>
    <xf numFmtId="3" fontId="0" fillId="4" borderId="0" xfId="0" applyNumberFormat="1" applyFill="1" applyAlignment="1">
      <alignment vertical="center"/>
    </xf>
    <xf numFmtId="0" fontId="9" fillId="4" borderId="12" xfId="0" applyFont="1" applyFill="1" applyBorder="1" applyAlignment="1" applyProtection="1">
      <alignment horizontal="left"/>
    </xf>
    <xf numFmtId="0" fontId="15" fillId="4" borderId="6" xfId="0" applyFont="1" applyFill="1" applyBorder="1" applyAlignment="1" applyProtection="1">
      <alignment horizontal="left" indent="3"/>
    </xf>
    <xf numFmtId="0" fontId="3" fillId="0" borderId="0" xfId="0" applyFont="1" applyFill="1" applyBorder="1" applyAlignment="1" applyProtection="1">
      <alignment horizontal="left" indent="3"/>
    </xf>
    <xf numFmtId="4" fontId="0" fillId="0" borderId="0" xfId="0" applyNumberFormat="1"/>
    <xf numFmtId="0" fontId="0" fillId="4" borderId="0" xfId="0" applyFill="1" applyBorder="1" applyProtection="1"/>
    <xf numFmtId="0" fontId="11" fillId="4" borderId="0" xfId="0" applyFont="1" applyFill="1" applyBorder="1" applyAlignment="1" applyProtection="1">
      <alignment horizontal="center" wrapText="1"/>
    </xf>
    <xf numFmtId="3" fontId="0" fillId="4" borderId="0" xfId="0" applyNumberFormat="1" applyFill="1"/>
    <xf numFmtId="0" fontId="14" fillId="4" borderId="16" xfId="0" applyFont="1" applyFill="1" applyBorder="1" applyAlignment="1" applyProtection="1">
      <alignment horizontal="left"/>
    </xf>
    <xf numFmtId="3" fontId="2" fillId="3" borderId="2" xfId="0" applyNumberFormat="1" applyFont="1" applyFill="1" applyBorder="1"/>
    <xf numFmtId="3" fontId="2" fillId="3" borderId="0" xfId="0" applyNumberFormat="1" applyFont="1" applyFill="1" applyBorder="1"/>
    <xf numFmtId="0" fontId="19" fillId="0" borderId="0" xfId="0" applyFont="1"/>
    <xf numFmtId="0" fontId="19" fillId="0" borderId="0" xfId="0" applyFont="1" applyAlignment="1">
      <alignment horizontal="center"/>
    </xf>
    <xf numFmtId="3" fontId="19" fillId="6" borderId="0" xfId="0" applyNumberFormat="1" applyFont="1" applyFill="1"/>
    <xf numFmtId="3" fontId="19" fillId="6" borderId="0" xfId="0" applyNumberFormat="1" applyFont="1" applyFill="1" applyAlignment="1">
      <alignment horizontal="center"/>
    </xf>
    <xf numFmtId="3" fontId="19" fillId="0" borderId="0" xfId="0" applyNumberFormat="1" applyFont="1"/>
    <xf numFmtId="3" fontId="19" fillId="0" borderId="0" xfId="0" applyNumberFormat="1" applyFont="1" applyAlignment="1">
      <alignment horizontal="center"/>
    </xf>
    <xf numFmtId="3" fontId="19" fillId="6" borderId="17" xfId="0" applyNumberFormat="1" applyFont="1" applyFill="1" applyBorder="1"/>
    <xf numFmtId="3" fontId="19" fillId="6" borderId="17" xfId="0" applyNumberFormat="1" applyFont="1" applyFill="1" applyBorder="1" applyAlignment="1">
      <alignment horizontal="center"/>
    </xf>
    <xf numFmtId="0" fontId="0" fillId="0" borderId="18" xfId="0" applyFont="1" applyBorder="1"/>
    <xf numFmtId="3" fontId="0" fillId="6" borderId="18" xfId="0" applyNumberFormat="1" applyFont="1" applyFill="1" applyBorder="1"/>
    <xf numFmtId="3" fontId="0" fillId="6" borderId="19" xfId="0" applyNumberFormat="1" applyFont="1" applyFill="1" applyBorder="1"/>
    <xf numFmtId="3" fontId="0" fillId="0" borderId="18" xfId="0" applyNumberFormat="1" applyFont="1" applyBorder="1"/>
    <xf numFmtId="3" fontId="0" fillId="6" borderId="20" xfId="0" applyNumberFormat="1" applyFont="1" applyFill="1" applyBorder="1"/>
    <xf numFmtId="3" fontId="0" fillId="0" borderId="20" xfId="0" applyNumberFormat="1" applyFont="1" applyBorder="1"/>
    <xf numFmtId="0" fontId="0" fillId="0" borderId="20" xfId="0" applyFont="1" applyBorder="1"/>
    <xf numFmtId="0" fontId="18" fillId="0" borderId="21" xfId="0" applyFont="1" applyBorder="1"/>
    <xf numFmtId="0" fontId="18" fillId="0" borderId="21" xfId="0" applyFont="1" applyBorder="1" applyAlignment="1">
      <alignment horizontal="center"/>
    </xf>
    <xf numFmtId="0" fontId="19" fillId="6" borderId="21" xfId="0" applyFont="1" applyFill="1" applyBorder="1"/>
    <xf numFmtId="0" fontId="19" fillId="6" borderId="21" xfId="0" applyFont="1" applyFill="1" applyBorder="1" applyAlignment="1">
      <alignment horizontal="center"/>
    </xf>
    <xf numFmtId="0" fontId="20" fillId="7" borderId="22" xfId="0" applyFont="1" applyFill="1" applyBorder="1"/>
    <xf numFmtId="0" fontId="20" fillId="7" borderId="23" xfId="0" applyFont="1" applyFill="1" applyBorder="1"/>
    <xf numFmtId="0" fontId="20" fillId="7" borderId="24" xfId="0" applyFont="1" applyFill="1" applyBorder="1"/>
    <xf numFmtId="0" fontId="0" fillId="6" borderId="22" xfId="0" applyFont="1" applyFill="1" applyBorder="1"/>
    <xf numFmtId="0" fontId="0" fillId="6" borderId="23" xfId="0" applyFont="1" applyFill="1" applyBorder="1"/>
    <xf numFmtId="0" fontId="0" fillId="6" borderId="24" xfId="0" applyFont="1" applyFill="1" applyBorder="1"/>
    <xf numFmtId="0" fontId="0" fillId="0" borderId="22" xfId="0" applyFont="1" applyBorder="1"/>
    <xf numFmtId="0" fontId="0" fillId="0" borderId="23" xfId="0" applyFont="1" applyBorder="1"/>
    <xf numFmtId="0" fontId="0" fillId="0" borderId="24" xfId="0" applyFont="1" applyBorder="1"/>
    <xf numFmtId="3" fontId="0" fillId="6" borderId="22" xfId="0" applyNumberFormat="1" applyFont="1" applyFill="1" applyBorder="1"/>
    <xf numFmtId="3" fontId="0" fillId="6" borderId="23" xfId="0" applyNumberFormat="1" applyFont="1" applyFill="1" applyBorder="1"/>
    <xf numFmtId="3" fontId="0" fillId="6" borderId="24" xfId="0" applyNumberFormat="1" applyFont="1" applyFill="1" applyBorder="1"/>
    <xf numFmtId="3" fontId="0" fillId="0" borderId="22" xfId="0" applyNumberFormat="1" applyFont="1" applyBorder="1"/>
    <xf numFmtId="3" fontId="0" fillId="0" borderId="23" xfId="0" applyNumberFormat="1" applyFont="1" applyBorder="1"/>
    <xf numFmtId="3" fontId="0" fillId="0" borderId="24" xfId="0" applyNumberFormat="1" applyFont="1" applyBorder="1"/>
    <xf numFmtId="3" fontId="20" fillId="7" borderId="22" xfId="0" applyNumberFormat="1" applyFont="1" applyFill="1" applyBorder="1"/>
    <xf numFmtId="3" fontId="20" fillId="7" borderId="24" xfId="0" applyNumberFormat="1" applyFont="1" applyFill="1" applyBorder="1"/>
    <xf numFmtId="0" fontId="0" fillId="4" borderId="0" xfId="0" applyFill="1" applyAlignment="1" applyProtection="1">
      <alignment horizontal="left"/>
    </xf>
    <xf numFmtId="0" fontId="1" fillId="4" borderId="0" xfId="0" applyFont="1" applyFill="1" applyBorder="1" applyAlignment="1" applyProtection="1">
      <alignment horizontal="left" indent="3"/>
    </xf>
    <xf numFmtId="0" fontId="0" fillId="4" borderId="13" xfId="0" applyFill="1" applyBorder="1" applyProtection="1"/>
    <xf numFmtId="0" fontId="0" fillId="4" borderId="14" xfId="0" applyFill="1" applyBorder="1" applyProtection="1"/>
    <xf numFmtId="0" fontId="0" fillId="4" borderId="14" xfId="0" applyFill="1" applyBorder="1" applyAlignment="1" applyProtection="1">
      <alignment wrapText="1"/>
    </xf>
    <xf numFmtId="0" fontId="0" fillId="4" borderId="15" xfId="0" applyFill="1" applyBorder="1" applyProtection="1"/>
    <xf numFmtId="0" fontId="0" fillId="4" borderId="0" xfId="0" applyFill="1" applyAlignment="1" applyProtection="1">
      <alignment wrapText="1"/>
    </xf>
    <xf numFmtId="0" fontId="0" fillId="4" borderId="15" xfId="0" applyFill="1" applyBorder="1" applyAlignment="1" applyProtection="1">
      <alignment wrapText="1"/>
    </xf>
    <xf numFmtId="3" fontId="0" fillId="4" borderId="0" xfId="0" applyNumberFormat="1" applyFill="1" applyBorder="1" applyAlignment="1" applyProtection="1">
      <alignment vertical="top" wrapText="1"/>
    </xf>
    <xf numFmtId="0" fontId="5" fillId="4" borderId="0" xfId="0" applyFont="1" applyFill="1" applyAlignment="1" applyProtection="1">
      <alignment horizontal="center"/>
    </xf>
    <xf numFmtId="4" fontId="0" fillId="0" borderId="25" xfId="0" applyNumberFormat="1" applyBorder="1"/>
    <xf numFmtId="3" fontId="0" fillId="0" borderId="25" xfId="0" applyNumberFormat="1" applyBorder="1"/>
    <xf numFmtId="3" fontId="23" fillId="3" borderId="1" xfId="0" applyNumberFormat="1" applyFont="1" applyFill="1" applyBorder="1"/>
    <xf numFmtId="0" fontId="8" fillId="0" borderId="0" xfId="0" applyFont="1" applyFill="1" applyProtection="1">
      <protection locked="0"/>
    </xf>
    <xf numFmtId="0" fontId="0" fillId="4" borderId="0" xfId="0" applyFill="1" applyProtection="1">
      <protection locked="0"/>
    </xf>
    <xf numFmtId="0" fontId="0" fillId="4" borderId="0" xfId="0" applyFill="1" applyBorder="1" applyProtection="1">
      <protection locked="0"/>
    </xf>
    <xf numFmtId="3" fontId="0" fillId="4" borderId="0" xfId="0" applyNumberFormat="1" applyFill="1" applyBorder="1" applyAlignment="1" applyProtection="1">
      <alignment vertical="top" wrapText="1"/>
      <protection locked="0"/>
    </xf>
    <xf numFmtId="0" fontId="11" fillId="4" borderId="5" xfId="0" applyFont="1" applyFill="1" applyBorder="1" applyAlignment="1" applyProtection="1">
      <alignment horizontal="center" wrapText="1"/>
    </xf>
    <xf numFmtId="0" fontId="1" fillId="2" borderId="10" xfId="0" applyFont="1" applyFill="1" applyBorder="1" applyAlignment="1" applyProtection="1">
      <alignment horizontal="center" vertical="top" wrapText="1"/>
      <protection locked="0"/>
    </xf>
    <xf numFmtId="3" fontId="0" fillId="4" borderId="0" xfId="0" applyNumberFormat="1" applyFill="1" applyBorder="1" applyAlignment="1" applyProtection="1">
      <alignment vertical="center"/>
      <protection locked="0"/>
    </xf>
    <xf numFmtId="3" fontId="0" fillId="4" borderId="0" xfId="0" applyNumberFormat="1" applyFill="1" applyBorder="1" applyAlignment="1">
      <alignment vertical="center"/>
    </xf>
    <xf numFmtId="3" fontId="0" fillId="4" borderId="0" xfId="0" applyNumberFormat="1" applyFill="1" applyBorder="1" applyProtection="1">
      <protection locked="0"/>
    </xf>
    <xf numFmtId="3" fontId="0" fillId="4" borderId="0" xfId="0" applyNumberFormat="1" applyFill="1" applyBorder="1"/>
    <xf numFmtId="0" fontId="22" fillId="4" borderId="0" xfId="0" applyFont="1" applyFill="1" applyBorder="1" applyProtection="1">
      <protection locked="0"/>
    </xf>
    <xf numFmtId="165" fontId="0" fillId="0" borderId="0" xfId="0" applyNumberFormat="1" applyBorder="1" applyAlignment="1" applyProtection="1">
      <alignment vertical="top" wrapText="1"/>
    </xf>
    <xf numFmtId="165" fontId="0" fillId="0" borderId="0" xfId="0" applyNumberFormat="1" applyAlignment="1" applyProtection="1">
      <alignment vertical="top" wrapText="1"/>
    </xf>
    <xf numFmtId="165" fontId="0" fillId="0" borderId="0" xfId="0" applyNumberFormat="1" applyBorder="1" applyAlignment="1" applyProtection="1">
      <alignment vertical="center" textRotation="90"/>
    </xf>
    <xf numFmtId="166" fontId="0" fillId="0" borderId="0" xfId="0" applyNumberFormat="1" applyBorder="1" applyProtection="1"/>
    <xf numFmtId="166" fontId="0" fillId="0" borderId="0" xfId="0" applyNumberFormat="1" applyBorder="1" applyProtection="1">
      <protection locked="0"/>
    </xf>
    <xf numFmtId="166" fontId="22" fillId="0" borderId="0" xfId="0" applyNumberFormat="1" applyFont="1" applyBorder="1" applyProtection="1"/>
    <xf numFmtId="166" fontId="0" fillId="0" borderId="0" xfId="0" applyNumberFormat="1" applyProtection="1"/>
    <xf numFmtId="166" fontId="0" fillId="0" borderId="0" xfId="0" applyNumberFormat="1" applyProtection="1">
      <protection locked="0"/>
    </xf>
    <xf numFmtId="166" fontId="22" fillId="0" borderId="0" xfId="0" applyNumberFormat="1" applyFont="1" applyProtection="1"/>
    <xf numFmtId="166" fontId="16" fillId="0" borderId="0" xfId="0" applyNumberFormat="1" applyFont="1" applyBorder="1" applyProtection="1"/>
    <xf numFmtId="166" fontId="21" fillId="0" borderId="0" xfId="0" applyNumberFormat="1" applyFont="1" applyBorder="1" applyProtection="1"/>
    <xf numFmtId="165" fontId="0" fillId="0" borderId="0" xfId="0" applyNumberFormat="1" applyAlignment="1" applyProtection="1">
      <alignment vertical="top" wrapText="1"/>
      <protection locked="0"/>
    </xf>
    <xf numFmtId="166" fontId="0" fillId="0" borderId="0" xfId="0" applyNumberFormat="1" applyFill="1" applyBorder="1" applyProtection="1"/>
    <xf numFmtId="166" fontId="0" fillId="0" borderId="0" xfId="0" applyNumberFormat="1" applyFill="1" applyProtection="1"/>
    <xf numFmtId="0" fontId="17" fillId="4" borderId="12" xfId="0" applyFont="1" applyFill="1" applyBorder="1" applyAlignment="1" applyProtection="1">
      <alignment horizontal="left"/>
      <protection locked="0"/>
    </xf>
    <xf numFmtId="0" fontId="7" fillId="4" borderId="0" xfId="0" applyFont="1" applyFill="1" applyBorder="1" applyAlignment="1" applyProtection="1">
      <alignment horizontal="left"/>
    </xf>
    <xf numFmtId="0" fontId="0" fillId="4" borderId="0" xfId="0" applyFill="1" applyBorder="1" applyAlignment="1" applyProtection="1">
      <alignment wrapText="1"/>
    </xf>
    <xf numFmtId="165" fontId="28" fillId="0" borderId="0" xfId="0" applyNumberFormat="1" applyFont="1" applyAlignment="1" applyProtection="1">
      <alignment vertical="top" wrapText="1"/>
      <protection locked="0"/>
    </xf>
    <xf numFmtId="14" fontId="14" fillId="4" borderId="10" xfId="0" applyNumberFormat="1" applyFont="1" applyFill="1" applyBorder="1" applyAlignment="1" applyProtection="1">
      <alignment horizontal="left"/>
    </xf>
    <xf numFmtId="164" fontId="0" fillId="0" borderId="0" xfId="1" applyFont="1"/>
    <xf numFmtId="164" fontId="0" fillId="0" borderId="0" xfId="0" applyNumberFormat="1"/>
    <xf numFmtId="164" fontId="7" fillId="9" borderId="0" xfId="0" applyNumberFormat="1" applyFont="1" applyFill="1"/>
    <xf numFmtId="167" fontId="0" fillId="0" borderId="0" xfId="1" applyNumberFormat="1" applyFont="1"/>
    <xf numFmtId="165" fontId="0" fillId="10" borderId="10" xfId="0" applyNumberFormat="1" applyFill="1" applyBorder="1" applyProtection="1">
      <protection locked="0"/>
    </xf>
    <xf numFmtId="165" fontId="0" fillId="10" borderId="10" xfId="0" applyNumberFormat="1" applyFill="1" applyBorder="1" applyAlignment="1" applyProtection="1">
      <alignment vertical="top" wrapText="1"/>
      <protection locked="0"/>
    </xf>
    <xf numFmtId="165" fontId="0" fillId="0" borderId="10" xfId="0" applyNumberFormat="1" applyBorder="1" applyAlignment="1" applyProtection="1">
      <alignment vertical="top" wrapText="1"/>
      <protection locked="0"/>
    </xf>
    <xf numFmtId="165" fontId="27" fillId="10" borderId="10" xfId="0" applyNumberFormat="1" applyFont="1" applyFill="1" applyBorder="1" applyAlignment="1" applyProtection="1">
      <alignment vertical="top" wrapText="1"/>
      <protection locked="0"/>
    </xf>
    <xf numFmtId="0" fontId="10" fillId="2" borderId="10" xfId="0" applyFont="1" applyFill="1" applyBorder="1" applyAlignment="1" applyProtection="1">
      <alignment horizontal="center" vertical="top" wrapText="1"/>
    </xf>
    <xf numFmtId="0" fontId="1" fillId="2" borderId="10" xfId="0" applyFont="1" applyFill="1" applyBorder="1" applyAlignment="1" applyProtection="1">
      <alignment vertical="top" textRotation="90" wrapText="1"/>
    </xf>
    <xf numFmtId="0" fontId="1" fillId="2" borderId="10" xfId="0" applyFont="1" applyFill="1" applyBorder="1" applyAlignment="1" applyProtection="1">
      <alignment horizontal="center" vertical="top" textRotation="90" wrapText="1"/>
    </xf>
    <xf numFmtId="0" fontId="12" fillId="2" borderId="10" xfId="0" applyFont="1" applyFill="1" applyBorder="1" applyAlignment="1" applyProtection="1">
      <alignment horizontal="center" vertical="top" wrapText="1"/>
    </xf>
    <xf numFmtId="0" fontId="13" fillId="2" borderId="10" xfId="0" applyFont="1" applyFill="1" applyBorder="1" applyAlignment="1" applyProtection="1">
      <alignment horizontal="center" vertical="top" wrapText="1"/>
    </xf>
    <xf numFmtId="0" fontId="1" fillId="2" borderId="10" xfId="0" applyFont="1" applyFill="1" applyBorder="1" applyAlignment="1" applyProtection="1">
      <alignment horizontal="center" vertical="top" wrapText="1"/>
    </xf>
    <xf numFmtId="0" fontId="1" fillId="8" borderId="10" xfId="0" applyFont="1" applyFill="1" applyBorder="1" applyAlignment="1" applyProtection="1">
      <alignment horizontal="center" vertical="top" wrapText="1"/>
    </xf>
    <xf numFmtId="165" fontId="0" fillId="0" borderId="10" xfId="0" applyNumberFormat="1" applyBorder="1" applyAlignment="1">
      <alignment vertical="top" wrapText="1"/>
    </xf>
    <xf numFmtId="3" fontId="24" fillId="0" borderId="10" xfId="0" applyNumberFormat="1" applyFont="1" applyBorder="1" applyAlignment="1">
      <alignment vertical="center" textRotation="90"/>
    </xf>
    <xf numFmtId="3" fontId="21" fillId="0" borderId="10" xfId="0" applyNumberFormat="1" applyFont="1" applyBorder="1" applyAlignment="1">
      <alignment vertical="center" textRotation="90"/>
    </xf>
    <xf numFmtId="3" fontId="25" fillId="0" borderId="10" xfId="0" applyNumberFormat="1" applyFont="1" applyBorder="1" applyAlignment="1">
      <alignment vertical="center" textRotation="90"/>
    </xf>
    <xf numFmtId="3" fontId="26" fillId="0" borderId="10" xfId="0" applyNumberFormat="1" applyFont="1" applyBorder="1" applyAlignment="1">
      <alignment vertical="center" textRotation="90"/>
    </xf>
    <xf numFmtId="166" fontId="16" fillId="0" borderId="10" xfId="0" applyNumberFormat="1" applyFont="1" applyBorder="1"/>
    <xf numFmtId="166" fontId="21" fillId="0" borderId="10" xfId="0" applyNumberFormat="1" applyFont="1" applyBorder="1"/>
    <xf numFmtId="166" fontId="0" fillId="0" borderId="10" xfId="0" applyNumberFormat="1" applyBorder="1"/>
    <xf numFmtId="166" fontId="0" fillId="9" borderId="10" xfId="0" applyNumberFormat="1" applyFill="1" applyBorder="1"/>
    <xf numFmtId="166" fontId="0" fillId="10" borderId="10" xfId="0" applyNumberFormat="1" applyFill="1" applyBorder="1" applyProtection="1">
      <protection locked="0"/>
    </xf>
    <xf numFmtId="0" fontId="0" fillId="4" borderId="10" xfId="0" applyFill="1" applyBorder="1" applyProtection="1"/>
    <xf numFmtId="0" fontId="0" fillId="4" borderId="10" xfId="0" quotePrefix="1" applyFill="1" applyBorder="1" applyProtection="1"/>
    <xf numFmtId="0" fontId="11" fillId="4" borderId="10" xfId="0" quotePrefix="1" applyFont="1" applyFill="1" applyBorder="1" applyAlignment="1" applyProtection="1">
      <alignment horizontal="center" wrapText="1"/>
    </xf>
    <xf numFmtId="0" fontId="7" fillId="4" borderId="10" xfId="0" quotePrefix="1" applyFont="1" applyFill="1" applyBorder="1" applyProtection="1"/>
    <xf numFmtId="0" fontId="7" fillId="4" borderId="10" xfId="0" quotePrefix="1" applyFont="1" applyFill="1" applyBorder="1" applyAlignment="1" applyProtection="1">
      <alignment wrapText="1"/>
    </xf>
    <xf numFmtId="0" fontId="7" fillId="4" borderId="10" xfId="0" applyFont="1" applyFill="1" applyBorder="1" applyProtection="1"/>
    <xf numFmtId="0" fontId="7" fillId="4" borderId="10" xfId="0" applyFont="1" applyFill="1" applyBorder="1" applyProtection="1">
      <protection locked="0"/>
    </xf>
    <xf numFmtId="0" fontId="0" fillId="4" borderId="10" xfId="0" applyFill="1" applyBorder="1" applyProtection="1">
      <protection locked="0"/>
    </xf>
    <xf numFmtId="0" fontId="7" fillId="4" borderId="10" xfId="0" quotePrefix="1" applyFont="1" applyFill="1" applyBorder="1" applyAlignment="1" applyProtection="1">
      <alignment horizontal="center" wrapText="1"/>
    </xf>
    <xf numFmtId="3" fontId="0" fillId="0" borderId="10" xfId="0" applyNumberFormat="1" applyBorder="1" applyAlignment="1">
      <alignment vertical="center" textRotation="90"/>
    </xf>
    <xf numFmtId="0" fontId="7" fillId="4" borderId="10" xfId="0" quotePrefix="1" applyFont="1" applyFill="1" applyBorder="1" applyAlignment="1" applyProtection="1">
      <alignment horizontal="center" wrapText="1"/>
    </xf>
    <xf numFmtId="0" fontId="6" fillId="4" borderId="0" xfId="0" applyFont="1" applyFill="1" applyBorder="1" applyAlignment="1">
      <alignment horizontal="center"/>
    </xf>
  </cellXfs>
  <cellStyles count="2">
    <cellStyle name="Millares" xfId="1" builtinId="3"/>
    <cellStyle name="Normal" xfId="0" builtinId="0"/>
  </cellStyles>
  <dxfs count="129">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7CF13"/>
        </patternFill>
      </fill>
    </dxf>
    <dxf>
      <font>
        <color rgb="FF9C0006"/>
      </font>
      <fill>
        <patternFill>
          <fgColor indexed="64"/>
          <bgColor rgb="FFF7CF13"/>
        </patternFill>
      </fill>
    </dxf>
    <dxf>
      <font>
        <color theme="0"/>
      </font>
      <fill>
        <patternFill>
          <bgColor rgb="FFFF0000"/>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7CF13"/>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7CF13"/>
        </patternFill>
      </fill>
    </dxf>
  </dxfs>
  <tableStyles count="0" defaultTableStyle="TableStyleMedium2" defaultPivotStyle="PivotStyleLight16"/>
  <colors>
    <mruColors>
      <color rgb="FF0000FF"/>
      <color rgb="FF777777"/>
      <color rgb="FF6437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228600</xdr:colOff>
          <xdr:row>5</xdr:row>
          <xdr:rowOff>19050</xdr:rowOff>
        </xdr:from>
        <xdr:to>
          <xdr:col>6</xdr:col>
          <xdr:colOff>695325</xdr:colOff>
          <xdr:row>5</xdr:row>
          <xdr:rowOff>352425</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xdr:col>
      <xdr:colOff>914740</xdr:colOff>
      <xdr:row>3</xdr:row>
      <xdr:rowOff>235744</xdr:rowOff>
    </xdr:from>
    <xdr:to>
      <xdr:col>23</xdr:col>
      <xdr:colOff>3481506</xdr:colOff>
      <xdr:row>6</xdr:row>
      <xdr:rowOff>145936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895704" y="752815"/>
          <a:ext cx="5710017" cy="873578"/>
        </a:xfrm>
        <a:prstGeom prst="rect">
          <a:avLst/>
        </a:prstGeom>
      </xdr:spPr>
    </xdr:pic>
    <xdr:clientData/>
  </xdr:twoCellAnchor>
  <xdr:twoCellAnchor>
    <xdr:from>
      <xdr:col>8</xdr:col>
      <xdr:colOff>321467</xdr:colOff>
      <xdr:row>4</xdr:row>
      <xdr:rowOff>0</xdr:rowOff>
    </xdr:from>
    <xdr:to>
      <xdr:col>20</xdr:col>
      <xdr:colOff>585106</xdr:colOff>
      <xdr:row>6</xdr:row>
      <xdr:rowOff>129268</xdr:rowOff>
    </xdr:to>
    <xdr:sp macro="" textlink="">
      <xdr:nvSpPr>
        <xdr:cNvPr id="3" name="CuadroTexto 2"/>
        <xdr:cNvSpPr txBox="1"/>
      </xdr:nvSpPr>
      <xdr:spPr>
        <a:xfrm>
          <a:off x="4595811" y="381000"/>
          <a:ext cx="5299983" cy="843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a:t>REPORTE</a:t>
          </a:r>
          <a:r>
            <a:rPr lang="es-MX" sz="2800" baseline="0"/>
            <a:t> OFICIAL DE PROYECTOS</a:t>
          </a:r>
          <a:endParaRPr lang="es-MX" sz="28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66675</xdr:rowOff>
    </xdr:from>
    <xdr:to>
      <xdr:col>1</xdr:col>
      <xdr:colOff>1273593</xdr:colOff>
      <xdr:row>4</xdr:row>
      <xdr:rowOff>170236</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6675"/>
          <a:ext cx="5693193" cy="8655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R%20JLTOVAR/01%20ControlDeGesti&#243;n/2016/2016.05/1.%20ROP%202016.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ontrol"/>
      <sheetName val="Consolidado"/>
      <sheetName val="Reporte WO"/>
    </sheetNames>
    <sheetDataSet>
      <sheetData sheetId="0" refreshError="1"/>
      <sheetData sheetId="1">
        <row r="2">
          <cell r="B2">
            <v>201605</v>
          </cell>
          <cell r="C2">
            <v>201605</v>
          </cell>
          <cell r="K2" t="str">
            <v/>
          </cell>
        </row>
        <row r="3">
          <cell r="B3" t="str">
            <v>NA</v>
          </cell>
          <cell r="C3" t="str">
            <v>NA</v>
          </cell>
          <cell r="F3" t="str">
            <v>NA</v>
          </cell>
        </row>
        <row r="4">
          <cell r="B4" t="str">
            <v>NA</v>
          </cell>
          <cell r="C4" t="str">
            <v>NA</v>
          </cell>
          <cell r="F4" t="str">
            <v>NA</v>
          </cell>
        </row>
        <row r="5">
          <cell r="A5" t="str">
            <v>Español:</v>
          </cell>
          <cell r="B5" t="str">
            <v>NA</v>
          </cell>
        </row>
        <row r="6">
          <cell r="A6" t="str">
            <v>Cifras en Miles de COP</v>
          </cell>
          <cell r="C6" t="str">
            <v>NA</v>
          </cell>
          <cell r="F6" t="str">
            <v>NA</v>
          </cell>
        </row>
        <row r="7">
          <cell r="A7" t="str">
            <v>Reporting Period: 201605</v>
          </cell>
          <cell r="J7" t="str">
            <v>PERIODO : 201605</v>
          </cell>
          <cell r="M7" t="str">
            <v>Multiplier
Calculation</v>
          </cell>
          <cell r="N7" t="str">
            <v>Agresso
Accounting</v>
          </cell>
          <cell r="P7" t="str">
            <v>Mes 
en Curso</v>
          </cell>
          <cell r="Q7" t="str">
            <v>Mes 
en Curso</v>
          </cell>
        </row>
        <row r="8">
          <cell r="A8" t="str">
            <v>Proyecto</v>
          </cell>
          <cell r="B8" t="str">
            <v>Etapa</v>
          </cell>
          <cell r="C8" t="str">
            <v>Reg</v>
          </cell>
          <cell r="D8" t="str">
            <v>Area</v>
          </cell>
          <cell r="E8" t="str">
            <v>GP</v>
          </cell>
          <cell r="F8" t="str">
            <v>Vr
Autorizado</v>
          </cell>
          <cell r="G8" t="str">
            <v>Ejecutado
AGRESSO</v>
          </cell>
          <cell r="H8" t="str">
            <v>Ejecutado
UNO/
HELISA</v>
          </cell>
          <cell r="I8" t="str">
            <v>Ejecutado
Inicio-Hoy
Mes
Anterior</v>
          </cell>
          <cell r="J8" t="str">
            <v>Labor</v>
          </cell>
          <cell r="K8" t="str">
            <v>Sub
Consultores</v>
          </cell>
          <cell r="L8" t="str">
            <v>OCD</v>
          </cell>
          <cell r="M8" t="str">
            <v>Ejecutado
Inicio-Hoy
Mes
Actual</v>
          </cell>
          <cell r="N8" t="str">
            <v>Ejecutado
Inicio-Hoy
Mes 
Actual</v>
          </cell>
          <cell r="O8" t="str">
            <v>Sobre(-)
/Infra(+)
Ejecución
Inicio - Hoy</v>
          </cell>
          <cell r="P8" t="str">
            <v xml:space="preserve">Ejecución
Inicio-Hoy 
MesEnCurso
</v>
          </cell>
          <cell r="Q8" t="str">
            <v>Sobre (-)/Infra (+)
Mes en Curso</v>
          </cell>
          <cell r="R8" t="str">
            <v>Disponible a
Ejecutar</v>
          </cell>
          <cell r="S8" t="str">
            <v>Ejecución para
completar</v>
          </cell>
          <cell r="T8" t="str">
            <v>Trabajo Ejecutado
Facturado</v>
          </cell>
          <cell r="U8" t="str">
            <v>Trabajo
Ejecutado
No Facturado</v>
          </cell>
          <cell r="V8" t="str">
            <v>Cuentas
Por Cobrar</v>
          </cell>
          <cell r="W8" t="str">
            <v>Comentario
Del proyecto</v>
          </cell>
        </row>
        <row r="9">
          <cell r="A9" t="str">
            <v>IN1020-EMAPAG  EP-SBCC-001-S-PTAR LAS ESCLUSAS</v>
          </cell>
          <cell r="B9" t="str">
            <v>Legalización</v>
          </cell>
          <cell r="C9" t="str">
            <v>24</v>
          </cell>
          <cell r="D9" t="str">
            <v>I. Municipal</v>
          </cell>
          <cell r="E9" t="str">
            <v>JNAVARRETE</v>
          </cell>
          <cell r="F9">
            <v>0</v>
          </cell>
          <cell r="G9">
            <v>0</v>
          </cell>
          <cell r="I9">
            <v>0</v>
          </cell>
          <cell r="J9">
            <v>0</v>
          </cell>
          <cell r="K9">
            <v>0</v>
          </cell>
          <cell r="L9">
            <v>0</v>
          </cell>
          <cell r="M9">
            <v>0</v>
          </cell>
          <cell r="N9">
            <v>0</v>
          </cell>
          <cell r="O9">
            <v>0</v>
          </cell>
          <cell r="P9">
            <v>0</v>
          </cell>
          <cell r="Q9">
            <v>0</v>
          </cell>
          <cell r="R9">
            <v>0</v>
          </cell>
          <cell r="T9">
            <v>0</v>
          </cell>
          <cell r="U9">
            <v>0</v>
          </cell>
          <cell r="V9">
            <v>0</v>
          </cell>
          <cell r="W9" t="str">
            <v>Se tiene previsto firma de contrato IV sem jul-16.
Se trabaja en la planeación del proyecto y la domiciliación de WSP|PB en Ecuador.</v>
          </cell>
        </row>
        <row r="10">
          <cell r="A10" t="str">
            <v>PY1277-AGS-I-INTERVENTORIA AIRPORT PLAZA</v>
          </cell>
          <cell r="B10" t="str">
            <v>Legalización</v>
          </cell>
          <cell r="C10" t="str">
            <v>22</v>
          </cell>
          <cell r="D10" t="str">
            <v>Edificaciones</v>
          </cell>
          <cell r="E10" t="str">
            <v>RFERNANDEZ</v>
          </cell>
          <cell r="F10">
            <v>0</v>
          </cell>
          <cell r="G10">
            <v>0</v>
          </cell>
          <cell r="I10">
            <v>0</v>
          </cell>
          <cell r="J10">
            <v>0</v>
          </cell>
          <cell r="K10">
            <v>0</v>
          </cell>
          <cell r="L10">
            <v>0</v>
          </cell>
          <cell r="M10">
            <v>0</v>
          </cell>
          <cell r="N10">
            <v>0</v>
          </cell>
          <cell r="O10">
            <v>0</v>
          </cell>
          <cell r="P10">
            <v>0</v>
          </cell>
          <cell r="Q10">
            <v>0</v>
          </cell>
          <cell r="R10">
            <v>0</v>
          </cell>
          <cell r="T10">
            <v>0</v>
          </cell>
          <cell r="U10">
            <v>0</v>
          </cell>
          <cell r="V10">
            <v>0</v>
          </cell>
          <cell r="W10" t="str">
            <v>El cliente ha dicidido cancelar el proyecto.
Proyecto Terminado.</v>
          </cell>
        </row>
        <row r="11">
          <cell r="A11" t="str">
            <v>PY1571-JV-FINDETER_12_E_EMBALSE PTAR_CALI</v>
          </cell>
          <cell r="B11" t="str">
            <v>Legalización</v>
          </cell>
          <cell r="C11" t="str">
            <v>24</v>
          </cell>
          <cell r="D11" t="str">
            <v>I. Municipal</v>
          </cell>
          <cell r="E11" t="str">
            <v>JNAVARRETE</v>
          </cell>
          <cell r="F11">
            <v>855000</v>
          </cell>
          <cell r="G11">
            <v>0</v>
          </cell>
          <cell r="I11">
            <v>0</v>
          </cell>
          <cell r="J11">
            <v>0</v>
          </cell>
          <cell r="K11">
            <v>0</v>
          </cell>
          <cell r="L11">
            <v>0</v>
          </cell>
          <cell r="M11">
            <v>0</v>
          </cell>
          <cell r="N11">
            <v>0</v>
          </cell>
          <cell r="O11">
            <v>0</v>
          </cell>
          <cell r="P11">
            <v>0</v>
          </cell>
          <cell r="Q11">
            <v>0</v>
          </cell>
          <cell r="R11">
            <v>855000</v>
          </cell>
          <cell r="T11">
            <v>0</v>
          </cell>
          <cell r="U11">
            <v>0</v>
          </cell>
          <cell r="V11">
            <v>0</v>
          </cell>
          <cell r="W11" t="str">
            <v>OK</v>
          </cell>
        </row>
        <row r="12">
          <cell r="A12" t="str">
            <v>1206-AGROCASCADA-SERVICIO-I-S-TEC-PAFCI RUBIALES</v>
          </cell>
          <cell r="B12" t="str">
            <v>Ejecución</v>
          </cell>
          <cell r="C12" t="str">
            <v>21</v>
          </cell>
          <cell r="D12" t="str">
            <v>I. Municipal</v>
          </cell>
          <cell r="E12" t="str">
            <v xml:space="preserve">MBAYONA   </v>
          </cell>
          <cell r="F12">
            <v>151104.85399999999</v>
          </cell>
          <cell r="G12">
            <v>70194.229390000008</v>
          </cell>
          <cell r="I12">
            <v>70194.229390000008</v>
          </cell>
          <cell r="J12">
            <v>0</v>
          </cell>
          <cell r="K12">
            <v>0</v>
          </cell>
          <cell r="L12">
            <v>0</v>
          </cell>
          <cell r="M12">
            <v>70194.229390000008</v>
          </cell>
          <cell r="N12">
            <v>70194.229390000008</v>
          </cell>
          <cell r="O12">
            <v>0</v>
          </cell>
          <cell r="P12">
            <v>70194.229390000008</v>
          </cell>
          <cell r="Q12">
            <v>0</v>
          </cell>
          <cell r="R12">
            <v>80910.624609999984</v>
          </cell>
          <cell r="S12">
            <v>80910.624609999984</v>
          </cell>
          <cell r="T12">
            <v>69888.290010000012</v>
          </cell>
          <cell r="U12">
            <v>0</v>
          </cell>
          <cell r="V12">
            <v>0</v>
          </cell>
          <cell r="W12" t="str">
            <v>No información.</v>
          </cell>
        </row>
        <row r="13">
          <cell r="A13" t="str">
            <v>IN1002-DISEÑO SUBESTACIONES INCIENSO Y GUATESUR</v>
          </cell>
          <cell r="B13" t="str">
            <v>Ejecución</v>
          </cell>
          <cell r="C13" t="str">
            <v>22</v>
          </cell>
          <cell r="D13" t="str">
            <v>Energía</v>
          </cell>
          <cell r="E13" t="str">
            <v xml:space="preserve">HTILANO   </v>
          </cell>
          <cell r="F13">
            <v>276029.89399999997</v>
          </cell>
          <cell r="G13">
            <v>181213.755</v>
          </cell>
          <cell r="I13">
            <v>181213.755</v>
          </cell>
          <cell r="J13">
            <v>0</v>
          </cell>
          <cell r="K13">
            <v>0</v>
          </cell>
          <cell r="L13">
            <v>0</v>
          </cell>
          <cell r="M13">
            <v>181213.755</v>
          </cell>
          <cell r="N13">
            <v>181213.755</v>
          </cell>
          <cell r="O13">
            <v>0</v>
          </cell>
          <cell r="P13">
            <v>181213.755</v>
          </cell>
          <cell r="Q13">
            <v>0</v>
          </cell>
          <cell r="R13">
            <v>94816.138999999966</v>
          </cell>
          <cell r="S13">
            <v>93748</v>
          </cell>
          <cell r="T13">
            <v>154554.14719999998</v>
          </cell>
          <cell r="U13">
            <v>26659.607800000002</v>
          </cell>
          <cell r="V13">
            <v>0</v>
          </cell>
          <cell r="W13" t="str">
            <v>WIP a facturar en octubre junto con el reporte de los meses mayo a octubre que ascenderá a 106 MMCOP</v>
          </cell>
        </row>
        <row r="14">
          <cell r="A14" t="str">
            <v>IN1003-DISEÑO DE LA LINEA CENTRO - INCIENSO 230 KV</v>
          </cell>
          <cell r="B14" t="str">
            <v>Ejecución</v>
          </cell>
          <cell r="C14" t="str">
            <v>22</v>
          </cell>
          <cell r="D14" t="str">
            <v>Energía</v>
          </cell>
          <cell r="E14" t="str">
            <v xml:space="preserve">HTILANO   </v>
          </cell>
          <cell r="F14">
            <v>0</v>
          </cell>
          <cell r="G14">
            <v>171783.1765</v>
          </cell>
          <cell r="I14">
            <v>171783.1765</v>
          </cell>
          <cell r="J14">
            <v>25733.570935</v>
          </cell>
          <cell r="K14">
            <v>0</v>
          </cell>
          <cell r="L14">
            <v>0</v>
          </cell>
          <cell r="M14">
            <v>197516.747435</v>
          </cell>
          <cell r="N14">
            <v>171783.1765</v>
          </cell>
          <cell r="O14">
            <v>-25733.570934999996</v>
          </cell>
          <cell r="P14">
            <v>171783.1765</v>
          </cell>
          <cell r="Q14">
            <v>0</v>
          </cell>
          <cell r="R14">
            <v>-171783.1765</v>
          </cell>
          <cell r="S14">
            <v>162950</v>
          </cell>
          <cell r="T14">
            <v>57394.819000000003</v>
          </cell>
          <cell r="U14">
            <v>114388.3575</v>
          </cell>
          <cell r="V14">
            <v>0</v>
          </cell>
          <cell r="W14" t="str">
            <v>De acuerdo a TRM del presupuesto sólo son facturables 89,8 MMCOP; la diferencia debe reversarse. El ejec x completar depende de oferta adicional presentada al cliente (geotecnia)</v>
          </cell>
        </row>
        <row r="15">
          <cell r="A15" t="str">
            <v>IN1006-WSP USA TRADUCCION HOTEL EL CARIBE</v>
          </cell>
          <cell r="B15" t="str">
            <v>Ejecución</v>
          </cell>
          <cell r="C15" t="str">
            <v>23</v>
          </cell>
          <cell r="D15" t="str">
            <v>Edificaciones</v>
          </cell>
          <cell r="E15" t="str">
            <v xml:space="preserve">LGPEREZ   </v>
          </cell>
          <cell r="F15">
            <v>0</v>
          </cell>
          <cell r="G15">
            <v>76014.88781</v>
          </cell>
          <cell r="I15">
            <v>76014.88781</v>
          </cell>
          <cell r="J15">
            <v>0</v>
          </cell>
          <cell r="K15">
            <v>0</v>
          </cell>
          <cell r="L15">
            <v>0</v>
          </cell>
          <cell r="M15">
            <v>76014.88781</v>
          </cell>
          <cell r="N15">
            <v>76014.88781</v>
          </cell>
          <cell r="O15">
            <v>0</v>
          </cell>
          <cell r="P15">
            <v>76014.88781</v>
          </cell>
          <cell r="Q15">
            <v>0</v>
          </cell>
          <cell r="R15">
            <v>-76014.88781</v>
          </cell>
          <cell r="T15">
            <v>76014.88781</v>
          </cell>
          <cell r="U15">
            <v>0</v>
          </cell>
          <cell r="V15">
            <v>0</v>
          </cell>
          <cell r="W15" t="str">
            <v>No información.</v>
          </cell>
        </row>
        <row r="16">
          <cell r="A16" t="str">
            <v>IN1016-JV PERU-ISA-S-LT-220KV LA PLANICIE-INDUSTRIALES</v>
          </cell>
          <cell r="B16" t="str">
            <v>Ejecución</v>
          </cell>
          <cell r="C16" t="str">
            <v>21</v>
          </cell>
          <cell r="D16" t="str">
            <v>Energía</v>
          </cell>
          <cell r="E16" t="str">
            <v xml:space="preserve">HNARVAEZ  </v>
          </cell>
          <cell r="F16">
            <v>1402025.1769999999</v>
          </cell>
          <cell r="G16">
            <v>129401.8575</v>
          </cell>
          <cell r="I16">
            <v>129401.8575</v>
          </cell>
          <cell r="J16">
            <v>3431.1441224999999</v>
          </cell>
          <cell r="K16">
            <v>0</v>
          </cell>
          <cell r="L16">
            <v>97.8</v>
          </cell>
          <cell r="M16">
            <v>132930.80162249997</v>
          </cell>
          <cell r="N16">
            <v>129401.8575</v>
          </cell>
          <cell r="O16">
            <v>-3528.9441224999755</v>
          </cell>
          <cell r="P16">
            <v>129499.65749999999</v>
          </cell>
          <cell r="Q16">
            <v>97.799999999988358</v>
          </cell>
          <cell r="R16">
            <v>1272623.3195</v>
          </cell>
          <cell r="T16">
            <v>110255.145</v>
          </cell>
          <cell r="U16">
            <v>19146.712500000001</v>
          </cell>
          <cell r="V16">
            <v>0</v>
          </cell>
          <cell r="W16" t="str">
            <v>Proyecto en Consorcio.  Proyecto en suspención desde el 15 de mayo hasta el 15 de julio de 2016</v>
          </cell>
        </row>
        <row r="17">
          <cell r="A17" t="str">
            <v>IN1018-ENEE-SBCC-S-SUBESTACIÓN LA ENTRADA</v>
          </cell>
          <cell r="B17" t="str">
            <v>Ejecución</v>
          </cell>
          <cell r="C17" t="str">
            <v>22</v>
          </cell>
          <cell r="D17" t="str">
            <v>Energía</v>
          </cell>
          <cell r="E17" t="str">
            <v xml:space="preserve">LTRIANA   </v>
          </cell>
          <cell r="F17">
            <v>1001495.679</v>
          </cell>
          <cell r="G17">
            <v>392435.60282999999</v>
          </cell>
          <cell r="I17">
            <v>392435.60282999999</v>
          </cell>
          <cell r="J17">
            <v>0</v>
          </cell>
          <cell r="K17">
            <v>0</v>
          </cell>
          <cell r="L17">
            <v>0</v>
          </cell>
          <cell r="M17">
            <v>392435.60282999999</v>
          </cell>
          <cell r="N17">
            <v>323498.74776999996</v>
          </cell>
          <cell r="O17">
            <v>-68936.855060000031</v>
          </cell>
          <cell r="P17">
            <v>323498.74776999996</v>
          </cell>
          <cell r="Q17">
            <v>0</v>
          </cell>
          <cell r="R17">
            <v>677996.93122999999</v>
          </cell>
          <cell r="T17">
            <v>453897.30722000002</v>
          </cell>
          <cell r="U17">
            <v>-61461.704389999999</v>
          </cell>
          <cell r="V17">
            <v>126640.89137</v>
          </cell>
          <cell r="W17" t="str">
            <v>WIP negativo causado por la Tasa de Cambio actual que es mayor a la usada en el presupuesto del proyecto; sólo se reversa al finalizar el proyecto.</v>
          </cell>
        </row>
        <row r="18">
          <cell r="A18" t="str">
            <v>IN1030-UK-CRC</v>
          </cell>
          <cell r="B18" t="str">
            <v>Ejecución</v>
          </cell>
          <cell r="C18" t="str">
            <v>21</v>
          </cell>
          <cell r="D18" t="str">
            <v>Edificaciones</v>
          </cell>
          <cell r="E18" t="str">
            <v xml:space="preserve">OLAVIERA  </v>
          </cell>
          <cell r="F18">
            <v>0</v>
          </cell>
          <cell r="G18">
            <v>0</v>
          </cell>
          <cell r="I18">
            <v>0</v>
          </cell>
          <cell r="J18">
            <v>5618.5150874999999</v>
          </cell>
          <cell r="K18">
            <v>0</v>
          </cell>
          <cell r="L18">
            <v>1810</v>
          </cell>
          <cell r="M18">
            <v>7428.5150874999999</v>
          </cell>
          <cell r="N18">
            <v>0</v>
          </cell>
          <cell r="O18">
            <v>-7428.5150874999999</v>
          </cell>
          <cell r="P18">
            <v>1810</v>
          </cell>
          <cell r="Q18">
            <v>1810</v>
          </cell>
          <cell r="R18">
            <v>0</v>
          </cell>
          <cell r="T18">
            <v>0</v>
          </cell>
          <cell r="U18">
            <v>0</v>
          </cell>
          <cell r="V18">
            <v>0</v>
          </cell>
          <cell r="W18" t="str">
            <v>Proyecto suspendido por no tener contrato o acuerdo con el cliente.</v>
          </cell>
        </row>
        <row r="19">
          <cell r="A19" t="str">
            <v>PY1004-CODENSA GRAN SABANA</v>
          </cell>
          <cell r="B19" t="str">
            <v>Ejecución</v>
          </cell>
          <cell r="C19" t="str">
            <v>21</v>
          </cell>
          <cell r="D19" t="str">
            <v>Energía</v>
          </cell>
          <cell r="E19" t="str">
            <v>CVELASQUEZ</v>
          </cell>
          <cell r="F19">
            <v>198413.87899999999</v>
          </cell>
          <cell r="G19">
            <v>35383.5524</v>
          </cell>
          <cell r="I19">
            <v>35383.5524</v>
          </cell>
          <cell r="J19">
            <v>2401.5329695999999</v>
          </cell>
          <cell r="K19">
            <v>0</v>
          </cell>
          <cell r="L19">
            <v>44.783000000000001</v>
          </cell>
          <cell r="M19">
            <v>37829.868369600001</v>
          </cell>
          <cell r="N19">
            <v>35383.5524</v>
          </cell>
          <cell r="O19">
            <v>-2446.3159696000002</v>
          </cell>
          <cell r="P19">
            <v>35428.335400000004</v>
          </cell>
          <cell r="Q19">
            <v>44.783000000003085</v>
          </cell>
          <cell r="R19">
            <v>163030.32659999997</v>
          </cell>
          <cell r="T19">
            <v>52373.828000000001</v>
          </cell>
          <cell r="U19">
            <v>-16990.275600000001</v>
          </cell>
          <cell r="V19">
            <v>12666.763000000001</v>
          </cell>
          <cell r="W19" t="str">
            <v>V/r autorizado incluye otro sí, OK</v>
          </cell>
        </row>
        <row r="20">
          <cell r="A20" t="str">
            <v>PY1005-CODENSA BACATA TIBABUYES USME</v>
          </cell>
          <cell r="B20" t="str">
            <v>Ejecución</v>
          </cell>
          <cell r="C20" t="str">
            <v>21</v>
          </cell>
          <cell r="D20" t="str">
            <v>Energía</v>
          </cell>
          <cell r="E20" t="str">
            <v>CVELASQUEZ</v>
          </cell>
          <cell r="F20">
            <v>185692.1</v>
          </cell>
          <cell r="G20">
            <v>181053.19699999999</v>
          </cell>
          <cell r="I20">
            <v>181053.19699999999</v>
          </cell>
          <cell r="J20">
            <v>0</v>
          </cell>
          <cell r="K20">
            <v>0</v>
          </cell>
          <cell r="L20">
            <v>0</v>
          </cell>
          <cell r="M20">
            <v>181053.19699999999</v>
          </cell>
          <cell r="N20">
            <v>181053.19699999999</v>
          </cell>
          <cell r="O20">
            <v>0</v>
          </cell>
          <cell r="P20">
            <v>181053.19699999999</v>
          </cell>
          <cell r="Q20">
            <v>0</v>
          </cell>
          <cell r="R20">
            <v>4638.9030000000203</v>
          </cell>
          <cell r="T20">
            <v>185692.101</v>
          </cell>
          <cell r="U20">
            <v>-5313.6019999999999</v>
          </cell>
          <cell r="V20">
            <v>0</v>
          </cell>
          <cell r="W20" t="str">
            <v xml:space="preserve">Proyecto en etapa de liquidación </v>
          </cell>
        </row>
        <row r="21">
          <cell r="A21" t="str">
            <v>PY1006-CODENSA NORTE</v>
          </cell>
          <cell r="B21" t="str">
            <v>Ejecución</v>
          </cell>
          <cell r="C21" t="str">
            <v>21</v>
          </cell>
          <cell r="D21" t="str">
            <v>Energía</v>
          </cell>
          <cell r="E21" t="str">
            <v>CVELASQUEZ</v>
          </cell>
          <cell r="F21">
            <v>851032.57700000005</v>
          </cell>
          <cell r="G21">
            <v>437310.52160000004</v>
          </cell>
          <cell r="I21">
            <v>437310.52160000004</v>
          </cell>
          <cell r="J21">
            <v>11491.067663599999</v>
          </cell>
          <cell r="K21">
            <v>0</v>
          </cell>
          <cell r="L21">
            <v>0</v>
          </cell>
          <cell r="M21">
            <v>448801.58926360006</v>
          </cell>
          <cell r="N21">
            <v>437310.52160000004</v>
          </cell>
          <cell r="O21">
            <v>-11491.067663600028</v>
          </cell>
          <cell r="P21">
            <v>437310.52160000004</v>
          </cell>
          <cell r="Q21">
            <v>0</v>
          </cell>
          <cell r="R21">
            <v>413722.05540000001</v>
          </cell>
          <cell r="T21">
            <v>537624.69799999997</v>
          </cell>
          <cell r="U21">
            <v>-100314.17640000001</v>
          </cell>
          <cell r="V21">
            <v>47322.205999999998</v>
          </cell>
          <cell r="W21" t="str">
            <v>Proyecto en ejecución tuvo otro sí , OK Cartera corriente</v>
          </cell>
        </row>
        <row r="22">
          <cell r="A22" t="str">
            <v>PY1008-CODENSA NUEVA ESPERANZA</v>
          </cell>
          <cell r="B22" t="str">
            <v>Ejecución</v>
          </cell>
          <cell r="C22" t="str">
            <v>21</v>
          </cell>
          <cell r="D22" t="str">
            <v>Energía</v>
          </cell>
          <cell r="E22" t="str">
            <v>CVELASQUEZ</v>
          </cell>
          <cell r="F22">
            <v>302501.64</v>
          </cell>
          <cell r="G22">
            <v>206100.16052999999</v>
          </cell>
          <cell r="I22">
            <v>206100.16052999999</v>
          </cell>
          <cell r="J22">
            <v>4503.0538770000003</v>
          </cell>
          <cell r="K22">
            <v>0</v>
          </cell>
          <cell r="L22">
            <v>0</v>
          </cell>
          <cell r="M22">
            <v>210603.21440699999</v>
          </cell>
          <cell r="N22">
            <v>206100.16052999999</v>
          </cell>
          <cell r="O22">
            <v>-4503.0538769999985</v>
          </cell>
          <cell r="P22">
            <v>206100.16052999999</v>
          </cell>
          <cell r="Q22">
            <v>0</v>
          </cell>
          <cell r="R22">
            <v>96401.47947000002</v>
          </cell>
          <cell r="T22">
            <v>212515.24100000001</v>
          </cell>
          <cell r="U22">
            <v>-6415.0804699999999</v>
          </cell>
          <cell r="V22">
            <v>18861.455999999998</v>
          </cell>
          <cell r="W22" t="str">
            <v xml:space="preserve">Proyecto en ejecución OK. Cartera corriente se debe revisar valor reportado </v>
          </cell>
        </row>
        <row r="23">
          <cell r="A23" t="str">
            <v>PY1009-CODENSA S/E COMPARTIR</v>
          </cell>
          <cell r="B23" t="str">
            <v>Ejecución</v>
          </cell>
          <cell r="C23" t="str">
            <v>21</v>
          </cell>
          <cell r="D23" t="str">
            <v>Energía</v>
          </cell>
          <cell r="E23" t="str">
            <v>CVELASQUEZ</v>
          </cell>
          <cell r="F23">
            <v>228790.25899999999</v>
          </cell>
          <cell r="G23">
            <v>37136.546000000002</v>
          </cell>
          <cell r="I23">
            <v>37136.546000000002</v>
          </cell>
          <cell r="J23">
            <v>1761.5105120000003</v>
          </cell>
          <cell r="K23">
            <v>0</v>
          </cell>
          <cell r="L23">
            <v>0</v>
          </cell>
          <cell r="M23">
            <v>38898.056512000003</v>
          </cell>
          <cell r="N23">
            <v>37136.546000000002</v>
          </cell>
          <cell r="O23">
            <v>-1761.5105120000007</v>
          </cell>
          <cell r="P23">
            <v>37136.546000000002</v>
          </cell>
          <cell r="Q23">
            <v>0</v>
          </cell>
          <cell r="R23">
            <v>191653.71299999999</v>
          </cell>
          <cell r="T23">
            <v>52164.415999999997</v>
          </cell>
          <cell r="U23">
            <v>-15027.87</v>
          </cell>
          <cell r="V23">
            <v>12616.116</v>
          </cell>
          <cell r="W23" t="str">
            <v xml:space="preserve">Proyecto en ejecución OK. Cartera corriente se debe revisar valor reportado </v>
          </cell>
        </row>
        <row r="24">
          <cell r="A24" t="str">
            <v>PY1013-DISPAC-I-CONSTRUC-LT/SUB, INTERCO ELECTRICA-FASE I</v>
          </cell>
          <cell r="B24" t="str">
            <v>Ejecución</v>
          </cell>
          <cell r="C24" t="str">
            <v>23</v>
          </cell>
          <cell r="D24" t="str">
            <v>Energía</v>
          </cell>
          <cell r="E24" t="str">
            <v xml:space="preserve">GMONTOYA  </v>
          </cell>
          <cell r="F24">
            <v>1725348.28</v>
          </cell>
          <cell r="G24">
            <v>1756321.5079999999</v>
          </cell>
          <cell r="I24">
            <v>1756321.5079999999</v>
          </cell>
          <cell r="J24">
            <v>0</v>
          </cell>
          <cell r="K24">
            <v>0</v>
          </cell>
          <cell r="L24">
            <v>0</v>
          </cell>
          <cell r="M24">
            <v>1756321.5079999999</v>
          </cell>
          <cell r="N24">
            <v>1756321.5079999999</v>
          </cell>
          <cell r="O24">
            <v>0</v>
          </cell>
          <cell r="P24">
            <v>1756321.5079999999</v>
          </cell>
          <cell r="Q24">
            <v>0</v>
          </cell>
          <cell r="R24">
            <v>-30973.227999999886</v>
          </cell>
          <cell r="S24">
            <v>616054</v>
          </cell>
          <cell r="T24">
            <v>1725348.28</v>
          </cell>
          <cell r="U24">
            <v>15410.655000000001</v>
          </cell>
          <cell r="V24">
            <v>0</v>
          </cell>
          <cell r="W24" t="str">
            <v>El proyecto finalizó; el WIP real del proyecto es -9 MCOP que se deben reversar en junio. Valor Autorizado real 2.676,4 MCOP.</v>
          </cell>
        </row>
        <row r="25">
          <cell r="A25" t="str">
            <v>PY1016-CONTROL DE CALIDAD-SUPERVISON CENTROS SERVICIOS</v>
          </cell>
          <cell r="B25" t="str">
            <v>Ejecución</v>
          </cell>
          <cell r="C25" t="str">
            <v>22</v>
          </cell>
          <cell r="D25" t="str">
            <v>Energía</v>
          </cell>
          <cell r="E25" t="str">
            <v xml:space="preserve">FPARIAS   </v>
          </cell>
          <cell r="F25">
            <v>24888079.280000001</v>
          </cell>
          <cell r="G25">
            <v>20008924.50502</v>
          </cell>
          <cell r="I25">
            <v>20008924.50502</v>
          </cell>
          <cell r="J25">
            <v>632981.55999540002</v>
          </cell>
          <cell r="K25">
            <v>0</v>
          </cell>
          <cell r="L25">
            <v>244080.45462</v>
          </cell>
          <cell r="M25">
            <v>20885986.519635402</v>
          </cell>
          <cell r="N25">
            <v>20008924.50502</v>
          </cell>
          <cell r="O25">
            <v>-877062.01461540163</v>
          </cell>
          <cell r="P25">
            <v>20253004.95964</v>
          </cell>
          <cell r="Q25">
            <v>244080.45461999997</v>
          </cell>
          <cell r="R25">
            <v>4879154.7749800012</v>
          </cell>
          <cell r="T25">
            <v>19159170.364999998</v>
          </cell>
          <cell r="U25">
            <v>1693204.5180200001</v>
          </cell>
          <cell r="V25">
            <v>827463.73199999996</v>
          </cell>
          <cell r="W25" t="str">
            <v>Está pendiente la facturación de abril y quedará pendiente la de mayo.  Todo se facturará en junio.</v>
          </cell>
        </row>
        <row r="26">
          <cell r="A26" t="str">
            <v>PY1021-LA GALDA</v>
          </cell>
          <cell r="B26" t="str">
            <v>Ejecución</v>
          </cell>
          <cell r="C26" t="str">
            <v>21</v>
          </cell>
          <cell r="D26" t="str">
            <v>I. Municipal</v>
          </cell>
          <cell r="E26" t="str">
            <v xml:space="preserve">RANZOLA   </v>
          </cell>
          <cell r="F26">
            <v>512064.51299999998</v>
          </cell>
          <cell r="G26">
            <v>500758.6</v>
          </cell>
          <cell r="I26">
            <v>500758.6</v>
          </cell>
          <cell r="J26">
            <v>0</v>
          </cell>
          <cell r="K26">
            <v>0</v>
          </cell>
          <cell r="L26">
            <v>0</v>
          </cell>
          <cell r="M26">
            <v>500758.6</v>
          </cell>
          <cell r="N26">
            <v>500758.6</v>
          </cell>
          <cell r="O26">
            <v>0</v>
          </cell>
          <cell r="P26">
            <v>500758.6</v>
          </cell>
          <cell r="Q26">
            <v>0</v>
          </cell>
          <cell r="R26">
            <v>11305.913</v>
          </cell>
          <cell r="S26">
            <v>11305.913</v>
          </cell>
          <cell r="T26">
            <v>467571.67599999998</v>
          </cell>
          <cell r="U26">
            <v>26836.923999999999</v>
          </cell>
          <cell r="V26">
            <v>0</v>
          </cell>
          <cell r="W26" t="str">
            <v>Ejecutado Acumulado may-16 $ 494.408.600
Proyecto en Liquidación. OK Acta de liquidación, se factura 44 MCOP en Jun-16.</v>
          </cell>
        </row>
        <row r="27">
          <cell r="A27" t="str">
            <v>PY1023-INTERVENTORIA E INVENTARIO DE ACTIVOS DE LA EEC</v>
          </cell>
          <cell r="B27" t="str">
            <v>Ejecución</v>
          </cell>
          <cell r="C27" t="str">
            <v>21</v>
          </cell>
          <cell r="D27" t="str">
            <v>Energía</v>
          </cell>
          <cell r="E27" t="str">
            <v xml:space="preserve">LREY      </v>
          </cell>
          <cell r="F27">
            <v>1950516.0649999999</v>
          </cell>
          <cell r="G27">
            <v>1574931.7249100001</v>
          </cell>
          <cell r="I27">
            <v>1574931.7249100001</v>
          </cell>
          <cell r="J27">
            <v>58073.918548800008</v>
          </cell>
          <cell r="K27">
            <v>0</v>
          </cell>
          <cell r="L27">
            <v>22411.999</v>
          </cell>
          <cell r="M27">
            <v>1655417.6424588002</v>
          </cell>
          <cell r="N27">
            <v>1574931.7249100001</v>
          </cell>
          <cell r="O27">
            <v>-80485.91754880012</v>
          </cell>
          <cell r="P27">
            <v>1597343.7239100002</v>
          </cell>
          <cell r="Q27">
            <v>22411.999000000069</v>
          </cell>
          <cell r="R27">
            <v>375584.34008999984</v>
          </cell>
          <cell r="T27">
            <v>1639328.79036</v>
          </cell>
          <cell r="U27">
            <v>-64397.065450000002</v>
          </cell>
          <cell r="V27">
            <v>96536.305999999997</v>
          </cell>
          <cell r="W27" t="str">
            <v>Proyecto en ejecución OK, avance por producción, v/r acordado con el cliente. Cartera corriente</v>
          </cell>
        </row>
        <row r="28">
          <cell r="A28" t="str">
            <v>PY1024-EPM INTERVENTORIA ELECTRIFICACION RURAL</v>
          </cell>
          <cell r="B28" t="str">
            <v>Ejecución</v>
          </cell>
          <cell r="C28" t="str">
            <v>21</v>
          </cell>
          <cell r="D28" t="str">
            <v>Energía</v>
          </cell>
          <cell r="E28" t="str">
            <v xml:space="preserve">DMORALES  </v>
          </cell>
          <cell r="F28">
            <v>11900348.521000002</v>
          </cell>
          <cell r="G28">
            <v>10969459.443</v>
          </cell>
          <cell r="I28">
            <v>10969459.443</v>
          </cell>
          <cell r="J28">
            <v>153022.05779759999</v>
          </cell>
          <cell r="K28">
            <v>0</v>
          </cell>
          <cell r="L28">
            <v>51586.458189999998</v>
          </cell>
          <cell r="M28">
            <v>11174067.958987599</v>
          </cell>
          <cell r="N28">
            <v>10969459.443</v>
          </cell>
          <cell r="O28">
            <v>-204608.51598759927</v>
          </cell>
          <cell r="P28">
            <v>11021045.90119</v>
          </cell>
          <cell r="Q28">
            <v>51586.458189999685</v>
          </cell>
          <cell r="R28">
            <v>930889.07800000161</v>
          </cell>
          <cell r="S28">
            <v>616054</v>
          </cell>
          <cell r="T28">
            <v>11151422.214680001</v>
          </cell>
          <cell r="U28">
            <v>-183026.75467999998</v>
          </cell>
          <cell r="V28">
            <v>223223.98275</v>
          </cell>
          <cell r="W28" t="str">
            <v>Es necesario revisar el valor autorizado, puede ser más bajo.</v>
          </cell>
        </row>
        <row r="29">
          <cell r="A29" t="str">
            <v>PY1025-I-CONSTRUCCIÓN DE LÍNEA A 44 KV, GRUPO 01</v>
          </cell>
          <cell r="B29" t="str">
            <v>Ejecución</v>
          </cell>
          <cell r="C29" t="str">
            <v>23</v>
          </cell>
          <cell r="D29" t="str">
            <v>Energía</v>
          </cell>
          <cell r="E29" t="str">
            <v xml:space="preserve">CDIAZ     </v>
          </cell>
          <cell r="F29">
            <v>754863.446</v>
          </cell>
          <cell r="G29">
            <v>750838.45727999997</v>
          </cell>
          <cell r="I29">
            <v>750838.45727999997</v>
          </cell>
          <cell r="J29">
            <v>39462.3875376</v>
          </cell>
          <cell r="K29">
            <v>-8550</v>
          </cell>
          <cell r="L29">
            <v>5412.6250599999994</v>
          </cell>
          <cell r="M29">
            <v>787163.46987759997</v>
          </cell>
          <cell r="N29">
            <v>750838.45727999997</v>
          </cell>
          <cell r="O29">
            <v>-36325.012597599998</v>
          </cell>
          <cell r="P29">
            <v>747701.08233999996</v>
          </cell>
          <cell r="Q29">
            <v>-3137.3749400000088</v>
          </cell>
          <cell r="R29">
            <v>4024.988720000023</v>
          </cell>
          <cell r="S29">
            <v>20000</v>
          </cell>
          <cell r="T29">
            <v>865321.81005999993</v>
          </cell>
          <cell r="U29">
            <v>-19569.221079999999</v>
          </cell>
          <cell r="V29">
            <v>39378.572999999997</v>
          </cell>
          <cell r="W29" t="str">
            <v>El proyecto finalizó en junio; 16 MCOP reconocidos adicionales por liquidación que se facturarán en junio. Parte de la ejecución del proyecto está registrada en Helisa.</v>
          </cell>
        </row>
        <row r="30">
          <cell r="A30" t="str">
            <v>PY1027-EPM-EN-INT-OBRAS CIVILES SUBESTACIONES ELÉCTRICAS</v>
          </cell>
          <cell r="B30" t="str">
            <v>Ejecución</v>
          </cell>
          <cell r="C30" t="str">
            <v>23</v>
          </cell>
          <cell r="D30" t="str">
            <v>Energía</v>
          </cell>
          <cell r="E30" t="str">
            <v xml:space="preserve">DESCOBAR  </v>
          </cell>
          <cell r="F30">
            <v>1314455.088</v>
          </cell>
          <cell r="G30">
            <v>1322460.233</v>
          </cell>
          <cell r="I30">
            <v>1322460.233</v>
          </cell>
          <cell r="J30">
            <v>0</v>
          </cell>
          <cell r="K30">
            <v>0</v>
          </cell>
          <cell r="L30">
            <v>0</v>
          </cell>
          <cell r="M30">
            <v>1322460.233</v>
          </cell>
          <cell r="N30">
            <v>1322460.233</v>
          </cell>
          <cell r="O30">
            <v>0</v>
          </cell>
          <cell r="P30">
            <v>1322460.233</v>
          </cell>
          <cell r="Q30">
            <v>0</v>
          </cell>
          <cell r="R30">
            <v>-8005.1450000000186</v>
          </cell>
          <cell r="T30">
            <v>1314455.0889000001</v>
          </cell>
          <cell r="U30">
            <v>-49224.544999999998</v>
          </cell>
          <cell r="V30">
            <v>0</v>
          </cell>
          <cell r="W30" t="str">
            <v>Los saldos iniciales de este proyecto se cargaron erroneamente al PY1080; el WIP real del proyecto es de 8 MCOP y debe ser reversado.</v>
          </cell>
        </row>
        <row r="31">
          <cell r="A31" t="str">
            <v>PY1030-EPM SAN LORENZO SONSÓN</v>
          </cell>
          <cell r="B31" t="str">
            <v>Ejecución</v>
          </cell>
          <cell r="C31" t="str">
            <v>21</v>
          </cell>
          <cell r="D31" t="str">
            <v>Energía</v>
          </cell>
          <cell r="E31" t="str">
            <v xml:space="preserve">HRUIZ     </v>
          </cell>
          <cell r="F31">
            <v>1559237.3829999999</v>
          </cell>
          <cell r="G31">
            <v>1334619.7459</v>
          </cell>
          <cell r="I31">
            <v>1334619.7459</v>
          </cell>
          <cell r="J31">
            <v>31708.660527499997</v>
          </cell>
          <cell r="K31">
            <v>12420</v>
          </cell>
          <cell r="L31">
            <v>8272.5329999999994</v>
          </cell>
          <cell r="M31">
            <v>1387020.9394275001</v>
          </cell>
          <cell r="N31">
            <v>1334619.7459</v>
          </cell>
          <cell r="O31">
            <v>-52401.193527500145</v>
          </cell>
          <cell r="P31">
            <v>1355312.2789</v>
          </cell>
          <cell r="Q31">
            <v>20692.533000000054</v>
          </cell>
          <cell r="R31">
            <v>224617.63709999993</v>
          </cell>
          <cell r="S31">
            <v>113444</v>
          </cell>
          <cell r="T31">
            <v>1463052.8033399999</v>
          </cell>
          <cell r="U31">
            <v>-148999.90243999998</v>
          </cell>
          <cell r="V31">
            <v>217598.00368999998</v>
          </cell>
          <cell r="W31" t="str">
            <v>Este proyecto terminó y facturó todo el trabajo realizado.a ejecución real son 1.610 MCOP. El WIP real del proyecto es 50 MCOP y deben reversarse.</v>
          </cell>
        </row>
        <row r="32">
          <cell r="A32" t="str">
            <v>PY1031-I-CONST-LINEA-115 KV DESDE PTO LÓPEZ - PTO. GAITÁN</v>
          </cell>
          <cell r="B32" t="str">
            <v>Ejecución</v>
          </cell>
          <cell r="C32" t="str">
            <v>21</v>
          </cell>
          <cell r="D32" t="str">
            <v>Energía</v>
          </cell>
          <cell r="E32" t="str">
            <v xml:space="preserve">CTRILLOS  </v>
          </cell>
          <cell r="F32">
            <v>1266487.8470000001</v>
          </cell>
          <cell r="G32">
            <v>1005002.857</v>
          </cell>
          <cell r="I32">
            <v>1005002.857</v>
          </cell>
          <cell r="J32">
            <v>47807.063244999998</v>
          </cell>
          <cell r="K32">
            <v>0</v>
          </cell>
          <cell r="L32">
            <v>14028.658750000001</v>
          </cell>
          <cell r="M32">
            <v>1066838.5789949999</v>
          </cell>
          <cell r="N32">
            <v>1005002.857</v>
          </cell>
          <cell r="O32">
            <v>-61835.721994999913</v>
          </cell>
          <cell r="P32">
            <v>1019031.5157499999</v>
          </cell>
          <cell r="Q32">
            <v>14028.658749999944</v>
          </cell>
          <cell r="R32">
            <v>261484.99000000011</v>
          </cell>
          <cell r="T32">
            <v>1085561.01</v>
          </cell>
          <cell r="U32">
            <v>-91458.153000000006</v>
          </cell>
          <cell r="V32">
            <v>126648.784</v>
          </cell>
          <cell r="W32" t="str">
            <v>Proyecto suspendido desde el 15 de junio de 2016por termino indefinido</v>
          </cell>
        </row>
        <row r="33">
          <cell r="A33" t="str">
            <v>PY1033-ESSA-INGENIERÍA ESTUDIOS S/E Y LÍNEAS NORTE</v>
          </cell>
          <cell r="B33" t="str">
            <v>Ejecución</v>
          </cell>
          <cell r="C33" t="str">
            <v>21</v>
          </cell>
          <cell r="D33" t="str">
            <v>M. Ambiente</v>
          </cell>
          <cell r="E33" t="str">
            <v xml:space="preserve">JROMERO   </v>
          </cell>
          <cell r="F33">
            <v>3921089.5630000001</v>
          </cell>
          <cell r="G33">
            <v>3823763.68848</v>
          </cell>
          <cell r="I33">
            <v>3823763.68848</v>
          </cell>
          <cell r="J33">
            <v>2387.8105272000003</v>
          </cell>
          <cell r="K33">
            <v>0</v>
          </cell>
          <cell r="L33">
            <v>5778.1140000000005</v>
          </cell>
          <cell r="M33">
            <v>3831929.6130072</v>
          </cell>
          <cell r="N33">
            <v>3823763.68848</v>
          </cell>
          <cell r="O33">
            <v>-8165.9245271999389</v>
          </cell>
          <cell r="P33">
            <v>3829541.8024800001</v>
          </cell>
          <cell r="Q33">
            <v>5778.1140000000596</v>
          </cell>
          <cell r="R33">
            <v>97325.87452000007</v>
          </cell>
          <cell r="T33">
            <v>2786414.99095</v>
          </cell>
          <cell r="U33">
            <v>1050412.0658799999</v>
          </cell>
          <cell r="V33">
            <v>-1.0000000019800837E-3</v>
          </cell>
          <cell r="W33" t="str">
            <v>La última ampliación habilita facturar 590 MMCOP; están pendientes 96 MMCOP que serán objeto de reclamación ante el cliente.</v>
          </cell>
        </row>
        <row r="34">
          <cell r="A34" t="str">
            <v>PY1036-FINDETER COLEGIO SOACHA</v>
          </cell>
          <cell r="B34" t="str">
            <v>Ejecución</v>
          </cell>
          <cell r="C34" t="str">
            <v>21</v>
          </cell>
          <cell r="D34" t="str">
            <v>Edificaciones</v>
          </cell>
          <cell r="E34" t="str">
            <v xml:space="preserve">DGOMEZ    </v>
          </cell>
          <cell r="F34">
            <v>499908</v>
          </cell>
          <cell r="G34">
            <v>499907.99950999999</v>
          </cell>
          <cell r="I34">
            <v>499907.99950999999</v>
          </cell>
          <cell r="J34">
            <v>0</v>
          </cell>
          <cell r="K34">
            <v>800</v>
          </cell>
          <cell r="L34">
            <v>0</v>
          </cell>
          <cell r="M34">
            <v>500707.99950999999</v>
          </cell>
          <cell r="N34">
            <v>499907.99950999999</v>
          </cell>
          <cell r="O34">
            <v>-800</v>
          </cell>
          <cell r="P34">
            <v>500707.99950999999</v>
          </cell>
          <cell r="Q34">
            <v>800</v>
          </cell>
          <cell r="R34">
            <v>4.9000000581145287E-4</v>
          </cell>
          <cell r="T34">
            <v>499908</v>
          </cell>
          <cell r="U34">
            <v>-4.8999999999999998E-4</v>
          </cell>
          <cell r="V34">
            <v>0</v>
          </cell>
          <cell r="W34" t="str">
            <v>No información.</v>
          </cell>
        </row>
        <row r="35">
          <cell r="A35" t="str">
            <v>PY1039-INTERVENTORIA SUGAMUXI</v>
          </cell>
          <cell r="B35" t="str">
            <v>Ejecución</v>
          </cell>
          <cell r="C35" t="str">
            <v>21</v>
          </cell>
          <cell r="D35" t="str">
            <v>Transporte</v>
          </cell>
          <cell r="E35" t="str">
            <v xml:space="preserve">TLUQUEZ   </v>
          </cell>
          <cell r="F35">
            <v>1861616.091</v>
          </cell>
          <cell r="G35">
            <v>11180.921</v>
          </cell>
          <cell r="I35">
            <v>11180.921</v>
          </cell>
          <cell r="J35">
            <v>0</v>
          </cell>
          <cell r="K35">
            <v>0</v>
          </cell>
          <cell r="L35">
            <v>-3408.26</v>
          </cell>
          <cell r="M35">
            <v>7772.6610000000001</v>
          </cell>
          <cell r="N35">
            <v>11180.921</v>
          </cell>
          <cell r="O35">
            <v>3408.26</v>
          </cell>
          <cell r="P35">
            <v>7772.6610000000001</v>
          </cell>
          <cell r="Q35">
            <v>-3408.26</v>
          </cell>
          <cell r="R35">
            <v>1850435.17</v>
          </cell>
          <cell r="T35">
            <v>11180.921</v>
          </cell>
          <cell r="U35">
            <v>0</v>
          </cell>
          <cell r="V35">
            <v>119377.094</v>
          </cell>
          <cell r="W35" t="str">
            <v>Abogada confirmo paso de la factura a tesorería, Marcela Rojas nos atiende. Se espera recaudar a fin de mes.</v>
          </cell>
        </row>
        <row r="36">
          <cell r="A36" t="str">
            <v>PY1041-ISA BETANIA MIROLINDO EIA</v>
          </cell>
          <cell r="B36" t="str">
            <v>Ejecución</v>
          </cell>
          <cell r="C36" t="str">
            <v>21</v>
          </cell>
          <cell r="D36" t="str">
            <v>M. Ambiente</v>
          </cell>
          <cell r="E36" t="str">
            <v xml:space="preserve">SGOMEZ    </v>
          </cell>
          <cell r="F36">
            <v>1961608.155</v>
          </cell>
          <cell r="G36">
            <v>1867939.92842</v>
          </cell>
          <cell r="I36">
            <v>1867939.92842</v>
          </cell>
          <cell r="J36">
            <v>44059.051930000001</v>
          </cell>
          <cell r="K36">
            <v>0</v>
          </cell>
          <cell r="L36">
            <v>14898.567999999999</v>
          </cell>
          <cell r="M36">
            <v>1926897.5483500001</v>
          </cell>
          <cell r="N36">
            <v>1867939.92842</v>
          </cell>
          <cell r="O36">
            <v>-58957.619930000044</v>
          </cell>
          <cell r="P36">
            <v>1882838.49642</v>
          </cell>
          <cell r="Q36">
            <v>14898.56799999997</v>
          </cell>
          <cell r="R36">
            <v>93668.226580000017</v>
          </cell>
          <cell r="T36">
            <v>1690152.17</v>
          </cell>
          <cell r="U36">
            <v>177322.74441999997</v>
          </cell>
          <cell r="V36">
            <v>461158.52899999998</v>
          </cell>
          <cell r="W36" t="str">
            <v>En el mes de junio se facturará 200 millones, se solicito cruce de 130MCOP contra facturacion, el forecast se ajusta alos saldos disponibles</v>
          </cell>
        </row>
        <row r="37">
          <cell r="A37" t="str">
            <v>PY1042-ISA GUAPI - CONTROL DE OBRA</v>
          </cell>
          <cell r="B37" t="str">
            <v>Ejecución</v>
          </cell>
          <cell r="C37" t="str">
            <v>24</v>
          </cell>
          <cell r="D37" t="str">
            <v>Energía</v>
          </cell>
          <cell r="E37" t="str">
            <v xml:space="preserve">APAEZ     </v>
          </cell>
          <cell r="F37">
            <v>8419259.7280000001</v>
          </cell>
          <cell r="G37">
            <v>7711308.3811899992</v>
          </cell>
          <cell r="I37">
            <v>7711308.3811899992</v>
          </cell>
          <cell r="J37">
            <v>117418.4957725</v>
          </cell>
          <cell r="K37">
            <v>4144.0990000000002</v>
          </cell>
          <cell r="L37">
            <v>62038.320180000002</v>
          </cell>
          <cell r="M37">
            <v>7894909.296142499</v>
          </cell>
          <cell r="N37">
            <v>7711308.3811899992</v>
          </cell>
          <cell r="O37">
            <v>-183600.91495249979</v>
          </cell>
          <cell r="P37">
            <v>7777490.8003699994</v>
          </cell>
          <cell r="Q37">
            <v>66182.419180000201</v>
          </cell>
          <cell r="R37">
            <v>707951.34681000095</v>
          </cell>
          <cell r="S37">
            <v>720843.39</v>
          </cell>
          <cell r="T37">
            <v>7841133.3550000004</v>
          </cell>
          <cell r="U37">
            <v>-124149.73795000001</v>
          </cell>
          <cell r="V37">
            <v>542559.647</v>
          </cell>
          <cell r="W37" t="str">
            <v>El proyecto reserva parte del ingreso en forma WIP negativo para cierre y liquidación que cubrirá la diferencia entre la ejecución por completar y el disponible a ejecutar.</v>
          </cell>
        </row>
        <row r="38">
          <cell r="A38" t="str">
            <v>PY1047-UPME LINEA 500 KV SOGAMOSO-NORTE-NUEVA ESPERANZA</v>
          </cell>
          <cell r="B38" t="str">
            <v>Ejecución</v>
          </cell>
          <cell r="C38" t="str">
            <v>21</v>
          </cell>
          <cell r="D38" t="str">
            <v>Energía</v>
          </cell>
          <cell r="E38" t="str">
            <v xml:space="preserve">AACEVEDO  </v>
          </cell>
          <cell r="F38">
            <v>1086500</v>
          </cell>
          <cell r="G38">
            <v>505395.50199999998</v>
          </cell>
          <cell r="I38">
            <v>505395.50199999998</v>
          </cell>
          <cell r="J38">
            <v>38721.993489</v>
          </cell>
          <cell r="K38">
            <v>1700</v>
          </cell>
          <cell r="L38">
            <v>0</v>
          </cell>
          <cell r="M38">
            <v>545817.49548899999</v>
          </cell>
          <cell r="N38">
            <v>505395.50199999998</v>
          </cell>
          <cell r="O38">
            <v>-40421.993489000015</v>
          </cell>
          <cell r="P38">
            <v>507095.50199999998</v>
          </cell>
          <cell r="Q38">
            <v>1700</v>
          </cell>
          <cell r="R38">
            <v>581104.49800000002</v>
          </cell>
          <cell r="S38">
            <v>130000</v>
          </cell>
          <cell r="T38">
            <v>556500</v>
          </cell>
          <cell r="U38">
            <v>-51104.498</v>
          </cell>
          <cell r="V38">
            <v>29150</v>
          </cell>
          <cell r="W38" t="str">
            <v>El valor autorizado es 1.518,5 MCOP. Esta pendiente una posible ampliación hasta diciembre por 315 MCOP aprox. Proyecto en ejecución OK.</v>
          </cell>
        </row>
        <row r="39">
          <cell r="A39" t="str">
            <v>PY1048-UPME 03-2013 INTERVENTORIA SUBESTACION TULUNI</v>
          </cell>
          <cell r="B39" t="str">
            <v>Ejecución</v>
          </cell>
          <cell r="C39" t="str">
            <v>21</v>
          </cell>
          <cell r="D39" t="str">
            <v>Energía</v>
          </cell>
          <cell r="E39" t="str">
            <v xml:space="preserve">CTRILLOS  </v>
          </cell>
          <cell r="F39">
            <v>948000</v>
          </cell>
          <cell r="G39">
            <v>509793.43400000001</v>
          </cell>
          <cell r="I39">
            <v>509793.43400000001</v>
          </cell>
          <cell r="J39">
            <v>23294.487738</v>
          </cell>
          <cell r="K39">
            <v>2700</v>
          </cell>
          <cell r="L39">
            <v>86.317999999999998</v>
          </cell>
          <cell r="M39">
            <v>535874.23973799997</v>
          </cell>
          <cell r="N39">
            <v>509793.43400000001</v>
          </cell>
          <cell r="O39">
            <v>-26080.805737999966</v>
          </cell>
          <cell r="P39">
            <v>512579.75199999998</v>
          </cell>
          <cell r="Q39">
            <v>2786.3179999999702</v>
          </cell>
          <cell r="R39">
            <v>438206.56599999999</v>
          </cell>
          <cell r="T39">
            <v>671500</v>
          </cell>
          <cell r="U39">
            <v>-161706.56599999999</v>
          </cell>
          <cell r="V39">
            <v>43450</v>
          </cell>
          <cell r="W39" t="str">
            <v xml:space="preserve">Proyecto en ejecución OK. Cartera corriente se debe revisar valor reportado </v>
          </cell>
        </row>
        <row r="40">
          <cell r="A40" t="str">
            <v>PY1049-UPME 07-2013 INTERVENTORÍA SE MONTERÍA 230 KV</v>
          </cell>
          <cell r="B40" t="str">
            <v>Ejecución</v>
          </cell>
          <cell r="C40" t="str">
            <v>21</v>
          </cell>
          <cell r="D40" t="str">
            <v>Energía</v>
          </cell>
          <cell r="E40" t="str">
            <v xml:space="preserve">CTRILLOS  </v>
          </cell>
          <cell r="F40">
            <v>767000</v>
          </cell>
          <cell r="G40">
            <v>433106.42499999999</v>
          </cell>
          <cell r="I40">
            <v>433106.42499999999</v>
          </cell>
          <cell r="J40">
            <v>17327.641317000001</v>
          </cell>
          <cell r="K40">
            <v>2000</v>
          </cell>
          <cell r="L40">
            <v>29.1</v>
          </cell>
          <cell r="M40">
            <v>452463.16631699994</v>
          </cell>
          <cell r="N40">
            <v>433106.42499999999</v>
          </cell>
          <cell r="O40">
            <v>-19356.741316999949</v>
          </cell>
          <cell r="P40">
            <v>435135.52499999997</v>
          </cell>
          <cell r="Q40">
            <v>2029.0999999999767</v>
          </cell>
          <cell r="R40">
            <v>333893.57500000001</v>
          </cell>
          <cell r="T40">
            <v>472000</v>
          </cell>
          <cell r="U40">
            <v>-38893.574999999997</v>
          </cell>
          <cell r="V40">
            <v>63425</v>
          </cell>
          <cell r="W40" t="str">
            <v xml:space="preserve">Proyecto en ejecución OK. Cartera corriente se debe revisar valor reportado </v>
          </cell>
        </row>
        <row r="41">
          <cell r="A41" t="str">
            <v>PY1076-UPME 05-2012 LINEA BOLIVAR-CARTAGENA</v>
          </cell>
          <cell r="B41" t="str">
            <v>Ejecución</v>
          </cell>
          <cell r="C41" t="str">
            <v>21</v>
          </cell>
          <cell r="D41" t="str">
            <v>Energía</v>
          </cell>
          <cell r="E41" t="str">
            <v xml:space="preserve">CTRILLOS  </v>
          </cell>
          <cell r="F41">
            <v>452290</v>
          </cell>
          <cell r="G41">
            <v>225144.875</v>
          </cell>
          <cell r="I41">
            <v>225144.875</v>
          </cell>
          <cell r="J41">
            <v>17876.3933325</v>
          </cell>
          <cell r="K41">
            <v>1000</v>
          </cell>
          <cell r="L41">
            <v>0</v>
          </cell>
          <cell r="M41">
            <v>244021.26833250001</v>
          </cell>
          <cell r="N41">
            <v>225144.875</v>
          </cell>
          <cell r="O41">
            <v>-18876.393332500011</v>
          </cell>
          <cell r="P41">
            <v>226144.875</v>
          </cell>
          <cell r="Q41">
            <v>1000</v>
          </cell>
          <cell r="R41">
            <v>227145.125</v>
          </cell>
          <cell r="T41">
            <v>248030</v>
          </cell>
          <cell r="U41">
            <v>-22885.125</v>
          </cell>
          <cell r="V41">
            <v>16049</v>
          </cell>
          <cell r="W41" t="str">
            <v xml:space="preserve">Cliente con déficit económico. El saldo de cartera tiene 60 días en mora.
Proyecto en ejecución OK. Cartera corriente se debe revisar valor reportado </v>
          </cell>
        </row>
        <row r="42">
          <cell r="A42" t="str">
            <v>PY1077-LEVANTAMIENTO INFORMACION GRUPO II CONT 4114000279</v>
          </cell>
          <cell r="B42" t="str">
            <v>Ejecución</v>
          </cell>
          <cell r="C42" t="str">
            <v>22</v>
          </cell>
          <cell r="D42" t="str">
            <v>Energía</v>
          </cell>
          <cell r="E42" t="str">
            <v xml:space="preserve">RRAMBAO   </v>
          </cell>
          <cell r="F42">
            <v>2495396.9640000002</v>
          </cell>
          <cell r="G42">
            <v>2439872.87524</v>
          </cell>
          <cell r="I42">
            <v>2439872.87524</v>
          </cell>
          <cell r="J42">
            <v>67746.870892499996</v>
          </cell>
          <cell r="K42">
            <v>0</v>
          </cell>
          <cell r="L42">
            <v>6304.0919999999996</v>
          </cell>
          <cell r="M42">
            <v>2513923.8381325002</v>
          </cell>
          <cell r="N42">
            <v>2439872.87524</v>
          </cell>
          <cell r="O42">
            <v>-74050.962892500218</v>
          </cell>
          <cell r="P42">
            <v>2446176.9672400001</v>
          </cell>
          <cell r="Q42">
            <v>6304.0920000001788</v>
          </cell>
          <cell r="R42">
            <v>55524.088760000188</v>
          </cell>
          <cell r="T42">
            <v>2070380.378</v>
          </cell>
          <cell r="U42">
            <v>357796.58124000003</v>
          </cell>
          <cell r="V42">
            <v>0</v>
          </cell>
          <cell r="W42" t="str">
            <v>Trabajos asignados y que no han sido recibidos por el cliente (productos en proceso)</v>
          </cell>
        </row>
        <row r="43">
          <cell r="A43" t="str">
            <v>PY1078-LEVANTAMIENTO INFORMACION GRUPO I- CONT 4114000280</v>
          </cell>
          <cell r="B43" t="str">
            <v>Ejecución</v>
          </cell>
          <cell r="C43" t="str">
            <v>22</v>
          </cell>
          <cell r="D43" t="str">
            <v>Energía</v>
          </cell>
          <cell r="E43" t="str">
            <v xml:space="preserve">RRAMBAO   </v>
          </cell>
          <cell r="F43">
            <v>1099863.0589999999</v>
          </cell>
          <cell r="G43">
            <v>947541.29788999993</v>
          </cell>
          <cell r="I43">
            <v>947541.29788999993</v>
          </cell>
          <cell r="J43">
            <v>25693.117302499999</v>
          </cell>
          <cell r="K43">
            <v>0</v>
          </cell>
          <cell r="L43">
            <v>463.27600000000001</v>
          </cell>
          <cell r="M43">
            <v>973697.69119249983</v>
          </cell>
          <cell r="N43">
            <v>947541.29788999993</v>
          </cell>
          <cell r="O43">
            <v>-26156.393302499899</v>
          </cell>
          <cell r="P43">
            <v>948004.57388999988</v>
          </cell>
          <cell r="Q43">
            <v>463.27599999995437</v>
          </cell>
          <cell r="R43">
            <v>152321.76110999996</v>
          </cell>
          <cell r="T43">
            <v>793956.21522999997</v>
          </cell>
          <cell r="U43">
            <v>153543.08265999999</v>
          </cell>
          <cell r="V43">
            <v>168377.31890000001</v>
          </cell>
          <cell r="W43" t="str">
            <v>Hay 82 MMCOP a la espera de la orden de facturación; 98 MMCOP de productos en proceso.</v>
          </cell>
        </row>
        <row r="44">
          <cell r="A44" t="str">
            <v>PY1082-JV-MEDELLIN INT EXT  ALUMBRADO PUBLICO / CONSORCIO CS</v>
          </cell>
          <cell r="B44" t="str">
            <v>Ejecución</v>
          </cell>
          <cell r="C44" t="str">
            <v>23</v>
          </cell>
          <cell r="D44" t="str">
            <v>Energía</v>
          </cell>
          <cell r="E44" t="str">
            <v xml:space="preserve">HRUIZ     </v>
          </cell>
          <cell r="F44">
            <v>0</v>
          </cell>
          <cell r="G44">
            <v>1388547.9171200001</v>
          </cell>
          <cell r="I44">
            <v>1388547.9171200001</v>
          </cell>
          <cell r="J44">
            <v>0</v>
          </cell>
          <cell r="K44">
            <v>0</v>
          </cell>
          <cell r="L44">
            <v>37230.78</v>
          </cell>
          <cell r="M44">
            <v>1425778.6971200001</v>
          </cell>
          <cell r="N44">
            <v>1388547.9171200001</v>
          </cell>
          <cell r="O44">
            <v>-37230.780000000028</v>
          </cell>
          <cell r="P44">
            <v>1425778.6971200001</v>
          </cell>
          <cell r="Q44">
            <v>37230.780000000028</v>
          </cell>
          <cell r="R44">
            <v>-1388547.9171200001</v>
          </cell>
          <cell r="T44">
            <v>1264410.81332</v>
          </cell>
          <cell r="U44">
            <v>8.0000000000000004E-4</v>
          </cell>
          <cell r="V44">
            <v>76170.637920000008</v>
          </cell>
          <cell r="W44" t="str">
            <v>Administra: SEDIC.</v>
          </cell>
        </row>
        <row r="45">
          <cell r="A45" t="str">
            <v>PY1084-CONSULTORIA LT-SAN LORENZO-SONSÓN</v>
          </cell>
          <cell r="B45" t="str">
            <v>Ejecución</v>
          </cell>
          <cell r="C45" t="str">
            <v>23</v>
          </cell>
          <cell r="D45" t="str">
            <v>Energía</v>
          </cell>
          <cell r="E45" t="str">
            <v xml:space="preserve">GMONTOYA  </v>
          </cell>
          <cell r="F45">
            <v>0</v>
          </cell>
          <cell r="G45">
            <v>275371.07400000002</v>
          </cell>
          <cell r="I45">
            <v>275371.07400000002</v>
          </cell>
          <cell r="J45">
            <v>0</v>
          </cell>
          <cell r="K45">
            <v>0</v>
          </cell>
          <cell r="L45">
            <v>0</v>
          </cell>
          <cell r="M45">
            <v>275371.07400000002</v>
          </cell>
          <cell r="N45">
            <v>275371.07400000002</v>
          </cell>
          <cell r="O45">
            <v>0</v>
          </cell>
          <cell r="P45">
            <v>275371.07400000002</v>
          </cell>
          <cell r="Q45">
            <v>0</v>
          </cell>
          <cell r="R45">
            <v>-275371.07400000002</v>
          </cell>
          <cell r="T45">
            <v>96184.58</v>
          </cell>
          <cell r="U45">
            <v>199753.33900000001</v>
          </cell>
          <cell r="V45">
            <v>0</v>
          </cell>
          <cell r="W45" t="str">
            <v>Esta ejecución pertenece al proyecto San Lorenzo PY1030; es necesario ajustar en contabilidad.</v>
          </cell>
        </row>
        <row r="46">
          <cell r="A46" t="str">
            <v>PY1087-CEO GD02 1 FAER DPTO CAUCA</v>
          </cell>
          <cell r="B46" t="str">
            <v>Ejecución</v>
          </cell>
          <cell r="C46" t="str">
            <v>24</v>
          </cell>
          <cell r="D46" t="str">
            <v>Energía</v>
          </cell>
          <cell r="E46" t="str">
            <v xml:space="preserve">EVELANDIA </v>
          </cell>
          <cell r="F46">
            <v>1083860.027</v>
          </cell>
          <cell r="G46">
            <v>703429.70926000003</v>
          </cell>
          <cell r="I46">
            <v>703429.70926000003</v>
          </cell>
          <cell r="J46">
            <v>3054.6755274999996</v>
          </cell>
          <cell r="K46">
            <v>0</v>
          </cell>
          <cell r="L46">
            <v>523.55746999999997</v>
          </cell>
          <cell r="M46">
            <v>707007.94225750002</v>
          </cell>
          <cell r="N46">
            <v>703429.70926000003</v>
          </cell>
          <cell r="O46">
            <v>-3578.2329974999884</v>
          </cell>
          <cell r="P46">
            <v>703953.26673000003</v>
          </cell>
          <cell r="Q46">
            <v>523.55746999999974</v>
          </cell>
          <cell r="R46">
            <v>380430.31773999997</v>
          </cell>
          <cell r="S46">
            <v>14738</v>
          </cell>
          <cell r="T46">
            <v>1072355.3877999999</v>
          </cell>
          <cell r="U46">
            <v>5384.2472900000002</v>
          </cell>
          <cell r="V46">
            <v>0</v>
          </cell>
          <cell r="W46" t="str">
            <v>Parte de la ejecución de este proyecto está registrada en Helisa, por lo cual el disponible real es mucho más bajo. El WIP se facturará al cierre del proyecto en julio.</v>
          </cell>
        </row>
        <row r="47">
          <cell r="A47" t="str">
            <v>PY1111-UPME 05-2014 LÍNEA 500 KV CERROMATOSO - CHINU</v>
          </cell>
          <cell r="B47" t="str">
            <v>Ejecución</v>
          </cell>
          <cell r="C47" t="str">
            <v>21</v>
          </cell>
          <cell r="D47" t="str">
            <v>Energía</v>
          </cell>
          <cell r="E47" t="str">
            <v xml:space="preserve">PRINCON   </v>
          </cell>
          <cell r="F47">
            <v>3779580</v>
          </cell>
          <cell r="G47">
            <v>504633.44499999995</v>
          </cell>
          <cell r="I47">
            <v>504633.44499999995</v>
          </cell>
          <cell r="J47">
            <v>34059.622143000001</v>
          </cell>
          <cell r="K47">
            <v>2000</v>
          </cell>
          <cell r="L47">
            <v>38.799999999999997</v>
          </cell>
          <cell r="M47">
            <v>540731.86714300001</v>
          </cell>
          <cell r="N47">
            <v>504633.44499999995</v>
          </cell>
          <cell r="O47">
            <v>-36098.422143000062</v>
          </cell>
          <cell r="P47">
            <v>506672.245</v>
          </cell>
          <cell r="Q47">
            <v>2038.8000000000466</v>
          </cell>
          <cell r="R47">
            <v>3274946.5550000002</v>
          </cell>
          <cell r="T47">
            <v>719920</v>
          </cell>
          <cell r="U47">
            <v>-215286.55499999999</v>
          </cell>
          <cell r="V47">
            <v>197978</v>
          </cell>
          <cell r="W47" t="str">
            <v xml:space="preserve">Proyecto en ejecución OK. Cartera corriente se debe revisar valor reportado </v>
          </cell>
        </row>
        <row r="48">
          <cell r="A48" t="str">
            <v>PY1117-GAS NATURAL-S- SB Y LT AT  4115000183</v>
          </cell>
          <cell r="B48" t="str">
            <v>Ejecución</v>
          </cell>
          <cell r="C48" t="str">
            <v>22</v>
          </cell>
          <cell r="D48" t="str">
            <v>Energía</v>
          </cell>
          <cell r="E48" t="str">
            <v xml:space="preserve">VCARREÑO  </v>
          </cell>
          <cell r="F48">
            <v>3140306.4350000001</v>
          </cell>
          <cell r="G48">
            <v>778286.27500000002</v>
          </cell>
          <cell r="I48">
            <v>778286.27500000002</v>
          </cell>
          <cell r="J48">
            <v>135971.808181</v>
          </cell>
          <cell r="K48">
            <v>5300</v>
          </cell>
          <cell r="L48">
            <v>10174.42</v>
          </cell>
          <cell r="M48">
            <v>929732.50318100012</v>
          </cell>
          <cell r="N48">
            <v>778286.27500000002</v>
          </cell>
          <cell r="O48">
            <v>-151446.2281810001</v>
          </cell>
          <cell r="P48">
            <v>793760.69500000007</v>
          </cell>
          <cell r="Q48">
            <v>15474.420000000042</v>
          </cell>
          <cell r="R48">
            <v>2362020.16</v>
          </cell>
          <cell r="T48">
            <v>712958.58299999998</v>
          </cell>
          <cell r="U48">
            <v>65327.692000000003</v>
          </cell>
          <cell r="V48">
            <v>348078.65399999998</v>
          </cell>
          <cell r="W48" t="str">
            <v>WIP corriente, valor a cruzar contra facturación de mayo por 204 MMCOP</v>
          </cell>
        </row>
        <row r="49">
          <cell r="A49" t="str">
            <v>PY1121-INTERVENTORIA OBRAS SANEAMIENTO BASICO PORCE III</v>
          </cell>
          <cell r="B49" t="str">
            <v>Ejecución</v>
          </cell>
          <cell r="C49" t="str">
            <v>23</v>
          </cell>
          <cell r="D49" t="str">
            <v>I. Municipal</v>
          </cell>
          <cell r="E49" t="str">
            <v xml:space="preserve">JVALENCIA </v>
          </cell>
          <cell r="F49">
            <v>0</v>
          </cell>
          <cell r="G49">
            <v>0</v>
          </cell>
          <cell r="I49">
            <v>0</v>
          </cell>
          <cell r="J49">
            <v>0</v>
          </cell>
          <cell r="K49">
            <v>0</v>
          </cell>
          <cell r="L49">
            <v>0</v>
          </cell>
          <cell r="M49">
            <v>0</v>
          </cell>
          <cell r="N49">
            <v>0</v>
          </cell>
          <cell r="O49">
            <v>0</v>
          </cell>
          <cell r="P49">
            <v>0</v>
          </cell>
          <cell r="Q49">
            <v>0</v>
          </cell>
          <cell r="R49">
            <v>0</v>
          </cell>
          <cell r="T49">
            <v>0</v>
          </cell>
          <cell r="U49">
            <v>0</v>
          </cell>
          <cell r="V49">
            <v>0</v>
          </cell>
          <cell r="W49" t="str">
            <v>PY terminado.</v>
          </cell>
        </row>
        <row r="50">
          <cell r="A50" t="str">
            <v>PY1130-JV-ANI DEVINORTE - CONSORCIO ICITY</v>
          </cell>
          <cell r="B50" t="str">
            <v>Ejecución</v>
          </cell>
          <cell r="C50" t="str">
            <v>21</v>
          </cell>
          <cell r="D50" t="str">
            <v>Transporte</v>
          </cell>
          <cell r="E50" t="str">
            <v xml:space="preserve">YSALAZAR  </v>
          </cell>
          <cell r="F50">
            <v>2027894.11</v>
          </cell>
          <cell r="G50">
            <v>1055337.5068000001</v>
          </cell>
          <cell r="I50">
            <v>1055337.5068000001</v>
          </cell>
          <cell r="J50">
            <v>4770.7654736000004</v>
          </cell>
          <cell r="K50">
            <v>0</v>
          </cell>
          <cell r="L50">
            <v>136.10400000000001</v>
          </cell>
          <cell r="M50">
            <v>1060244.3762736002</v>
          </cell>
          <cell r="N50">
            <v>1055337.5068000001</v>
          </cell>
          <cell r="O50">
            <v>-4906.8694736000616</v>
          </cell>
          <cell r="P50">
            <v>1055473.6108000001</v>
          </cell>
          <cell r="Q50">
            <v>136.10400000005029</v>
          </cell>
          <cell r="R50">
            <v>972556.60320000001</v>
          </cell>
          <cell r="T50">
            <v>787706.97590000008</v>
          </cell>
          <cell r="U50">
            <v>211826.08910000001</v>
          </cell>
          <cell r="V50">
            <v>95040.090500000006</v>
          </cell>
          <cell r="W50" t="str">
            <v>Adm: INGEOCIM.
Reunión con Camilo Naged  primera semana de junio.</v>
          </cell>
        </row>
        <row r="51">
          <cell r="A51" t="str">
            <v>PY1135-JV-FONDO DE ADAPTACION BARRANQUILLITA</v>
          </cell>
          <cell r="B51" t="str">
            <v>Ejecución</v>
          </cell>
          <cell r="C51" t="str">
            <v>21</v>
          </cell>
          <cell r="D51" t="str">
            <v>I. Municipal</v>
          </cell>
          <cell r="E51" t="str">
            <v xml:space="preserve">RANZOLA   </v>
          </cell>
          <cell r="F51">
            <v>2945655.43</v>
          </cell>
          <cell r="G51">
            <v>4004102.9234499997</v>
          </cell>
          <cell r="I51">
            <v>4004102.9234499997</v>
          </cell>
          <cell r="J51">
            <v>1207.3874217</v>
          </cell>
          <cell r="K51">
            <v>0</v>
          </cell>
          <cell r="L51">
            <v>649556.11987000005</v>
          </cell>
          <cell r="M51">
            <v>4654866.4307416994</v>
          </cell>
          <cell r="N51">
            <v>4004102.9234499997</v>
          </cell>
          <cell r="O51">
            <v>-650763.50729169976</v>
          </cell>
          <cell r="P51">
            <v>4653659.0433199992</v>
          </cell>
          <cell r="Q51">
            <v>649556.11986999959</v>
          </cell>
          <cell r="R51">
            <v>-1058447.4934499995</v>
          </cell>
          <cell r="S51">
            <v>4373</v>
          </cell>
          <cell r="T51">
            <v>2634295.1203999999</v>
          </cell>
          <cell r="U51">
            <v>252402.19680000001</v>
          </cell>
          <cell r="V51">
            <v>-3.4000000000000002E-4</v>
          </cell>
          <cell r="W51" t="str">
            <v>Ejecutado Acumulado may-16 $ 2.940.688.563
Proyecto en liquidación, se firmo acta de liquidación el 01/06/2016, se factura en Junio/2016, se factura 319 MCOP</v>
          </cell>
        </row>
        <row r="52">
          <cell r="A52" t="str">
            <v>PY1145-APP RANCHERIA</v>
          </cell>
          <cell r="B52" t="str">
            <v>Ejecución</v>
          </cell>
          <cell r="C52" t="str">
            <v>21</v>
          </cell>
          <cell r="D52" t="str">
            <v>I. Municipal</v>
          </cell>
          <cell r="E52" t="str">
            <v xml:space="preserve">MBAYONA   </v>
          </cell>
          <cell r="F52">
            <v>347996.37099999998</v>
          </cell>
          <cell r="G52">
            <v>294809.56349999999</v>
          </cell>
          <cell r="I52">
            <v>294809.56349999999</v>
          </cell>
          <cell r="J52">
            <v>0</v>
          </cell>
          <cell r="K52">
            <v>0</v>
          </cell>
          <cell r="L52">
            <v>16.484000000000002</v>
          </cell>
          <cell r="M52">
            <v>294826.04749999999</v>
          </cell>
          <cell r="N52">
            <v>294809.56349999999</v>
          </cell>
          <cell r="O52">
            <v>-16.48399999999674</v>
          </cell>
          <cell r="P52">
            <v>294826.04749999999</v>
          </cell>
          <cell r="Q52">
            <v>16.48399999999674</v>
          </cell>
          <cell r="R52">
            <v>53186.807499999995</v>
          </cell>
          <cell r="T52">
            <v>92925.229120000004</v>
          </cell>
          <cell r="U52">
            <v>37669.221340000004</v>
          </cell>
          <cell r="V52">
            <v>-2661.0650000000001</v>
          </cell>
          <cell r="W52" t="str">
            <v>Proyecto en liquidación - se termina proyecto el 28 de junio/16, se entregaron todos los productos de la Etapa I (oct/15).</v>
          </cell>
        </row>
        <row r="53">
          <cell r="A53" t="str">
            <v>PY1146-CGR DOÑA JUANA - CONSULTORIA PERMANENTE</v>
          </cell>
          <cell r="B53" t="str">
            <v>Ejecución</v>
          </cell>
          <cell r="C53" t="str">
            <v>21</v>
          </cell>
          <cell r="D53" t="str">
            <v>M. Ambiente</v>
          </cell>
          <cell r="E53" t="str">
            <v xml:space="preserve">CBUITRAGO </v>
          </cell>
          <cell r="F53">
            <v>3560005.5210000002</v>
          </cell>
          <cell r="G53">
            <v>10702.420619999999</v>
          </cell>
          <cell r="I53">
            <v>10702.420619999999</v>
          </cell>
          <cell r="J53">
            <v>0</v>
          </cell>
          <cell r="K53">
            <v>0</v>
          </cell>
          <cell r="L53">
            <v>0</v>
          </cell>
          <cell r="M53">
            <v>10702.420619999999</v>
          </cell>
          <cell r="N53">
            <v>10702.420619999999</v>
          </cell>
          <cell r="O53">
            <v>0</v>
          </cell>
          <cell r="P53">
            <v>10702.420619999999</v>
          </cell>
          <cell r="Q53">
            <v>0</v>
          </cell>
          <cell r="R53">
            <v>3549303.1003800002</v>
          </cell>
          <cell r="T53">
            <v>0</v>
          </cell>
          <cell r="U53">
            <v>-160838.416</v>
          </cell>
          <cell r="V53">
            <v>0</v>
          </cell>
          <cell r="W53" t="str">
            <v>No información.</v>
          </cell>
        </row>
        <row r="54">
          <cell r="A54" t="str">
            <v>PY1147-CGR DOÑA JUANA - PONDAJE 7</v>
          </cell>
          <cell r="B54" t="str">
            <v>Ejecución</v>
          </cell>
          <cell r="C54" t="str">
            <v>21</v>
          </cell>
          <cell r="D54" t="str">
            <v>M. Ambiente</v>
          </cell>
          <cell r="E54" t="str">
            <v xml:space="preserve">CBUITRAGO </v>
          </cell>
          <cell r="F54">
            <v>50000</v>
          </cell>
          <cell r="G54">
            <v>16</v>
          </cell>
          <cell r="I54">
            <v>16</v>
          </cell>
          <cell r="J54">
            <v>0</v>
          </cell>
          <cell r="K54">
            <v>0</v>
          </cell>
          <cell r="L54">
            <v>0</v>
          </cell>
          <cell r="M54">
            <v>16</v>
          </cell>
          <cell r="N54">
            <v>16</v>
          </cell>
          <cell r="O54">
            <v>0</v>
          </cell>
          <cell r="P54">
            <v>16</v>
          </cell>
          <cell r="Q54">
            <v>0</v>
          </cell>
          <cell r="R54">
            <v>49984</v>
          </cell>
          <cell r="T54">
            <v>0</v>
          </cell>
          <cell r="U54">
            <v>58000</v>
          </cell>
          <cell r="V54">
            <v>0</v>
          </cell>
          <cell r="W54" t="str">
            <v>No información.</v>
          </cell>
        </row>
        <row r="55">
          <cell r="A55" t="str">
            <v>PY1152-CONSORCIO VIAL SUR VIA SAN FRANCISCO MOCOA 2 Y 3</v>
          </cell>
          <cell r="B55" t="str">
            <v>Ejecución</v>
          </cell>
          <cell r="C55" t="str">
            <v>24</v>
          </cell>
          <cell r="D55" t="str">
            <v>Transporte</v>
          </cell>
          <cell r="E55" t="str">
            <v xml:space="preserve">MPEREZ    </v>
          </cell>
          <cell r="F55">
            <v>3054617.0500000003</v>
          </cell>
          <cell r="G55">
            <v>3253911.4052499998</v>
          </cell>
          <cell r="I55">
            <v>3253911.4052499998</v>
          </cell>
          <cell r="J55">
            <v>15529.92842</v>
          </cell>
          <cell r="K55">
            <v>0</v>
          </cell>
          <cell r="L55">
            <v>495.40199999999999</v>
          </cell>
          <cell r="M55">
            <v>3269936.7356699994</v>
          </cell>
          <cell r="N55">
            <v>3253911.4052499998</v>
          </cell>
          <cell r="O55">
            <v>-16025.330419999547</v>
          </cell>
          <cell r="P55">
            <v>3254406.8072499996</v>
          </cell>
          <cell r="Q55">
            <v>495.40199999976903</v>
          </cell>
          <cell r="R55">
            <v>-199294.35524999956</v>
          </cell>
          <cell r="T55">
            <v>2267412.8160000001</v>
          </cell>
          <cell r="U55">
            <v>816811.67600000009</v>
          </cell>
          <cell r="V55">
            <v>1E-3</v>
          </cell>
          <cell r="W55" t="str">
            <v>Se cobrara en junio $567.204.234 y el saldo correspondiente a la Etapa II, en septiembre 2016. Este proyecto tiene un anticipo para cruzar por 800MCOP.</v>
          </cell>
        </row>
        <row r="56">
          <cell r="A56" t="str">
            <v>PY1162-EPM 792 14 OBRA SANEAMTO PORCE III Z A</v>
          </cell>
          <cell r="B56" t="str">
            <v>Ejecución</v>
          </cell>
          <cell r="C56" t="str">
            <v>23</v>
          </cell>
          <cell r="D56" t="str">
            <v>I. Municipal</v>
          </cell>
          <cell r="E56" t="str">
            <v xml:space="preserve">LGOMEZ    </v>
          </cell>
          <cell r="F56">
            <v>1821311.2109999999</v>
          </cell>
          <cell r="G56">
            <v>1514388.97</v>
          </cell>
          <cell r="I56">
            <v>1514388.97</v>
          </cell>
          <cell r="J56">
            <v>66312.965502000006</v>
          </cell>
          <cell r="K56">
            <v>1964</v>
          </cell>
          <cell r="L56">
            <v>11955.95721</v>
          </cell>
          <cell r="M56">
            <v>1594621.8927119998</v>
          </cell>
          <cell r="N56">
            <v>1514388.97</v>
          </cell>
          <cell r="O56">
            <v>-80232.922711999854</v>
          </cell>
          <cell r="P56">
            <v>1528308.9272099999</v>
          </cell>
          <cell r="Q56">
            <v>13919.957209999906</v>
          </cell>
          <cell r="R56">
            <v>306922.24099999992</v>
          </cell>
          <cell r="S56">
            <v>306922.24099999992</v>
          </cell>
          <cell r="T56">
            <v>1426957.2739200001</v>
          </cell>
          <cell r="U56">
            <v>87431.696079999994</v>
          </cell>
          <cell r="V56">
            <v>91649.781279999996</v>
          </cell>
          <cell r="W56" t="str">
            <v>Ejecutado Acumulado Abr-16 es $ 1.434.156.047
Ejecución normal del proyecto, WIP corriente se factura en jun-16..</v>
          </cell>
        </row>
        <row r="57">
          <cell r="A57" t="str">
            <v>PY1165-AQUASEO Q 012 13-I REDES TUMACO(7156)</v>
          </cell>
          <cell r="B57" t="str">
            <v>Ejecución</v>
          </cell>
          <cell r="C57" t="str">
            <v>24</v>
          </cell>
          <cell r="D57" t="str">
            <v>I. Municipal</v>
          </cell>
          <cell r="E57" t="str">
            <v>JNAVARRETE</v>
          </cell>
          <cell r="F57">
            <v>697186.93799999997</v>
          </cell>
          <cell r="G57">
            <v>646196.94860999996</v>
          </cell>
          <cell r="I57">
            <v>646196.94860999996</v>
          </cell>
          <cell r="J57">
            <v>0</v>
          </cell>
          <cell r="K57">
            <v>0</v>
          </cell>
          <cell r="L57">
            <v>0</v>
          </cell>
          <cell r="M57">
            <v>646196.94860999996</v>
          </cell>
          <cell r="N57">
            <v>646196.94860999996</v>
          </cell>
          <cell r="O57">
            <v>0</v>
          </cell>
          <cell r="P57">
            <v>646196.94860999996</v>
          </cell>
          <cell r="Q57">
            <v>0</v>
          </cell>
          <cell r="R57">
            <v>50989.989390000002</v>
          </cell>
          <cell r="S57">
            <v>5000</v>
          </cell>
          <cell r="T57">
            <v>553186.93700000003</v>
          </cell>
          <cell r="U57">
            <v>109999.99990000001</v>
          </cell>
          <cell r="V57">
            <v>118044.893</v>
          </cell>
          <cell r="W57" t="str">
            <v>Ejecutado Acumulado may-16 $ 671.986.631
Se factura Junio/16 110 MCOP</v>
          </cell>
        </row>
        <row r="58">
          <cell r="A58" t="str">
            <v>PY1170-TECNOAMBIENTAL</v>
          </cell>
          <cell r="B58" t="str">
            <v>Ejecución</v>
          </cell>
          <cell r="C58" t="str">
            <v>25</v>
          </cell>
          <cell r="D58" t="str">
            <v>M. Ambiente</v>
          </cell>
          <cell r="E58" t="str">
            <v xml:space="preserve">NCASTAÑO  </v>
          </cell>
          <cell r="F58">
            <v>0</v>
          </cell>
          <cell r="G58">
            <v>2564458.4571199999</v>
          </cell>
          <cell r="I58">
            <v>2564458.4571199999</v>
          </cell>
          <cell r="J58">
            <v>36898.931401000002</v>
          </cell>
          <cell r="K58">
            <v>0</v>
          </cell>
          <cell r="L58">
            <v>0</v>
          </cell>
          <cell r="M58">
            <v>2601357.3885209998</v>
          </cell>
          <cell r="N58">
            <v>2575748.4571199999</v>
          </cell>
          <cell r="O58">
            <v>-25608.931400999893</v>
          </cell>
          <cell r="P58">
            <v>2575748.4571199999</v>
          </cell>
          <cell r="Q58">
            <v>0</v>
          </cell>
          <cell r="R58">
            <v>-2575748.4571199999</v>
          </cell>
          <cell r="T58">
            <v>2399897.7623699997</v>
          </cell>
          <cell r="U58">
            <v>0</v>
          </cell>
          <cell r="V58">
            <v>300331.22388999996</v>
          </cell>
          <cell r="W58" t="str">
            <v>No información.</v>
          </cell>
        </row>
        <row r="59">
          <cell r="A59" t="str">
            <v>PY1176-CONSORCIO VIAL DEL SUR CONVENIO 407-35</v>
          </cell>
          <cell r="B59" t="str">
            <v>Ejecución</v>
          </cell>
          <cell r="C59" t="str">
            <v>21</v>
          </cell>
          <cell r="D59" t="str">
            <v>Transporte</v>
          </cell>
          <cell r="E59" t="str">
            <v xml:space="preserve">MPEREZ    </v>
          </cell>
          <cell r="F59">
            <v>537162.75</v>
          </cell>
          <cell r="G59">
            <v>314586.03700000001</v>
          </cell>
          <cell r="I59">
            <v>314586.03700000001</v>
          </cell>
          <cell r="J59">
            <v>0</v>
          </cell>
          <cell r="K59">
            <v>133461.99869099999</v>
          </cell>
          <cell r="L59">
            <v>0</v>
          </cell>
          <cell r="M59">
            <v>448048.035691</v>
          </cell>
          <cell r="N59">
            <v>314586.03700000001</v>
          </cell>
          <cell r="O59">
            <v>-133461.99869099999</v>
          </cell>
          <cell r="P59">
            <v>448048.035691</v>
          </cell>
          <cell r="Q59">
            <v>133461.99869099999</v>
          </cell>
          <cell r="R59">
            <v>222576.71299999999</v>
          </cell>
          <cell r="T59">
            <v>0</v>
          </cell>
          <cell r="U59">
            <v>314586.03700000001</v>
          </cell>
          <cell r="V59">
            <v>0</v>
          </cell>
          <cell r="W59" t="str">
            <v>Se espera aprobación interventoría de trabajos ejecutados para cobrar en junio 2016.</v>
          </cell>
        </row>
        <row r="60">
          <cell r="A60" t="str">
            <v>PY1178-DISEÑO VUAD CONSTRUSAR-USTA</v>
          </cell>
          <cell r="B60" t="str">
            <v>Ejecución</v>
          </cell>
          <cell r="C60" t="str">
            <v>21</v>
          </cell>
          <cell r="D60" t="str">
            <v>Edificaciones</v>
          </cell>
          <cell r="E60" t="str">
            <v xml:space="preserve">DGOMEZ    </v>
          </cell>
          <cell r="F60">
            <v>253260</v>
          </cell>
          <cell r="G60">
            <v>123594.99099999999</v>
          </cell>
          <cell r="I60">
            <v>123594.99099999999</v>
          </cell>
          <cell r="J60">
            <v>5900.6909649999998</v>
          </cell>
          <cell r="K60">
            <v>0</v>
          </cell>
          <cell r="L60">
            <v>176</v>
          </cell>
          <cell r="M60">
            <v>129671.681965</v>
          </cell>
          <cell r="N60">
            <v>123594.99099999999</v>
          </cell>
          <cell r="O60">
            <v>-6076.6909650000016</v>
          </cell>
          <cell r="P60">
            <v>123770.99099999999</v>
          </cell>
          <cell r="Q60">
            <v>176</v>
          </cell>
          <cell r="R60">
            <v>129665.00900000001</v>
          </cell>
          <cell r="T60">
            <v>0</v>
          </cell>
          <cell r="U60">
            <v>123594.99099999999</v>
          </cell>
          <cell r="V60">
            <v>0</v>
          </cell>
          <cell r="W60" t="str">
            <v>USTA: Demora en entrega de información por parte del cliente, generó retrasos en inicio del proyecto el cual se programó para el mes de mayo, se estima facturar en agosto de 2016.</v>
          </cell>
        </row>
        <row r="61">
          <cell r="A61" t="str">
            <v>PY1182-CENS 234 CONVENCIÓN-TIBU-D-REPOTENC LÍNEA CONEXIÓN</v>
          </cell>
          <cell r="B61" t="str">
            <v>Ejecución</v>
          </cell>
          <cell r="C61" t="str">
            <v>22</v>
          </cell>
          <cell r="D61" t="str">
            <v>Energía</v>
          </cell>
          <cell r="E61" t="str">
            <v xml:space="preserve">JARCOS    </v>
          </cell>
          <cell r="F61">
            <v>2006358.825</v>
          </cell>
          <cell r="G61">
            <v>1412481.821</v>
          </cell>
          <cell r="I61">
            <v>1412481.821</v>
          </cell>
          <cell r="J61">
            <v>13360.079652499999</v>
          </cell>
          <cell r="K61">
            <v>-15433.333000000001</v>
          </cell>
          <cell r="L61">
            <v>3940.3069999999998</v>
          </cell>
          <cell r="M61">
            <v>1414348.8746525</v>
          </cell>
          <cell r="N61">
            <v>1412481.821</v>
          </cell>
          <cell r="O61">
            <v>-1867.0536525000352</v>
          </cell>
          <cell r="P61">
            <v>1400988.7949999999</v>
          </cell>
          <cell r="Q61">
            <v>-11493.026000000071</v>
          </cell>
          <cell r="R61">
            <v>593877.00399999996</v>
          </cell>
          <cell r="S61">
            <v>70214</v>
          </cell>
          <cell r="T61">
            <v>1280358.8259999999</v>
          </cell>
          <cell r="U61">
            <v>108232.11599999999</v>
          </cell>
          <cell r="V61">
            <v>0</v>
          </cell>
          <cell r="W61" t="str">
            <v>El WIP se facturará en julio. En reclamación 139,4 MCOP (Medio Ambiente 35 MCOP y Diseño 104,4) - poco factible el reconocimiento de lo reclamado por Medio Ambiente</v>
          </cell>
        </row>
        <row r="62">
          <cell r="A62" t="str">
            <v>PY1183-CENS 235-14 DISEÑO DEL PROYECTO TIBU PLANTA ZULIA</v>
          </cell>
          <cell r="B62" t="str">
            <v>Ejecución</v>
          </cell>
          <cell r="C62" t="str">
            <v>22</v>
          </cell>
          <cell r="D62" t="str">
            <v>Energía</v>
          </cell>
          <cell r="E62" t="str">
            <v xml:space="preserve">JARCOS    </v>
          </cell>
          <cell r="F62">
            <v>1999195.2</v>
          </cell>
          <cell r="G62">
            <v>1984852.2790000001</v>
          </cell>
          <cell r="I62">
            <v>1984852.2790000001</v>
          </cell>
          <cell r="J62">
            <v>40972.128017499999</v>
          </cell>
          <cell r="K62">
            <v>-7033.3329999999996</v>
          </cell>
          <cell r="L62">
            <v>12669.108</v>
          </cell>
          <cell r="M62">
            <v>2031460.1820175</v>
          </cell>
          <cell r="N62">
            <v>1984852.2790000001</v>
          </cell>
          <cell r="O62">
            <v>-46607.90301749995</v>
          </cell>
          <cell r="P62">
            <v>1990488.054</v>
          </cell>
          <cell r="Q62">
            <v>5635.7749999999069</v>
          </cell>
          <cell r="R62">
            <v>14342.920999999857</v>
          </cell>
          <cell r="S62">
            <v>81904</v>
          </cell>
          <cell r="T62">
            <v>1349595.2</v>
          </cell>
          <cell r="U62">
            <v>635257.07900000003</v>
          </cell>
          <cell r="V62">
            <v>0</v>
          </cell>
          <cell r="W62" t="str">
            <v>En julio se facturará el valor amparado por contrato. el WIP de 82,2 MMCOP se facturarán en agosto.  Hay en reclamación hay 132 MCOP - 52MCOP M. Ambiente y 82MCOP por Diseño</v>
          </cell>
        </row>
        <row r="63">
          <cell r="A63" t="str">
            <v>PY1202-CENS 282-14-C-D-E-TECNICOS DEL PROYECTO 1, LT</v>
          </cell>
          <cell r="B63" t="str">
            <v>Ejecución</v>
          </cell>
          <cell r="C63" t="str">
            <v>22</v>
          </cell>
          <cell r="D63" t="str">
            <v>Energía</v>
          </cell>
          <cell r="E63" t="str">
            <v xml:space="preserve">JARCOS    </v>
          </cell>
          <cell r="F63">
            <v>1291913.125</v>
          </cell>
          <cell r="G63">
            <v>1419599.07287</v>
          </cell>
          <cell r="I63">
            <v>1419599.07287</v>
          </cell>
          <cell r="J63">
            <v>34222.352967500003</v>
          </cell>
          <cell r="K63">
            <v>-36640</v>
          </cell>
          <cell r="L63">
            <v>6441.0559999999996</v>
          </cell>
          <cell r="M63">
            <v>1423622.4818375001</v>
          </cell>
          <cell r="N63">
            <v>1419599.07287</v>
          </cell>
          <cell r="O63">
            <v>-4023.4089675000869</v>
          </cell>
          <cell r="P63">
            <v>1389400.1288700001</v>
          </cell>
          <cell r="Q63">
            <v>-30198.943999999901</v>
          </cell>
          <cell r="R63">
            <v>-127685.94787000003</v>
          </cell>
          <cell r="S63">
            <v>70097</v>
          </cell>
          <cell r="T63">
            <v>1071416.375</v>
          </cell>
          <cell r="U63">
            <v>348182.69786999997</v>
          </cell>
          <cell r="V63">
            <v>0</v>
          </cell>
          <cell r="W63" t="str">
            <v>De la sobre ejecución hay 116 MCOP en reclamación por actividades de Medio Ambiente y 11 por actividades de Diseño. Lo predial está en desarrollo.</v>
          </cell>
        </row>
        <row r="64">
          <cell r="A64" t="str">
            <v>PY1203-CENS 285 BELEN-INSULA OCAÑA-C-D-E-TEC-PROYECT 2-LT</v>
          </cell>
          <cell r="B64" t="str">
            <v>Ejecución</v>
          </cell>
          <cell r="C64" t="str">
            <v>22</v>
          </cell>
          <cell r="D64" t="str">
            <v>Energía</v>
          </cell>
          <cell r="E64" t="str">
            <v xml:space="preserve">JARCOS    </v>
          </cell>
          <cell r="F64">
            <v>1299603</v>
          </cell>
          <cell r="G64">
            <v>1549620.4</v>
          </cell>
          <cell r="I64">
            <v>1549620.4</v>
          </cell>
          <cell r="J64">
            <v>68921.876637499998</v>
          </cell>
          <cell r="K64">
            <v>-50295.199999999997</v>
          </cell>
          <cell r="L64">
            <v>12552.397000000001</v>
          </cell>
          <cell r="M64">
            <v>1580799.4736375001</v>
          </cell>
          <cell r="N64">
            <v>1549620.4</v>
          </cell>
          <cell r="O64">
            <v>-31179.073637500172</v>
          </cell>
          <cell r="P64">
            <v>1511877.5969999998</v>
          </cell>
          <cell r="Q64">
            <v>-37742.803000000073</v>
          </cell>
          <cell r="R64">
            <v>-250017.39999999991</v>
          </cell>
          <cell r="S64">
            <v>110.5</v>
          </cell>
          <cell r="T64">
            <v>1272569</v>
          </cell>
          <cell r="U64">
            <v>277051.40000000002</v>
          </cell>
          <cell r="V64">
            <v>0</v>
          </cell>
          <cell r="W64" t="str">
            <v>Hay 49 MCOP en proceso de reclamación por actividades del componente predial.</v>
          </cell>
        </row>
        <row r="65">
          <cell r="A65" t="str">
            <v>PY1217-ALC.POPAYAN-S-DOBLE CALZADA</v>
          </cell>
          <cell r="B65" t="str">
            <v>Ejecución</v>
          </cell>
          <cell r="C65" t="str">
            <v>24</v>
          </cell>
          <cell r="D65" t="str">
            <v>Transporte</v>
          </cell>
          <cell r="E65" t="str">
            <v xml:space="preserve">CZAPATA   </v>
          </cell>
          <cell r="F65">
            <v>271215.15600000002</v>
          </cell>
          <cell r="G65">
            <v>243477.76300000001</v>
          </cell>
          <cell r="I65">
            <v>243477.76300000001</v>
          </cell>
          <cell r="J65">
            <v>22103.963347500001</v>
          </cell>
          <cell r="K65">
            <v>2410</v>
          </cell>
          <cell r="L65">
            <v>2852.5509999999999</v>
          </cell>
          <cell r="M65">
            <v>270844.27734749997</v>
          </cell>
          <cell r="N65">
            <v>243477.76300000001</v>
          </cell>
          <cell r="O65">
            <v>-27366.514347499964</v>
          </cell>
          <cell r="P65">
            <v>248740.31399999998</v>
          </cell>
          <cell r="Q65">
            <v>5262.5509999999776</v>
          </cell>
          <cell r="R65">
            <v>27737.393000000011</v>
          </cell>
          <cell r="T65">
            <v>248122.351</v>
          </cell>
          <cell r="U65">
            <v>-4644.5879999999997</v>
          </cell>
          <cell r="V65">
            <v>52961.392</v>
          </cell>
          <cell r="W65" t="str">
            <v>No información.</v>
          </cell>
        </row>
        <row r="66">
          <cell r="A66" t="str">
            <v>PY1218-OAP 01 2015 CARAC. AMBIENTAL B/VENTURA</v>
          </cell>
          <cell r="B66" t="str">
            <v>Ejecución</v>
          </cell>
          <cell r="C66" t="str">
            <v>21</v>
          </cell>
          <cell r="D66" t="str">
            <v>M. Ambiente</v>
          </cell>
          <cell r="E66" t="str">
            <v xml:space="preserve">SMARTINEZ </v>
          </cell>
          <cell r="F66">
            <v>929707.78300000005</v>
          </cell>
          <cell r="G66">
            <v>1038534.9442499999</v>
          </cell>
          <cell r="I66">
            <v>1038534.9442499999</v>
          </cell>
          <cell r="J66">
            <v>40267.195375499999</v>
          </cell>
          <cell r="K66">
            <v>0</v>
          </cell>
          <cell r="L66">
            <v>18709.436000000002</v>
          </cell>
          <cell r="M66">
            <v>1097511.5756254999</v>
          </cell>
          <cell r="N66">
            <v>1038534.9442499999</v>
          </cell>
          <cell r="O66">
            <v>-58976.631375500001</v>
          </cell>
          <cell r="P66">
            <v>1057244.3802499999</v>
          </cell>
          <cell r="Q66">
            <v>18709.435999999987</v>
          </cell>
          <cell r="R66">
            <v>-108827.16124999989</v>
          </cell>
          <cell r="T66">
            <v>801700.41899999999</v>
          </cell>
          <cell r="U66">
            <v>128337.66125</v>
          </cell>
          <cell r="V66">
            <v>0</v>
          </cell>
          <cell r="W66" t="str">
            <v>No información.</v>
          </cell>
        </row>
        <row r="67">
          <cell r="A67" t="str">
            <v>PY1224-MINTIC INTERVENTORIA HOGARES DIGITALES</v>
          </cell>
          <cell r="B67" t="str">
            <v>Ejecución</v>
          </cell>
          <cell r="C67" t="str">
            <v>21</v>
          </cell>
          <cell r="D67" t="str">
            <v>Telecom</v>
          </cell>
          <cell r="E67" t="str">
            <v xml:space="preserve">JCELIS    </v>
          </cell>
          <cell r="F67">
            <v>1856964.4410000001</v>
          </cell>
          <cell r="G67">
            <v>1458507.60035</v>
          </cell>
          <cell r="I67">
            <v>1458507.60035</v>
          </cell>
          <cell r="J67">
            <v>36991.067954000006</v>
          </cell>
          <cell r="K67">
            <v>18400</v>
          </cell>
          <cell r="L67">
            <v>1871.463</v>
          </cell>
          <cell r="M67">
            <v>1515770.131304</v>
          </cell>
          <cell r="N67">
            <v>1458507.60035</v>
          </cell>
          <cell r="O67">
            <v>-57262.530954000074</v>
          </cell>
          <cell r="P67">
            <v>1478779.06335</v>
          </cell>
          <cell r="Q67">
            <v>20271.462999999989</v>
          </cell>
          <cell r="R67">
            <v>398456.84065000014</v>
          </cell>
          <cell r="T67">
            <v>1377195.9080000001</v>
          </cell>
          <cell r="U67">
            <v>-99847.26026000001</v>
          </cell>
          <cell r="V67">
            <v>325954.74</v>
          </cell>
          <cell r="W67" t="str">
            <v>No información.</v>
          </cell>
        </row>
        <row r="68">
          <cell r="A68" t="str">
            <v>PY1240-GOB CAUCA-032-2014-E-D-PUENTE RIO MICAY</v>
          </cell>
          <cell r="B68" t="str">
            <v>Ejecución</v>
          </cell>
          <cell r="C68" t="str">
            <v>24</v>
          </cell>
          <cell r="D68" t="str">
            <v>Transporte</v>
          </cell>
          <cell r="E68" t="str">
            <v xml:space="preserve">CZAPATA   </v>
          </cell>
          <cell r="F68">
            <v>341342.8</v>
          </cell>
          <cell r="G68">
            <v>390921.68400000001</v>
          </cell>
          <cell r="I68">
            <v>390921.68400000001</v>
          </cell>
          <cell r="J68">
            <v>179.53684176000002</v>
          </cell>
          <cell r="K68">
            <v>0</v>
          </cell>
          <cell r="L68">
            <v>0</v>
          </cell>
          <cell r="M68">
            <v>391101.22084175999</v>
          </cell>
          <cell r="N68">
            <v>390921.68400000001</v>
          </cell>
          <cell r="O68">
            <v>-179.53684175998205</v>
          </cell>
          <cell r="P68">
            <v>390921.68400000001</v>
          </cell>
          <cell r="Q68">
            <v>0</v>
          </cell>
          <cell r="R68">
            <v>-49578.88400000002</v>
          </cell>
          <cell r="T68">
            <v>119469.728</v>
          </cell>
          <cell r="U68">
            <v>221873.07199999999</v>
          </cell>
          <cell r="V68">
            <v>0</v>
          </cell>
          <cell r="W68" t="str">
            <v>Puente Rio Micay en mayo se facturó el 90% y 10% restante en junio</v>
          </cell>
        </row>
        <row r="69">
          <cell r="A69" t="str">
            <v>PY1247-FINDETER-18-S-MEGACOLEGIO MONTERIA</v>
          </cell>
          <cell r="B69" t="str">
            <v>Ejecución</v>
          </cell>
          <cell r="C69" t="str">
            <v>22</v>
          </cell>
          <cell r="D69" t="str">
            <v>Edificaciones</v>
          </cell>
          <cell r="E69" t="str">
            <v xml:space="preserve">NDECASTRO </v>
          </cell>
          <cell r="F69">
            <v>428363.01799999998</v>
          </cell>
          <cell r="G69">
            <v>332133.26207999996</v>
          </cell>
          <cell r="I69">
            <v>332133.26207999996</v>
          </cell>
          <cell r="J69">
            <v>24486.5011619</v>
          </cell>
          <cell r="K69">
            <v>0</v>
          </cell>
          <cell r="L69">
            <v>1406.8320000000001</v>
          </cell>
          <cell r="M69">
            <v>358026.59524189995</v>
          </cell>
          <cell r="N69">
            <v>332133.26207999996</v>
          </cell>
          <cell r="O69">
            <v>-25893.333161899995</v>
          </cell>
          <cell r="P69">
            <v>333540.09407999995</v>
          </cell>
          <cell r="Q69">
            <v>1406.8319999999949</v>
          </cell>
          <cell r="R69">
            <v>96229.755920000025</v>
          </cell>
          <cell r="T69">
            <v>238631.04227999999</v>
          </cell>
          <cell r="U69">
            <v>93502.219800000006</v>
          </cell>
          <cell r="V69">
            <v>37481.764179999998</v>
          </cell>
          <cell r="W69" t="str">
            <v>Se facturara la primera semana de junio.</v>
          </cell>
        </row>
        <row r="70">
          <cell r="A70" t="str">
            <v>PY1262-JV-FINDETER-025-S-COLECTORES / MADRID CUNDINAMARCA</v>
          </cell>
          <cell r="B70" t="str">
            <v>Ejecución</v>
          </cell>
          <cell r="C70" t="str">
            <v>21</v>
          </cell>
          <cell r="D70" t="str">
            <v>I. Municipal</v>
          </cell>
          <cell r="E70" t="str">
            <v xml:space="preserve">JOJEDA    </v>
          </cell>
          <cell r="F70">
            <v>8041.2169999999996</v>
          </cell>
          <cell r="G70">
            <v>12062.824000000001</v>
          </cell>
          <cell r="I70">
            <v>12062.824000000001</v>
          </cell>
          <cell r="J70">
            <v>0</v>
          </cell>
          <cell r="K70">
            <v>0</v>
          </cell>
          <cell r="L70">
            <v>29.135999999999999</v>
          </cell>
          <cell r="M70">
            <v>12091.960000000001</v>
          </cell>
          <cell r="N70">
            <v>12062.824000000001</v>
          </cell>
          <cell r="O70">
            <v>-29.136000000000422</v>
          </cell>
          <cell r="P70">
            <v>12091.960000000001</v>
          </cell>
          <cell r="Q70">
            <v>29.136000000000422</v>
          </cell>
          <cell r="R70">
            <v>-4021.6070000000009</v>
          </cell>
          <cell r="S70">
            <v>31000</v>
          </cell>
          <cell r="T70">
            <v>12061.824500000001</v>
          </cell>
          <cell r="U70">
            <v>0.99950000000000006</v>
          </cell>
          <cell r="V70">
            <v>3756.0524999999998</v>
          </cell>
          <cell r="W70" t="str">
            <v>Adm: WSP
OK, Reversion de WIP.Fase I $ 8 MCOP Cerrada, Fase II 31 MCOP inicia 27 de Junio de 2016.</v>
          </cell>
        </row>
        <row r="71">
          <cell r="A71" t="str">
            <v>PY1327-GOB.NARIÑO-020-C-OPTIM ACUED CANDELILLAS-TUMACO</v>
          </cell>
          <cell r="B71" t="str">
            <v>Ejecución</v>
          </cell>
          <cell r="C71" t="str">
            <v>24</v>
          </cell>
          <cell r="D71" t="str">
            <v>I. Municipal</v>
          </cell>
          <cell r="E71" t="str">
            <v>JNAVARRETE</v>
          </cell>
          <cell r="F71">
            <v>127660.875</v>
          </cell>
          <cell r="G71">
            <v>114251.52806999999</v>
          </cell>
          <cell r="I71">
            <v>114251.52806999999</v>
          </cell>
          <cell r="J71">
            <v>875.78947400000004</v>
          </cell>
          <cell r="K71">
            <v>0</v>
          </cell>
          <cell r="L71">
            <v>781.07500000000005</v>
          </cell>
          <cell r="M71">
            <v>115908.39254399999</v>
          </cell>
          <cell r="N71">
            <v>114251.52806999999</v>
          </cell>
          <cell r="O71">
            <v>-1656.8644740000018</v>
          </cell>
          <cell r="P71">
            <v>115032.60306999998</v>
          </cell>
          <cell r="Q71">
            <v>781.07499999999709</v>
          </cell>
          <cell r="R71">
            <v>13409.346930000014</v>
          </cell>
          <cell r="S71">
            <v>34641</v>
          </cell>
          <cell r="T71">
            <v>51064.350340000005</v>
          </cell>
          <cell r="U71">
            <v>41955.134659999996</v>
          </cell>
          <cell r="V71">
            <v>0</v>
          </cell>
          <cell r="W71" t="str">
            <v>Ejecutado Acumulado may-16 $ 93.019.485
Se Factura 64MCOP en Ago/16 y 13MCOP en oct/16</v>
          </cell>
        </row>
        <row r="72">
          <cell r="A72" t="str">
            <v>PY1334-ESSA-CT-2015-000058-S- PROYECTOS DEL STR</v>
          </cell>
          <cell r="B72" t="str">
            <v>Ejecución</v>
          </cell>
          <cell r="C72" t="str">
            <v>21</v>
          </cell>
          <cell r="D72" t="str">
            <v>Energía</v>
          </cell>
          <cell r="E72" t="str">
            <v>CVELASQUEZ</v>
          </cell>
          <cell r="F72">
            <v>612800</v>
          </cell>
          <cell r="G72">
            <v>122738.1675</v>
          </cell>
          <cell r="I72">
            <v>122738.1675</v>
          </cell>
          <cell r="J72">
            <v>2290.8686849999999</v>
          </cell>
          <cell r="K72">
            <v>0</v>
          </cell>
          <cell r="L72">
            <v>0</v>
          </cell>
          <cell r="M72">
            <v>125029.03618499999</v>
          </cell>
          <cell r="N72">
            <v>122738.1675</v>
          </cell>
          <cell r="O72">
            <v>-2290.868684999994</v>
          </cell>
          <cell r="P72">
            <v>122738.1675</v>
          </cell>
          <cell r="Q72">
            <v>0</v>
          </cell>
          <cell r="R72">
            <v>490061.83250000002</v>
          </cell>
          <cell r="T72">
            <v>191500</v>
          </cell>
          <cell r="U72">
            <v>-68761.832500000004</v>
          </cell>
          <cell r="V72">
            <v>20107.5</v>
          </cell>
          <cell r="W72" t="str">
            <v xml:space="preserve">Proyecto en ejecución OK. Cartera corriente se debe revisar valor reportado </v>
          </cell>
        </row>
        <row r="73">
          <cell r="A73" t="str">
            <v>PY1354-EPM-847-S-PCBs</v>
          </cell>
          <cell r="B73" t="str">
            <v>Ejecución</v>
          </cell>
          <cell r="C73" t="str">
            <v>23</v>
          </cell>
          <cell r="D73" t="str">
            <v>Energía</v>
          </cell>
          <cell r="E73" t="str">
            <v xml:space="preserve">GOROZCO   </v>
          </cell>
          <cell r="F73">
            <v>1173817.55</v>
          </cell>
          <cell r="G73">
            <v>928951.95900000003</v>
          </cell>
          <cell r="I73">
            <v>928951.95900000003</v>
          </cell>
          <cell r="J73">
            <v>86519.322601799999</v>
          </cell>
          <cell r="K73">
            <v>0</v>
          </cell>
          <cell r="L73">
            <v>16838.32316</v>
          </cell>
          <cell r="M73">
            <v>1032309.6047618</v>
          </cell>
          <cell r="N73">
            <v>928951.95900000003</v>
          </cell>
          <cell r="O73">
            <v>-103357.6457618</v>
          </cell>
          <cell r="P73">
            <v>945790.28215999994</v>
          </cell>
          <cell r="Q73">
            <v>16838.323159999913</v>
          </cell>
          <cell r="R73">
            <v>244865.59100000001</v>
          </cell>
          <cell r="S73">
            <v>244866</v>
          </cell>
          <cell r="T73">
            <v>938761.59390999994</v>
          </cell>
          <cell r="U73">
            <v>-9809.6349100000007</v>
          </cell>
          <cell r="V73">
            <v>115393.78111</v>
          </cell>
          <cell r="W73" t="str">
            <v>El proyecto ejecutrará el 100% del valor contratado. El WIP negativo tiene por objeto cubrir costos de cierre y liquidación. Se espera ampliación en valor por 587MCOP</v>
          </cell>
        </row>
        <row r="74">
          <cell r="A74" t="str">
            <v>PY1385-VIRGILIO-04-S-I-D-CONSTRUCCIÓN ETCAN-CENTRO</v>
          </cell>
          <cell r="B74" t="str">
            <v>Ejecución</v>
          </cell>
          <cell r="C74" t="str">
            <v>21</v>
          </cell>
          <cell r="D74" t="str">
            <v>Edificaciones</v>
          </cell>
          <cell r="E74" t="str">
            <v xml:space="preserve">DGOMEZ    </v>
          </cell>
          <cell r="F74">
            <v>581982.18700000003</v>
          </cell>
          <cell r="G74">
            <v>437138.88299999997</v>
          </cell>
          <cell r="I74">
            <v>437138.88299999997</v>
          </cell>
          <cell r="J74">
            <v>4799.5880125000003</v>
          </cell>
          <cell r="K74">
            <v>0</v>
          </cell>
          <cell r="L74">
            <v>133.29470000000001</v>
          </cell>
          <cell r="M74">
            <v>442071.76571250003</v>
          </cell>
          <cell r="N74">
            <v>437138.88299999997</v>
          </cell>
          <cell r="O74">
            <v>-4932.8827125000535</v>
          </cell>
          <cell r="P74">
            <v>437272.1777</v>
          </cell>
          <cell r="Q74">
            <v>133.29470000002766</v>
          </cell>
          <cell r="R74">
            <v>144843.30400000006</v>
          </cell>
          <cell r="T74">
            <v>232792.875</v>
          </cell>
          <cell r="U74">
            <v>204346.008</v>
          </cell>
          <cell r="V74">
            <v>0</v>
          </cell>
          <cell r="W74" t="str">
            <v>ET CAN: Se facturara en julio $116COP, se estima un adicional para el mes de septiembre</v>
          </cell>
        </row>
        <row r="75">
          <cell r="A75" t="str">
            <v>PY1390-CODENSA-02-S-OPERACIONES COMERCIALES-CENTRO</v>
          </cell>
          <cell r="B75" t="str">
            <v>Ejecución</v>
          </cell>
          <cell r="C75" t="str">
            <v>21</v>
          </cell>
          <cell r="D75" t="str">
            <v>Energía</v>
          </cell>
          <cell r="E75" t="str">
            <v xml:space="preserve">LREY      </v>
          </cell>
          <cell r="F75">
            <v>358043.95500000002</v>
          </cell>
          <cell r="G75">
            <v>212473.10899000001</v>
          </cell>
          <cell r="I75">
            <v>212473.10899000001</v>
          </cell>
          <cell r="J75">
            <v>8948.645426000001</v>
          </cell>
          <cell r="K75">
            <v>0</v>
          </cell>
          <cell r="L75">
            <v>364.94600000000003</v>
          </cell>
          <cell r="M75">
            <v>221786.70041600001</v>
          </cell>
          <cell r="N75">
            <v>212473.10899000001</v>
          </cell>
          <cell r="O75">
            <v>-9313.591425999999</v>
          </cell>
          <cell r="P75">
            <v>212838.05499</v>
          </cell>
          <cell r="Q75">
            <v>364.94599999999627</v>
          </cell>
          <cell r="R75">
            <v>145570.84601000001</v>
          </cell>
          <cell r="T75">
            <v>225284.848</v>
          </cell>
          <cell r="U75">
            <v>-12811.739009999999</v>
          </cell>
          <cell r="V75">
            <v>37687.512000000002</v>
          </cell>
          <cell r="W75" t="str">
            <v xml:space="preserve">Proyecto en ejecución OK. Cartera corriente se debe revisar valor reportado </v>
          </cell>
        </row>
        <row r="76">
          <cell r="A76" t="str">
            <v>PY1397-OAP-C-COMUNIDADES ETNICAS-TOLIMA</v>
          </cell>
          <cell r="B76" t="str">
            <v>Ejecución</v>
          </cell>
          <cell r="C76" t="str">
            <v>21</v>
          </cell>
          <cell r="D76" t="str">
            <v>M. Ambiente</v>
          </cell>
          <cell r="E76" t="str">
            <v xml:space="preserve">SMARTINEZ </v>
          </cell>
          <cell r="F76">
            <v>402586.8</v>
          </cell>
          <cell r="G76">
            <v>356258.59824999998</v>
          </cell>
          <cell r="I76">
            <v>356258.59824999998</v>
          </cell>
          <cell r="J76">
            <v>0</v>
          </cell>
          <cell r="K76">
            <v>-6600</v>
          </cell>
          <cell r="L76">
            <v>35.53</v>
          </cell>
          <cell r="M76">
            <v>349694.12825000001</v>
          </cell>
          <cell r="N76">
            <v>356258.59824999998</v>
          </cell>
          <cell r="O76">
            <v>6564.4699999999721</v>
          </cell>
          <cell r="P76">
            <v>349694.12825000001</v>
          </cell>
          <cell r="Q76">
            <v>-6564.4699999999721</v>
          </cell>
          <cell r="R76">
            <v>46328.201750000007</v>
          </cell>
          <cell r="T76">
            <v>353391.6</v>
          </cell>
          <cell r="U76">
            <v>2866.9982500000001</v>
          </cell>
          <cell r="V76">
            <v>103138.245</v>
          </cell>
          <cell r="W76" t="str">
            <v>Se facturó en mayo 73MCOP. El saldo no ejecutado por modalidad de contrato (T&amp;M) se reverso para el cierre de abril.</v>
          </cell>
        </row>
        <row r="77">
          <cell r="A77" t="str">
            <v>PY1407-JV-FINDETER_063_S_PTAP VENECIA/ WSP BUENAVENTURA</v>
          </cell>
          <cell r="B77" t="str">
            <v>Ejecución</v>
          </cell>
          <cell r="C77" t="str">
            <v>24</v>
          </cell>
          <cell r="D77" t="str">
            <v>I. Municipal</v>
          </cell>
          <cell r="E77" t="str">
            <v>JNAVARRETE</v>
          </cell>
          <cell r="F77">
            <v>605453</v>
          </cell>
          <cell r="G77">
            <v>280931.26699999999</v>
          </cell>
          <cell r="I77">
            <v>280931.26699999999</v>
          </cell>
          <cell r="J77">
            <v>27215.107804380001</v>
          </cell>
          <cell r="K77">
            <v>0</v>
          </cell>
          <cell r="L77">
            <v>3386.5080000000003</v>
          </cell>
          <cell r="M77">
            <v>311532.88280437997</v>
          </cell>
          <cell r="N77">
            <v>280931.26699999999</v>
          </cell>
          <cell r="O77">
            <v>-30601.615804379981</v>
          </cell>
          <cell r="P77">
            <v>284317.77499999997</v>
          </cell>
          <cell r="Q77">
            <v>3386.5079999999725</v>
          </cell>
          <cell r="R77">
            <v>324521.73300000001</v>
          </cell>
          <cell r="S77">
            <v>324521.73300000001</v>
          </cell>
          <cell r="T77">
            <v>205223.68350000001</v>
          </cell>
          <cell r="U77">
            <v>75707.583499999993</v>
          </cell>
          <cell r="V77">
            <v>59430.974499999997</v>
          </cell>
          <cell r="W77" t="str">
            <v>Adm: WSP Ejecutado Acumulado abr-16 $ 245.931.266
Girar 100MCOP desde el consorcio.WIP correspondiente a avance de obra que se facturará en la medida que el contratista avance.</v>
          </cell>
        </row>
        <row r="78">
          <cell r="A78" t="str">
            <v>PY1417-EPSA-D-PROYECTOS STR COSTA</v>
          </cell>
          <cell r="B78" t="str">
            <v>Ejecución</v>
          </cell>
          <cell r="C78" t="str">
            <v>22</v>
          </cell>
          <cell r="D78" t="str">
            <v>Energía</v>
          </cell>
          <cell r="E78" t="str">
            <v xml:space="preserve">HTILANO   </v>
          </cell>
          <cell r="F78">
            <v>335344.82799999998</v>
          </cell>
          <cell r="G78">
            <v>285640.07500000001</v>
          </cell>
          <cell r="I78">
            <v>285640.07500000001</v>
          </cell>
          <cell r="J78">
            <v>11074.8909589</v>
          </cell>
          <cell r="K78">
            <v>0</v>
          </cell>
          <cell r="L78">
            <v>28.21279999999998</v>
          </cell>
          <cell r="M78">
            <v>296743.17875889997</v>
          </cell>
          <cell r="N78">
            <v>285640.07500000001</v>
          </cell>
          <cell r="O78">
            <v>-11103.103758899961</v>
          </cell>
          <cell r="P78">
            <v>285668.28779999999</v>
          </cell>
          <cell r="Q78">
            <v>28.212799999979325</v>
          </cell>
          <cell r="R78">
            <v>49704.752999999968</v>
          </cell>
          <cell r="S78">
            <v>48523</v>
          </cell>
          <cell r="T78">
            <v>151083.95000000001</v>
          </cell>
          <cell r="U78">
            <v>134556.125</v>
          </cell>
          <cell r="V78">
            <v>0</v>
          </cell>
          <cell r="W78" t="str">
            <v>Se espera facturar 92,13 MCOP en junio; el restante (otros 92,13 MCOP) se facturarán contra entregable en julio.</v>
          </cell>
        </row>
        <row r="79">
          <cell r="A79" t="str">
            <v>PY1447-UPME-01-2014-S-SUBESTACION LA LOMA</v>
          </cell>
          <cell r="B79" t="str">
            <v>Ejecución</v>
          </cell>
          <cell r="C79" t="str">
            <v>21</v>
          </cell>
          <cell r="D79" t="str">
            <v>Energía</v>
          </cell>
          <cell r="E79" t="str">
            <v xml:space="preserve">GREY      </v>
          </cell>
          <cell r="F79">
            <v>1255500</v>
          </cell>
          <cell r="G79">
            <v>322661.20400000003</v>
          </cell>
          <cell r="I79">
            <v>322661.20400000003</v>
          </cell>
          <cell r="J79">
            <v>21882.658565999998</v>
          </cell>
          <cell r="K79">
            <v>2000</v>
          </cell>
          <cell r="L79">
            <v>0</v>
          </cell>
          <cell r="M79">
            <v>346543.86256600003</v>
          </cell>
          <cell r="N79">
            <v>322661.20400000003</v>
          </cell>
          <cell r="O79">
            <v>-23882.658565999998</v>
          </cell>
          <cell r="P79">
            <v>324661.20400000003</v>
          </cell>
          <cell r="Q79">
            <v>2000</v>
          </cell>
          <cell r="R79">
            <v>932838.79599999997</v>
          </cell>
          <cell r="T79">
            <v>488250</v>
          </cell>
          <cell r="U79">
            <v>-165588.796</v>
          </cell>
          <cell r="V79">
            <v>73237.5</v>
          </cell>
          <cell r="W79" t="str">
            <v xml:space="preserve">Proyecto en ejecución OK. Cartera corriente se debe revisar valor reportado </v>
          </cell>
        </row>
        <row r="80">
          <cell r="A80" t="str">
            <v>PY1451-PB-S-INTERVENTORIA GRAMALOTE-CENTRO</v>
          </cell>
          <cell r="B80" t="str">
            <v>Ejecución</v>
          </cell>
          <cell r="C80" t="str">
            <v>21</v>
          </cell>
          <cell r="D80" t="str">
            <v>I. Municipal</v>
          </cell>
          <cell r="E80" t="str">
            <v xml:space="preserve">MBAYONA   </v>
          </cell>
          <cell r="F80">
            <v>724945.39099999995</v>
          </cell>
          <cell r="G80">
            <v>299308.72600000002</v>
          </cell>
          <cell r="I80">
            <v>299308.72600000002</v>
          </cell>
          <cell r="J80">
            <v>7628.2972239999999</v>
          </cell>
          <cell r="K80">
            <v>0</v>
          </cell>
          <cell r="L80">
            <v>13226.4805</v>
          </cell>
          <cell r="M80">
            <v>320163.50372400001</v>
          </cell>
          <cell r="N80">
            <v>299308.72600000002</v>
          </cell>
          <cell r="O80">
            <v>-20854.777723999985</v>
          </cell>
          <cell r="P80">
            <v>312535.20650000003</v>
          </cell>
          <cell r="Q80">
            <v>13226.480500000005</v>
          </cell>
          <cell r="R80">
            <v>425636.66499999992</v>
          </cell>
          <cell r="T80">
            <v>214828.33549999999</v>
          </cell>
          <cell r="U80">
            <v>223308.826</v>
          </cell>
          <cell r="V80">
            <v>0</v>
          </cell>
          <cell r="W80" t="str">
            <v>Ejecutado Acumulado May-16 $ 680.725.733
En proceso de legalización Otrosí para proceder a facturar y calcular costo por completar con base al valor negociado de adición.</v>
          </cell>
        </row>
        <row r="81">
          <cell r="A81" t="str">
            <v>PY1452-PB-S-INTERVENTORIA HUILA TOLIMA-CENTRO</v>
          </cell>
          <cell r="B81" t="str">
            <v>Ejecución</v>
          </cell>
          <cell r="C81" t="str">
            <v>21</v>
          </cell>
          <cell r="D81" t="str">
            <v>I. Municipal</v>
          </cell>
          <cell r="E81" t="str">
            <v xml:space="preserve">CPRADO    </v>
          </cell>
          <cell r="F81">
            <v>3152533.3760000002</v>
          </cell>
          <cell r="G81">
            <v>805704.50150000001</v>
          </cell>
          <cell r="I81">
            <v>805704.50150000001</v>
          </cell>
          <cell r="J81">
            <v>31149.085031999999</v>
          </cell>
          <cell r="K81">
            <v>3362.4</v>
          </cell>
          <cell r="L81">
            <v>18001.654500000001</v>
          </cell>
          <cell r="M81">
            <v>858217.64103199996</v>
          </cell>
          <cell r="N81">
            <v>805704.50150000001</v>
          </cell>
          <cell r="O81">
            <v>-52513.139531999943</v>
          </cell>
          <cell r="P81">
            <v>827068.55599999998</v>
          </cell>
          <cell r="Q81">
            <v>21364.054499999969</v>
          </cell>
          <cell r="R81">
            <v>2346828.8744999999</v>
          </cell>
          <cell r="S81">
            <v>2144328875</v>
          </cell>
          <cell r="T81">
            <v>194070.864</v>
          </cell>
          <cell r="U81">
            <v>764133.63800000004</v>
          </cell>
          <cell r="V81">
            <v>0</v>
          </cell>
          <cell r="W81" t="str">
            <v>Ejecutado Acumulado a May-16 $ 958.204.501
Ejecución para completar $ 2.144.328.875
Se factura tercera semana de junio/16  577 MCOP</v>
          </cell>
        </row>
        <row r="82">
          <cell r="A82" t="str">
            <v>PY1453-PB-E-ESTUDIOS Y DISEÑOS NORTE DE SANTANDER-CENTRO</v>
          </cell>
          <cell r="B82" t="str">
            <v>Ejecución</v>
          </cell>
          <cell r="C82" t="str">
            <v>21</v>
          </cell>
          <cell r="D82" t="str">
            <v>I. Municipal</v>
          </cell>
          <cell r="E82" t="str">
            <v xml:space="preserve">SBERNAL   </v>
          </cell>
          <cell r="F82">
            <v>4421324.6050000004</v>
          </cell>
          <cell r="G82">
            <v>2990824.807</v>
          </cell>
          <cell r="I82">
            <v>2990824.807</v>
          </cell>
          <cell r="J82">
            <v>135285.71053679998</v>
          </cell>
          <cell r="K82">
            <v>128643</v>
          </cell>
          <cell r="L82">
            <v>6284.1726900000003</v>
          </cell>
          <cell r="M82">
            <v>3261037.6902267998</v>
          </cell>
          <cell r="N82">
            <v>2990824.807</v>
          </cell>
          <cell r="O82">
            <v>-270212.88322679978</v>
          </cell>
          <cell r="P82">
            <v>3125751.9796899999</v>
          </cell>
          <cell r="Q82">
            <v>134927.17268999992</v>
          </cell>
          <cell r="R82">
            <v>1430499.7980000004</v>
          </cell>
          <cell r="S82">
            <v>1430499.7980000004</v>
          </cell>
          <cell r="T82">
            <v>917994.28726000001</v>
          </cell>
          <cell r="U82">
            <v>1441985.6407399999</v>
          </cell>
          <cell r="V82">
            <v>741170.62626000005</v>
          </cell>
          <cell r="W82" t="str">
            <v>Ejecutado Acumulado Abr-16 $ 2.813.466.361
Se provisiona WIP del contrato base por $630 MCOP dividido en 7 meses iniciando May-16 con $90 MCOP.
WIP 2070 MCOP</v>
          </cell>
        </row>
        <row r="83">
          <cell r="A83" t="str">
            <v>PY1467-CEPSA-COMPRAS-ADMINISTRACIÓN CONTRATOS-128.03</v>
          </cell>
          <cell r="B83" t="str">
            <v>Ejecución</v>
          </cell>
          <cell r="C83" t="str">
            <v>21</v>
          </cell>
          <cell r="D83" t="str">
            <v>Oil &amp; Gas</v>
          </cell>
          <cell r="E83" t="str">
            <v xml:space="preserve">SMARTINEZ </v>
          </cell>
          <cell r="F83">
            <v>1426951.8840000001</v>
          </cell>
          <cell r="G83">
            <v>1385365.38919</v>
          </cell>
          <cell r="I83">
            <v>1385365.38919</v>
          </cell>
          <cell r="J83">
            <v>34853.60573861</v>
          </cell>
          <cell r="K83">
            <v>0</v>
          </cell>
          <cell r="L83">
            <v>0</v>
          </cell>
          <cell r="M83">
            <v>1420218.99492861</v>
          </cell>
          <cell r="N83">
            <v>1352254.4621900001</v>
          </cell>
          <cell r="O83">
            <v>-67964.532738609938</v>
          </cell>
          <cell r="P83">
            <v>1352254.4621900001</v>
          </cell>
          <cell r="Q83">
            <v>0</v>
          </cell>
          <cell r="R83">
            <v>74697.421809999971</v>
          </cell>
          <cell r="T83">
            <v>1352267.2723699999</v>
          </cell>
          <cell r="U83">
            <v>33098.116820000003</v>
          </cell>
          <cell r="V83">
            <v>69532.945999999996</v>
          </cell>
          <cell r="W83" t="str">
            <v>No información.</v>
          </cell>
        </row>
        <row r="84">
          <cell r="A84" t="str">
            <v>PY1470-JV-ECOPETROL-GESTIÓN HSE - 64.25</v>
          </cell>
          <cell r="B84" t="str">
            <v>Ejecución</v>
          </cell>
          <cell r="C84" t="str">
            <v>21</v>
          </cell>
          <cell r="D84" t="str">
            <v>Oil &amp; Gas</v>
          </cell>
          <cell r="E84" t="str">
            <v xml:space="preserve">CBUITRAGO </v>
          </cell>
          <cell r="F84">
            <v>19564046.710000001</v>
          </cell>
          <cell r="G84">
            <v>5058779.0219999999</v>
          </cell>
          <cell r="I84">
            <v>5058779.0219999999</v>
          </cell>
          <cell r="J84">
            <v>0</v>
          </cell>
          <cell r="K84">
            <v>3362.4</v>
          </cell>
          <cell r="L84">
            <v>1016.744</v>
          </cell>
          <cell r="M84">
            <v>5063158.1660000002</v>
          </cell>
          <cell r="N84">
            <v>5058779.0219999999</v>
          </cell>
          <cell r="O84">
            <v>-4379.1440000003204</v>
          </cell>
          <cell r="P84">
            <v>5063158.1660000002</v>
          </cell>
          <cell r="Q84">
            <v>4379.1440000003204</v>
          </cell>
          <cell r="R84">
            <v>14505267.688000001</v>
          </cell>
          <cell r="T84">
            <v>5058779.0219999999</v>
          </cell>
          <cell r="U84">
            <v>0</v>
          </cell>
          <cell r="V84">
            <v>60747.194000000003</v>
          </cell>
          <cell r="W84" t="str">
            <v>Adm: JV..</v>
          </cell>
        </row>
        <row r="85">
          <cell r="A85" t="str">
            <v>PY1474-JV-ECOPETROL-REDUCCIÓN APODERAMIENTO - 64.27</v>
          </cell>
          <cell r="B85" t="str">
            <v>Ejecución</v>
          </cell>
          <cell r="C85" t="str">
            <v>21</v>
          </cell>
          <cell r="D85" t="str">
            <v>Oil &amp; Gas</v>
          </cell>
          <cell r="E85" t="str">
            <v xml:space="preserve">CBUITRAGO </v>
          </cell>
          <cell r="F85">
            <v>20349500.517999999</v>
          </cell>
          <cell r="G85">
            <v>11982585.193499999</v>
          </cell>
          <cell r="I85">
            <v>11982585.193499999</v>
          </cell>
          <cell r="J85">
            <v>40831.470057840001</v>
          </cell>
          <cell r="K85">
            <v>3362.4</v>
          </cell>
          <cell r="L85">
            <v>149385.61900000001</v>
          </cell>
          <cell r="M85">
            <v>12176164.68255784</v>
          </cell>
          <cell r="N85">
            <v>11982585.193499999</v>
          </cell>
          <cell r="O85">
            <v>-193579.48905784078</v>
          </cell>
          <cell r="P85">
            <v>12135333.212499999</v>
          </cell>
          <cell r="Q85">
            <v>152748.01899999939</v>
          </cell>
          <cell r="R85">
            <v>8366915.3245000001</v>
          </cell>
          <cell r="T85">
            <v>11247066.359999999</v>
          </cell>
          <cell r="U85">
            <v>735518.83400000003</v>
          </cell>
          <cell r="V85">
            <v>1286551.3765</v>
          </cell>
          <cell r="W85" t="str">
            <v>Adm: JV. Solicitar liberar a los consorciados 500MCOP.</v>
          </cell>
        </row>
        <row r="86">
          <cell r="A86" t="str">
            <v>PY1476-JV-EEB-LT-NORTE - TEQUENDAMA-41.04 / CONEXION SOGAMOSO</v>
          </cell>
          <cell r="B86" t="str">
            <v>Ejecución</v>
          </cell>
          <cell r="C86" t="str">
            <v>21</v>
          </cell>
          <cell r="D86" t="str">
            <v>Energía</v>
          </cell>
          <cell r="E86" t="str">
            <v xml:space="preserve">HNARVAEZ  </v>
          </cell>
          <cell r="F86">
            <v>5718214.608</v>
          </cell>
          <cell r="G86">
            <v>5868134.1842700001</v>
          </cell>
          <cell r="I86">
            <v>5868134.1842700001</v>
          </cell>
          <cell r="J86">
            <v>108327.55511544002</v>
          </cell>
          <cell r="K86">
            <v>68283.034</v>
          </cell>
          <cell r="L86">
            <v>9042.9603799999986</v>
          </cell>
          <cell r="M86">
            <v>6053787.7337654401</v>
          </cell>
          <cell r="N86">
            <v>5868134.1842700001</v>
          </cell>
          <cell r="O86">
            <v>-185653.54949543998</v>
          </cell>
          <cell r="P86">
            <v>5945460.1786500001</v>
          </cell>
          <cell r="Q86">
            <v>77325.994380000047</v>
          </cell>
          <cell r="R86">
            <v>-149919.57627000008</v>
          </cell>
          <cell r="T86">
            <v>5379385.3905500006</v>
          </cell>
          <cell r="U86">
            <v>338244.45030000003</v>
          </cell>
          <cell r="V86">
            <v>544591.74349999998</v>
          </cell>
          <cell r="W86" t="str">
            <v>Adm: WSP
Recaudo de 250MCOP=&gt;Fue aprobado por parte de la EEB el Plan de Facturacion del Proyecto para su etapa de cierre. Se facturaron en el mes de Mayo $ 460 MCOP</v>
          </cell>
        </row>
        <row r="87">
          <cell r="A87" t="str">
            <v>PY1479-FONDO ADAPTACION- FASE III-SITIOS CRITICOS-131.06</v>
          </cell>
          <cell r="B87" t="str">
            <v>Ejecución</v>
          </cell>
          <cell r="C87" t="str">
            <v>21</v>
          </cell>
          <cell r="D87" t="str">
            <v>Transporte</v>
          </cell>
          <cell r="E87" t="str">
            <v xml:space="preserve">YSALAZAR  </v>
          </cell>
          <cell r="F87">
            <v>972291.33299999998</v>
          </cell>
          <cell r="G87">
            <v>972191.46499999997</v>
          </cell>
          <cell r="I87">
            <v>972191.46499999997</v>
          </cell>
          <cell r="J87">
            <v>0</v>
          </cell>
          <cell r="K87">
            <v>0</v>
          </cell>
          <cell r="L87">
            <v>0</v>
          </cell>
          <cell r="M87">
            <v>972191.46499999997</v>
          </cell>
          <cell r="N87">
            <v>972191.46499999997</v>
          </cell>
          <cell r="O87">
            <v>0</v>
          </cell>
          <cell r="P87">
            <v>972191.46499999997</v>
          </cell>
          <cell r="Q87">
            <v>0</v>
          </cell>
          <cell r="R87">
            <v>99.868000000016764</v>
          </cell>
          <cell r="T87">
            <v>933399.68</v>
          </cell>
          <cell r="U87">
            <v>38606.785000000003</v>
          </cell>
          <cell r="V87">
            <v>0</v>
          </cell>
          <cell r="W87" t="str">
            <v>No información.</v>
          </cell>
        </row>
        <row r="88">
          <cell r="A88" t="str">
            <v>PY1480-FONDO ADAPTACION-SITIOS CRÍTICOS MÁLAGA -131.04</v>
          </cell>
          <cell r="B88" t="str">
            <v>Ejecución</v>
          </cell>
          <cell r="C88" t="str">
            <v>21</v>
          </cell>
          <cell r="D88" t="str">
            <v>Transporte</v>
          </cell>
          <cell r="E88" t="str">
            <v xml:space="preserve">RCASTRO   </v>
          </cell>
          <cell r="F88">
            <v>4831646.5480000004</v>
          </cell>
          <cell r="G88">
            <v>2291175.8678699997</v>
          </cell>
          <cell r="I88">
            <v>2291175.8678699997</v>
          </cell>
          <cell r="J88">
            <v>76429.417179119991</v>
          </cell>
          <cell r="K88">
            <v>180</v>
          </cell>
          <cell r="L88">
            <v>3081.636</v>
          </cell>
          <cell r="M88">
            <v>2370866.9210491194</v>
          </cell>
          <cell r="N88">
            <v>2018329.9448699998</v>
          </cell>
          <cell r="O88">
            <v>-352536.97617911967</v>
          </cell>
          <cell r="P88">
            <v>2021591.5808699997</v>
          </cell>
          <cell r="Q88">
            <v>3261.6359999999404</v>
          </cell>
          <cell r="R88">
            <v>2813316.6031300006</v>
          </cell>
          <cell r="T88">
            <v>2158483.5184200001</v>
          </cell>
          <cell r="U88">
            <v>132646.14945</v>
          </cell>
          <cell r="V88">
            <v>393662.64399999997</v>
          </cell>
          <cell r="W88" t="str">
            <v>Demora en aprobación informes mensuales para facturación por parte del FONDO ADAPTACION e INVIAS.</v>
          </cell>
        </row>
        <row r="89">
          <cell r="A89" t="str">
            <v>PY1481-JV-FONDO ADAPTACION-GRUPO 4-HUILA-TOLIMA-131.03/CEI SMA</v>
          </cell>
          <cell r="B89" t="str">
            <v>Ejecución</v>
          </cell>
          <cell r="C89" t="str">
            <v>21</v>
          </cell>
          <cell r="D89" t="str">
            <v>I. Municipal</v>
          </cell>
          <cell r="E89" t="str">
            <v xml:space="preserve">MBAYONA   </v>
          </cell>
          <cell r="F89">
            <v>1287001.7390000001</v>
          </cell>
          <cell r="G89">
            <v>1121693.655</v>
          </cell>
          <cell r="I89">
            <v>1121693.655</v>
          </cell>
          <cell r="J89">
            <v>346.5</v>
          </cell>
          <cell r="K89">
            <v>0</v>
          </cell>
          <cell r="L89">
            <v>0</v>
          </cell>
          <cell r="M89">
            <v>1122040.155</v>
          </cell>
          <cell r="N89">
            <v>1121693.655</v>
          </cell>
          <cell r="O89">
            <v>-346.5</v>
          </cell>
          <cell r="P89">
            <v>1121693.655</v>
          </cell>
          <cell r="Q89">
            <v>0</v>
          </cell>
          <cell r="R89">
            <v>165308.08400000003</v>
          </cell>
          <cell r="S89">
            <v>165308.08400000003</v>
          </cell>
          <cell r="T89">
            <v>665744.2855</v>
          </cell>
          <cell r="U89">
            <v>67996.202000000005</v>
          </cell>
          <cell r="V89">
            <v>229198.53899999999</v>
          </cell>
          <cell r="W89" t="str">
            <v>Adm: JV.
Ejecutado Acumulado May-16 $ 1.194.286.991
Se facturará en en junio 25 MCOP</v>
          </cell>
        </row>
        <row r="90">
          <cell r="A90" t="str">
            <v>PY1488-JV-AERONAUTICA- AEROPUERTO EL DORADO-FASE I-4.33</v>
          </cell>
          <cell r="B90" t="str">
            <v>Ejecución</v>
          </cell>
          <cell r="C90" t="str">
            <v>21</v>
          </cell>
          <cell r="D90" t="str">
            <v>Transporte</v>
          </cell>
          <cell r="E90" t="str">
            <v xml:space="preserve">RCASTRO   </v>
          </cell>
          <cell r="F90">
            <v>5027335</v>
          </cell>
          <cell r="G90">
            <v>2350912.051</v>
          </cell>
          <cell r="I90">
            <v>2350912.051</v>
          </cell>
          <cell r="J90">
            <v>48586.343067200003</v>
          </cell>
          <cell r="K90">
            <v>3362.4</v>
          </cell>
          <cell r="L90">
            <v>45522.517</v>
          </cell>
          <cell r="M90">
            <v>2448383.3110671998</v>
          </cell>
          <cell r="N90">
            <v>2350912.051</v>
          </cell>
          <cell r="O90">
            <v>-97471.260067199823</v>
          </cell>
          <cell r="P90">
            <v>2399796.9679999999</v>
          </cell>
          <cell r="Q90">
            <v>48884.916999999899</v>
          </cell>
          <cell r="R90">
            <v>2676422.949</v>
          </cell>
          <cell r="T90">
            <v>2377679.7795000002</v>
          </cell>
          <cell r="U90">
            <v>-26767.728500000001</v>
          </cell>
          <cell r="V90">
            <v>174586.48669999998</v>
          </cell>
          <cell r="W90" t="str">
            <v>Adm:  WSP
Convocar a reunión directiva para distribución de tesorería.</v>
          </cell>
        </row>
        <row r="91">
          <cell r="A91" t="str">
            <v>PY1530-ESSA-CT-2015-000191 -LT YARIGUI-CENTRO</v>
          </cell>
          <cell r="B91" t="str">
            <v>Ejecución</v>
          </cell>
          <cell r="C91" t="str">
            <v>21</v>
          </cell>
          <cell r="D91" t="str">
            <v>Energía</v>
          </cell>
          <cell r="E91" t="str">
            <v xml:space="preserve">PRINCON   </v>
          </cell>
          <cell r="F91">
            <v>707936.45799999998</v>
          </cell>
          <cell r="G91">
            <v>282083.821</v>
          </cell>
          <cell r="I91">
            <v>282083.821</v>
          </cell>
          <cell r="J91">
            <v>76373.665544819989</v>
          </cell>
          <cell r="K91">
            <v>0</v>
          </cell>
          <cell r="L91">
            <v>15917.826999999999</v>
          </cell>
          <cell r="M91">
            <v>374375.31354482</v>
          </cell>
          <cell r="N91">
            <v>282083.821</v>
          </cell>
          <cell r="O91">
            <v>-92291.492544820008</v>
          </cell>
          <cell r="P91">
            <v>298001.64799999999</v>
          </cell>
          <cell r="Q91">
            <v>15917.82699999999</v>
          </cell>
          <cell r="R91">
            <v>425852.63699999999</v>
          </cell>
          <cell r="T91">
            <v>255711.78400000001</v>
          </cell>
          <cell r="U91">
            <v>26372.037</v>
          </cell>
          <cell r="V91">
            <v>85832.732999999993</v>
          </cell>
          <cell r="W91" t="str">
            <v xml:space="preserve">Proyecto en ejecución OK. Cartera corriente se debe revisar valor reportado </v>
          </cell>
        </row>
        <row r="92">
          <cell r="A92" t="str">
            <v>PY1531-EPM-S-CT-2015-002555 - GR.1 UPL 1</v>
          </cell>
          <cell r="B92" t="str">
            <v>Ejecución</v>
          </cell>
          <cell r="C92" t="str">
            <v>23</v>
          </cell>
          <cell r="D92" t="str">
            <v>Edificaciones</v>
          </cell>
          <cell r="E92" t="str">
            <v xml:space="preserve">DESCOBAR  </v>
          </cell>
          <cell r="F92">
            <v>810000</v>
          </cell>
          <cell r="G92">
            <v>521630.68699999998</v>
          </cell>
          <cell r="I92">
            <v>521630.68699999998</v>
          </cell>
          <cell r="J92">
            <v>80927.082115680008</v>
          </cell>
          <cell r="K92">
            <v>485</v>
          </cell>
          <cell r="L92">
            <v>23882.650450000001</v>
          </cell>
          <cell r="M92">
            <v>626925.41956567997</v>
          </cell>
          <cell r="N92">
            <v>521630.68699999998</v>
          </cell>
          <cell r="O92">
            <v>-105294.73256567999</v>
          </cell>
          <cell r="P92">
            <v>545998.33744999999</v>
          </cell>
          <cell r="Q92">
            <v>24367.650450000016</v>
          </cell>
          <cell r="R92">
            <v>288369.31300000002</v>
          </cell>
          <cell r="T92">
            <v>585376.45900000003</v>
          </cell>
          <cell r="U92">
            <v>-63745.771999999997</v>
          </cell>
          <cell r="V92">
            <v>137093.10341000001</v>
          </cell>
          <cell r="W92" t="str">
            <v>No información.</v>
          </cell>
        </row>
        <row r="93">
          <cell r="A93" t="str">
            <v>PY1548-CIRCUNVALAR OCCIDENTE SANTA ROSA-D-FACTIBILIDAD</v>
          </cell>
          <cell r="B93" t="str">
            <v>Ejecución</v>
          </cell>
          <cell r="C93" t="str">
            <v>21</v>
          </cell>
          <cell r="D93" t="str">
            <v>Transporte</v>
          </cell>
          <cell r="E93" t="str">
            <v xml:space="preserve">YSALAZAR  </v>
          </cell>
          <cell r="F93">
            <v>1760328.0719999999</v>
          </cell>
          <cell r="G93">
            <v>1448564.0325000002</v>
          </cell>
          <cell r="I93">
            <v>1448564.0325000002</v>
          </cell>
          <cell r="J93">
            <v>20139.502104899999</v>
          </cell>
          <cell r="K93">
            <v>20700</v>
          </cell>
          <cell r="L93">
            <v>5457.3</v>
          </cell>
          <cell r="M93">
            <v>1494860.8346049003</v>
          </cell>
          <cell r="N93">
            <v>1448564.0325000002</v>
          </cell>
          <cell r="O93">
            <v>-46296.802104900125</v>
          </cell>
          <cell r="P93">
            <v>1474721.3325000003</v>
          </cell>
          <cell r="Q93">
            <v>26157.300000000047</v>
          </cell>
          <cell r="R93">
            <v>311764.03949999972</v>
          </cell>
          <cell r="T93">
            <v>1232229.6504000002</v>
          </cell>
          <cell r="U93">
            <v>216334.38210000002</v>
          </cell>
          <cell r="V93">
            <v>621926.66601000004</v>
          </cell>
          <cell r="W93" t="str">
            <v>Gestionar el cobro de 621MCOP antes de Fin de mes.23/05/16 confirmó un pago por $400MM  el valor restante a finales de junio.</v>
          </cell>
        </row>
        <row r="94">
          <cell r="A94" t="str">
            <v>PY1550-ALTERNATIVAS VIALES-D-CAMBAO MANIZALES FASE III</v>
          </cell>
          <cell r="B94" t="str">
            <v>Ejecución</v>
          </cell>
          <cell r="C94" t="str">
            <v>21</v>
          </cell>
          <cell r="D94" t="str">
            <v>Transporte</v>
          </cell>
          <cell r="E94" t="str">
            <v xml:space="preserve">VROJAS    </v>
          </cell>
          <cell r="F94">
            <v>4741379.3093500007</v>
          </cell>
          <cell r="G94">
            <v>4131794.5348400003</v>
          </cell>
          <cell r="I94">
            <v>4131794.5348400003</v>
          </cell>
          <cell r="J94">
            <v>152168.36417969997</v>
          </cell>
          <cell r="K94">
            <v>204464.80300000001</v>
          </cell>
          <cell r="L94">
            <v>21194.2</v>
          </cell>
          <cell r="M94">
            <v>4509621.902019701</v>
          </cell>
          <cell r="N94">
            <v>4131794.5348400003</v>
          </cell>
          <cell r="O94">
            <v>-377827.36717970064</v>
          </cell>
          <cell r="P94">
            <v>4357453.5378399994</v>
          </cell>
          <cell r="Q94">
            <v>225659.00299999909</v>
          </cell>
          <cell r="R94">
            <v>609584.77451000037</v>
          </cell>
          <cell r="T94">
            <v>2741926.18952</v>
          </cell>
          <cell r="U94">
            <v>1389868.3453199998</v>
          </cell>
          <cell r="V94">
            <v>547204.09152000002</v>
          </cell>
          <cell r="W94" t="str">
            <v>Se factura en mayo $570M consultoría y $270M Perforaciones para mediados de Junio.</v>
          </cell>
        </row>
        <row r="95">
          <cell r="A95" t="str">
            <v>PY1563-PROING_C_PLANTA SOLAR_LETICIA</v>
          </cell>
          <cell r="B95" t="str">
            <v>Ejecución</v>
          </cell>
          <cell r="C95" t="str">
            <v>24</v>
          </cell>
          <cell r="D95" t="str">
            <v>Energía</v>
          </cell>
          <cell r="E95" t="str">
            <v xml:space="preserve">APAEZ     </v>
          </cell>
          <cell r="F95">
            <v>120415.49099999999</v>
          </cell>
          <cell r="G95">
            <v>30648.466499999999</v>
          </cell>
          <cell r="I95">
            <v>30648.466499999999</v>
          </cell>
          <cell r="J95">
            <v>3332.0749625000003</v>
          </cell>
          <cell r="K95">
            <v>-16258.099000000002</v>
          </cell>
          <cell r="L95">
            <v>1705.7685000000001</v>
          </cell>
          <cell r="M95">
            <v>19428.210962499994</v>
          </cell>
          <cell r="N95">
            <v>30648.466499999999</v>
          </cell>
          <cell r="O95">
            <v>11220.255537500005</v>
          </cell>
          <cell r="P95">
            <v>16096.135999999997</v>
          </cell>
          <cell r="Q95">
            <v>-14552.330500000002</v>
          </cell>
          <cell r="R95">
            <v>89767.0245</v>
          </cell>
          <cell r="S95">
            <v>90274.880000000005</v>
          </cell>
          <cell r="T95">
            <v>24220.141</v>
          </cell>
          <cell r="U95">
            <v>6428.3254999999999</v>
          </cell>
          <cell r="V95">
            <v>0</v>
          </cell>
          <cell r="W95" t="str">
            <v>El Gerente de Proyecto cambió en Junio; la infraejecución corresponde a la facturación de costos reembolsables que no se están registrando como ingresos operativos.</v>
          </cell>
        </row>
        <row r="96">
          <cell r="A96" t="str">
            <v>PY1565-PB-USA REVISION DE DISEÑOS</v>
          </cell>
          <cell r="B96" t="str">
            <v>Ejecución</v>
          </cell>
          <cell r="C96" t="str">
            <v>21</v>
          </cell>
          <cell r="D96" t="str">
            <v>Energía</v>
          </cell>
          <cell r="E96" t="str">
            <v xml:space="preserve">CTRILLOS  </v>
          </cell>
          <cell r="F96">
            <v>60000</v>
          </cell>
          <cell r="G96">
            <v>60771.623</v>
          </cell>
          <cell r="I96">
            <v>60771.623</v>
          </cell>
          <cell r="J96">
            <v>600.74116000000004</v>
          </cell>
          <cell r="K96">
            <v>0</v>
          </cell>
          <cell r="L96">
            <v>0</v>
          </cell>
          <cell r="M96">
            <v>61372.364159999997</v>
          </cell>
          <cell r="N96">
            <v>60771.623</v>
          </cell>
          <cell r="O96">
            <v>-600.74115999999776</v>
          </cell>
          <cell r="P96">
            <v>60771.623</v>
          </cell>
          <cell r="Q96">
            <v>0</v>
          </cell>
          <cell r="R96">
            <v>-771.62299999999959</v>
          </cell>
          <cell r="T96">
            <v>28204.193850000003</v>
          </cell>
          <cell r="U96">
            <v>32567.42915</v>
          </cell>
          <cell r="V96">
            <v>25729.364850000002</v>
          </cell>
          <cell r="W96" t="str">
            <v>Valor autorizado es por avance de proyecto de acuerdo a la solicitud del cliente.</v>
          </cell>
        </row>
        <row r="97">
          <cell r="A97" t="str">
            <v>PY1566-EPM-002101-C-VALLE SAN NICOLAS</v>
          </cell>
          <cell r="B97" t="str">
            <v>Ejecución</v>
          </cell>
          <cell r="C97" t="str">
            <v>23</v>
          </cell>
          <cell r="D97" t="str">
            <v>I. Municipal</v>
          </cell>
          <cell r="E97" t="str">
            <v xml:space="preserve">LGOMEZ    </v>
          </cell>
          <cell r="F97">
            <v>1905840.2009999999</v>
          </cell>
          <cell r="G97">
            <v>661247.46699999995</v>
          </cell>
          <cell r="I97">
            <v>661247.46699999995</v>
          </cell>
          <cell r="J97">
            <v>111180.48861449999</v>
          </cell>
          <cell r="K97">
            <v>7530.473</v>
          </cell>
          <cell r="L97">
            <v>18291.342000000001</v>
          </cell>
          <cell r="M97">
            <v>798249.77061449992</v>
          </cell>
          <cell r="N97">
            <v>661247.46699999995</v>
          </cell>
          <cell r="O97">
            <v>-137002.30361449998</v>
          </cell>
          <cell r="P97">
            <v>687069.28199999989</v>
          </cell>
          <cell r="Q97">
            <v>25821.814999999944</v>
          </cell>
          <cell r="R97">
            <v>1244592.7339999999</v>
          </cell>
          <cell r="S97">
            <v>1244592.7339999999</v>
          </cell>
          <cell r="T97">
            <v>388086.43599999999</v>
          </cell>
          <cell r="U97">
            <v>273161.03100000002</v>
          </cell>
          <cell r="V97">
            <v>172825.55</v>
          </cell>
          <cell r="W97" t="str">
            <v>Ejecutado Acumulado Abr-16 es $ 520.298.316
Ejecución normal del proyecto, Se factura WIP en jun/jul-16 280 MCOP aprox.</v>
          </cell>
        </row>
        <row r="98">
          <cell r="A98" t="str">
            <v>PY1570-CENS-S-CORREDORES DE SERVIDUMBRE 1 Y 2</v>
          </cell>
          <cell r="B98" t="str">
            <v>Ejecución</v>
          </cell>
          <cell r="C98" t="str">
            <v>21</v>
          </cell>
          <cell r="D98" t="str">
            <v>M. Ambiente</v>
          </cell>
          <cell r="E98" t="str">
            <v xml:space="preserve">SGOMEZ    </v>
          </cell>
          <cell r="F98">
            <v>314650</v>
          </cell>
          <cell r="G98">
            <v>224630.26455000002</v>
          </cell>
          <cell r="I98">
            <v>224630.26455000002</v>
          </cell>
          <cell r="J98">
            <v>24072.712968129996</v>
          </cell>
          <cell r="K98">
            <v>0</v>
          </cell>
          <cell r="L98">
            <v>5073.1639999999998</v>
          </cell>
          <cell r="M98">
            <v>253776.14151813</v>
          </cell>
          <cell r="N98">
            <v>224630.26455000002</v>
          </cell>
          <cell r="O98">
            <v>-29145.876968129975</v>
          </cell>
          <cell r="P98">
            <v>229703.42855000001</v>
          </cell>
          <cell r="Q98">
            <v>5073.1639999999898</v>
          </cell>
          <cell r="R98">
            <v>90019.735449999978</v>
          </cell>
          <cell r="T98">
            <v>213719.12899999999</v>
          </cell>
          <cell r="U98">
            <v>10911.135550000001</v>
          </cell>
          <cell r="V98">
            <v>27975.937000000002</v>
          </cell>
          <cell r="W98" t="str">
            <v>No información.</v>
          </cell>
        </row>
        <row r="99">
          <cell r="A99" t="str">
            <v>PY1580-CODENSA-S-REDES MT/BT/AP 5600012985</v>
          </cell>
          <cell r="B99" t="str">
            <v>Ejecución</v>
          </cell>
          <cell r="C99" t="str">
            <v>21</v>
          </cell>
          <cell r="D99" t="str">
            <v>Energía</v>
          </cell>
          <cell r="E99" t="str">
            <v xml:space="preserve">GREY      </v>
          </cell>
          <cell r="F99">
            <v>1320248.5330000001</v>
          </cell>
          <cell r="G99">
            <v>89513.136400000003</v>
          </cell>
          <cell r="I99">
            <v>89513.136400000003</v>
          </cell>
          <cell r="J99">
            <v>19205.460936200005</v>
          </cell>
          <cell r="K99">
            <v>0</v>
          </cell>
          <cell r="L99">
            <v>4728.6620000000003</v>
          </cell>
          <cell r="M99">
            <v>113447.2593362</v>
          </cell>
          <cell r="N99">
            <v>89513.136400000003</v>
          </cell>
          <cell r="O99">
            <v>-23934.122936200001</v>
          </cell>
          <cell r="P99">
            <v>94241.7984</v>
          </cell>
          <cell r="Q99">
            <v>4728.6619999999966</v>
          </cell>
          <cell r="R99">
            <v>1230735.3966000001</v>
          </cell>
          <cell r="T99">
            <v>24477.261999999999</v>
          </cell>
          <cell r="U99">
            <v>65035.874400000001</v>
          </cell>
          <cell r="V99">
            <v>22482.919000000002</v>
          </cell>
          <cell r="W99" t="str">
            <v>Se facturara este WIP el 22 de Junio. Ya fue charlado con el cliente.</v>
          </cell>
        </row>
        <row r="100">
          <cell r="A100" t="str">
            <v>PY1587-CODENSA-S-5600013134-IPAL</v>
          </cell>
          <cell r="B100" t="str">
            <v>Ejecución</v>
          </cell>
          <cell r="C100" t="str">
            <v>21</v>
          </cell>
          <cell r="D100" t="str">
            <v>Energía</v>
          </cell>
          <cell r="E100" t="str">
            <v xml:space="preserve">LREY      </v>
          </cell>
          <cell r="F100">
            <v>3411019.4890000001</v>
          </cell>
          <cell r="G100">
            <v>619514.92700000003</v>
          </cell>
          <cell r="I100">
            <v>619514.92700000003</v>
          </cell>
          <cell r="J100">
            <v>88267.291318599979</v>
          </cell>
          <cell r="K100">
            <v>0</v>
          </cell>
          <cell r="L100">
            <v>52140.245000000003</v>
          </cell>
          <cell r="M100">
            <v>759922.46331859997</v>
          </cell>
          <cell r="N100">
            <v>619514.92700000003</v>
          </cell>
          <cell r="O100">
            <v>-140407.53631859994</v>
          </cell>
          <cell r="P100">
            <v>671655.17200000002</v>
          </cell>
          <cell r="Q100">
            <v>52140.244999999995</v>
          </cell>
          <cell r="R100">
            <v>2791504.5619999999</v>
          </cell>
          <cell r="T100">
            <v>474021.31744999997</v>
          </cell>
          <cell r="U100">
            <v>145493.60955000002</v>
          </cell>
          <cell r="V100">
            <v>128533.26445</v>
          </cell>
          <cell r="W100" t="str">
            <v xml:space="preserve">Proyecto en ejecución OK. Cartera corriente se debe revisar valor reportado </v>
          </cell>
        </row>
        <row r="101">
          <cell r="A101" t="str">
            <v>PY1589-BANCO REPUBLICA-D- RESIDUOS SIRRI-CE</v>
          </cell>
          <cell r="B101" t="str">
            <v>Ejecución</v>
          </cell>
          <cell r="C101" t="str">
            <v>21</v>
          </cell>
          <cell r="D101" t="str">
            <v>Edificaciones</v>
          </cell>
          <cell r="E101" t="str">
            <v xml:space="preserve">DGOMEZ    </v>
          </cell>
          <cell r="F101">
            <v>668240.80900000001</v>
          </cell>
          <cell r="G101">
            <v>510035.57539999997</v>
          </cell>
          <cell r="I101">
            <v>510035.57539999997</v>
          </cell>
          <cell r="J101">
            <v>27678.640687499999</v>
          </cell>
          <cell r="K101">
            <v>3600</v>
          </cell>
          <cell r="L101">
            <v>1302.5771000000002</v>
          </cell>
          <cell r="M101">
            <v>542616.79318749998</v>
          </cell>
          <cell r="N101">
            <v>510035.57539999997</v>
          </cell>
          <cell r="O101">
            <v>-32581.217787500005</v>
          </cell>
          <cell r="P101">
            <v>514938.15249999997</v>
          </cell>
          <cell r="Q101">
            <v>4902.577099999995</v>
          </cell>
          <cell r="R101">
            <v>158205.23360000004</v>
          </cell>
          <cell r="T101">
            <v>200472.24299999999</v>
          </cell>
          <cell r="U101">
            <v>307757.90036000003</v>
          </cell>
          <cell r="V101">
            <v>0</v>
          </cell>
          <cell r="W101" t="str">
            <v>Recaudar XXXMCOP antes de fin de mes.Banco de la Republica: se factura en julio $400MCOP</v>
          </cell>
        </row>
        <row r="102">
          <cell r="A102" t="str">
            <v>PY1590-GOB.ATLANTICO-003-I-ACUEDUCTO MALAMBO</v>
          </cell>
          <cell r="B102" t="str">
            <v>Ejecución</v>
          </cell>
          <cell r="C102" t="str">
            <v>22</v>
          </cell>
          <cell r="D102" t="str">
            <v>I. Municipal</v>
          </cell>
          <cell r="E102" t="str">
            <v xml:space="preserve">KELLY     </v>
          </cell>
          <cell r="F102">
            <v>210875</v>
          </cell>
          <cell r="G102">
            <v>184019.43671000001</v>
          </cell>
          <cell r="I102">
            <v>184019.43671000001</v>
          </cell>
          <cell r="J102">
            <v>11259.920875</v>
          </cell>
          <cell r="K102">
            <v>0</v>
          </cell>
          <cell r="L102">
            <v>1028.0239999999999</v>
          </cell>
          <cell r="M102">
            <v>196307.38158500002</v>
          </cell>
          <cell r="N102">
            <v>184019.43671000001</v>
          </cell>
          <cell r="O102">
            <v>-12287.944875000016</v>
          </cell>
          <cell r="P102">
            <v>185047.46071000001</v>
          </cell>
          <cell r="Q102">
            <v>1028.0240000000049</v>
          </cell>
          <cell r="R102">
            <v>26855.563289999991</v>
          </cell>
          <cell r="S102">
            <v>26855.563289999991</v>
          </cell>
          <cell r="T102">
            <v>156799.80271000002</v>
          </cell>
          <cell r="U102">
            <v>27219.633999999998</v>
          </cell>
          <cell r="V102">
            <v>137202.76372000002</v>
          </cell>
          <cell r="W102" t="str">
            <v>Se facturo en mayo 75 MCOP</v>
          </cell>
        </row>
        <row r="103">
          <cell r="A103" t="str">
            <v>PY1598-EPSA-D-PROYECTO STR VALLEDUPAR</v>
          </cell>
          <cell r="B103" t="str">
            <v>Ejecución</v>
          </cell>
          <cell r="C103" t="str">
            <v>22</v>
          </cell>
          <cell r="D103" t="str">
            <v>Energía</v>
          </cell>
          <cell r="E103" t="str">
            <v xml:space="preserve">HTILANO   </v>
          </cell>
          <cell r="F103">
            <v>152897.54999999999</v>
          </cell>
          <cell r="G103">
            <v>116643.27499999999</v>
          </cell>
          <cell r="I103">
            <v>116643.27499999999</v>
          </cell>
          <cell r="J103">
            <v>56130.992932799993</v>
          </cell>
          <cell r="K103">
            <v>0</v>
          </cell>
          <cell r="L103">
            <v>18</v>
          </cell>
          <cell r="M103">
            <v>172792.26793279999</v>
          </cell>
          <cell r="N103">
            <v>116643.27499999999</v>
          </cell>
          <cell r="O103">
            <v>-56148.9929328</v>
          </cell>
          <cell r="P103">
            <v>116661.27499999999</v>
          </cell>
          <cell r="Q103">
            <v>18</v>
          </cell>
          <cell r="R103">
            <v>36254.274999999994</v>
          </cell>
          <cell r="S103">
            <v>35880</v>
          </cell>
          <cell r="T103">
            <v>0</v>
          </cell>
          <cell r="U103">
            <v>116643.27499999999</v>
          </cell>
          <cell r="V103">
            <v>0</v>
          </cell>
          <cell r="W103" t="str">
            <v>Este WIP se facturará entre junio (80 MCOP) y agosto (73 MCOP).</v>
          </cell>
        </row>
        <row r="104">
          <cell r="A104" t="str">
            <v>PY1599-EPSA-D-PROYECTO STR MONTERIA</v>
          </cell>
          <cell r="B104" t="str">
            <v>Ejecución</v>
          </cell>
          <cell r="C104" t="str">
            <v>24</v>
          </cell>
          <cell r="D104" t="str">
            <v>Energía</v>
          </cell>
          <cell r="E104" t="str">
            <v xml:space="preserve">HTILANO   </v>
          </cell>
          <cell r="F104">
            <v>351335.2</v>
          </cell>
          <cell r="G104">
            <v>147661.424</v>
          </cell>
          <cell r="I104">
            <v>147661.424</v>
          </cell>
          <cell r="J104">
            <v>60586.721562500003</v>
          </cell>
          <cell r="K104">
            <v>-607</v>
          </cell>
          <cell r="L104">
            <v>-25.5</v>
          </cell>
          <cell r="M104">
            <v>207615.64556249999</v>
          </cell>
          <cell r="N104">
            <v>147661.424</v>
          </cell>
          <cell r="O104">
            <v>-59954.221562499995</v>
          </cell>
          <cell r="P104">
            <v>147028.924</v>
          </cell>
          <cell r="Q104">
            <v>-632.5</v>
          </cell>
          <cell r="R104">
            <v>203673.77600000001</v>
          </cell>
          <cell r="S104">
            <v>203674</v>
          </cell>
          <cell r="T104">
            <v>0</v>
          </cell>
          <cell r="U104">
            <v>147661.424</v>
          </cell>
          <cell r="V104">
            <v>0</v>
          </cell>
          <cell r="W104" t="str">
            <v>En julio se esperan facturar 78,5 en julio; la diferencia (272,8 MCOP) se facturará en septiembre a la finalización del contrato.</v>
          </cell>
        </row>
        <row r="105">
          <cell r="A105" t="str">
            <v>PY1623-UPME-013-S-SUBESTACIÓN LA LOMA</v>
          </cell>
          <cell r="B105" t="str">
            <v>Ejecución</v>
          </cell>
          <cell r="C105" t="str">
            <v>21</v>
          </cell>
          <cell r="D105" t="str">
            <v>Energía</v>
          </cell>
          <cell r="E105" t="str">
            <v xml:space="preserve">CTRILLOS  </v>
          </cell>
          <cell r="F105">
            <v>348000</v>
          </cell>
          <cell r="G105">
            <v>4427.4350000000004</v>
          </cell>
          <cell r="I105">
            <v>4427.4350000000004</v>
          </cell>
          <cell r="J105">
            <v>1799.4432449999999</v>
          </cell>
          <cell r="K105">
            <v>0</v>
          </cell>
          <cell r="L105">
            <v>0</v>
          </cell>
          <cell r="M105">
            <v>6226.8782449999999</v>
          </cell>
          <cell r="N105">
            <v>4427.4350000000004</v>
          </cell>
          <cell r="O105">
            <v>-1799.4432449999995</v>
          </cell>
          <cell r="P105">
            <v>4427.4350000000004</v>
          </cell>
          <cell r="Q105">
            <v>0</v>
          </cell>
          <cell r="R105">
            <v>343572.565</v>
          </cell>
          <cell r="T105">
            <v>0</v>
          </cell>
          <cell r="U105">
            <v>4427.4350000000004</v>
          </cell>
          <cell r="V105">
            <v>0</v>
          </cell>
          <cell r="W105" t="str">
            <v xml:space="preserve">Proyecto en ejecución OK. SIN Cartera </v>
          </cell>
        </row>
        <row r="106">
          <cell r="A106" t="str">
            <v>PY1624-UPME-016-S-SUBESTACION CARACOLI</v>
          </cell>
          <cell r="B106" t="str">
            <v>Ejecución</v>
          </cell>
          <cell r="C106" t="str">
            <v>21</v>
          </cell>
          <cell r="D106" t="str">
            <v>Energía</v>
          </cell>
          <cell r="E106" t="str">
            <v xml:space="preserve">CTRILLOS  </v>
          </cell>
          <cell r="F106">
            <v>324800</v>
          </cell>
          <cell r="G106">
            <v>4607.4430000000002</v>
          </cell>
          <cell r="I106">
            <v>4607.4430000000002</v>
          </cell>
          <cell r="J106">
            <v>1799.4432449999999</v>
          </cell>
          <cell r="K106">
            <v>0</v>
          </cell>
          <cell r="L106">
            <v>0</v>
          </cell>
          <cell r="M106">
            <v>6406.8862449999997</v>
          </cell>
          <cell r="N106">
            <v>4607.4430000000002</v>
          </cell>
          <cell r="O106">
            <v>-1799.4432449999995</v>
          </cell>
          <cell r="P106">
            <v>4607.4430000000002</v>
          </cell>
          <cell r="Q106">
            <v>0</v>
          </cell>
          <cell r="R106">
            <v>320192.55699999997</v>
          </cell>
          <cell r="T106">
            <v>0</v>
          </cell>
          <cell r="U106">
            <v>4607.4430000000002</v>
          </cell>
          <cell r="V106">
            <v>0</v>
          </cell>
          <cell r="W106" t="str">
            <v xml:space="preserve">Proyecto en ejecución OK. SIN Cartera </v>
          </cell>
        </row>
        <row r="107">
          <cell r="A107" t="str">
            <v>PY1632-EPM-S-CT-2015-002554 - GR 2 STR.</v>
          </cell>
          <cell r="B107" t="str">
            <v>Ejecución</v>
          </cell>
          <cell r="C107" t="str">
            <v>23</v>
          </cell>
          <cell r="D107" t="str">
            <v>Energía</v>
          </cell>
          <cell r="E107" t="str">
            <v xml:space="preserve">GMONTOYA  </v>
          </cell>
          <cell r="F107">
            <v>1130612.074</v>
          </cell>
          <cell r="G107">
            <v>456135.96100000001</v>
          </cell>
          <cell r="I107">
            <v>456135.96100000001</v>
          </cell>
          <cell r="J107">
            <v>70779.470723279999</v>
          </cell>
          <cell r="K107">
            <v>3500</v>
          </cell>
          <cell r="L107">
            <v>28371.74481</v>
          </cell>
          <cell r="M107">
            <v>558787.17653327994</v>
          </cell>
          <cell r="N107">
            <v>456135.96100000001</v>
          </cell>
          <cell r="O107">
            <v>-102651.21553327993</v>
          </cell>
          <cell r="P107">
            <v>488007.70580999996</v>
          </cell>
          <cell r="Q107">
            <v>31871.744809999946</v>
          </cell>
          <cell r="R107">
            <v>674476.11300000001</v>
          </cell>
          <cell r="S107">
            <v>606000</v>
          </cell>
          <cell r="T107">
            <v>538260.71138999995</v>
          </cell>
          <cell r="U107">
            <v>-82124.750390000001</v>
          </cell>
          <cell r="V107">
            <v>127226.41954</v>
          </cell>
          <cell r="W107" t="str">
            <v>El WIP negativo de proyecto está planeado para cubrir costos de cierre y liquidación.</v>
          </cell>
        </row>
        <row r="108">
          <cell r="A108" t="str">
            <v>PY1646-EPSA_237_D_REDES MT Y BT_VALLE</v>
          </cell>
          <cell r="B108" t="str">
            <v>Ejecución</v>
          </cell>
          <cell r="C108" t="str">
            <v>24</v>
          </cell>
          <cell r="D108" t="str">
            <v>Energía</v>
          </cell>
          <cell r="E108" t="str">
            <v xml:space="preserve">EVELANDIA </v>
          </cell>
          <cell r="F108">
            <v>1491538.1529999999</v>
          </cell>
          <cell r="G108">
            <v>229325.02240000002</v>
          </cell>
          <cell r="I108">
            <v>229325.02240000002</v>
          </cell>
          <cell r="J108">
            <v>65089.133037599997</v>
          </cell>
          <cell r="K108">
            <v>500</v>
          </cell>
          <cell r="L108">
            <v>9997.0709999999999</v>
          </cell>
          <cell r="M108">
            <v>304911.22643759998</v>
          </cell>
          <cell r="N108">
            <v>229325.02240000002</v>
          </cell>
          <cell r="O108">
            <v>-75586.204037599964</v>
          </cell>
          <cell r="P108">
            <v>239822.09340000001</v>
          </cell>
          <cell r="Q108">
            <v>10497.070999999996</v>
          </cell>
          <cell r="R108">
            <v>1262213.1305999998</v>
          </cell>
          <cell r="S108">
            <v>1262213</v>
          </cell>
          <cell r="T108">
            <v>186876.965</v>
          </cell>
          <cell r="U108">
            <v>42448.057399999998</v>
          </cell>
          <cell r="V108">
            <v>111347.849</v>
          </cell>
          <cell r="W108" t="str">
            <v>El proyecto realizó ajustes operativos para llevar la ejecución real cerca a la esperada. La facturación se realiza con corte a 15 de cada mes por lo que el WIP es corriente.</v>
          </cell>
        </row>
        <row r="109">
          <cell r="A109" t="str">
            <v>PY1649-CEMEX-C-LEVANTAMIENTO DE VEDA CARACOLITO</v>
          </cell>
          <cell r="B109" t="str">
            <v>Ejecución</v>
          </cell>
          <cell r="C109" t="str">
            <v>21</v>
          </cell>
          <cell r="D109" t="str">
            <v>M. Ambiente</v>
          </cell>
          <cell r="E109" t="str">
            <v xml:space="preserve">LSERRATO  </v>
          </cell>
          <cell r="F109">
            <v>44502.885000000002</v>
          </cell>
          <cell r="G109">
            <v>25424.809539999998</v>
          </cell>
          <cell r="I109">
            <v>25424.809539999998</v>
          </cell>
          <cell r="J109">
            <v>0</v>
          </cell>
          <cell r="K109">
            <v>0</v>
          </cell>
          <cell r="L109">
            <v>0</v>
          </cell>
          <cell r="M109">
            <v>25424.809539999998</v>
          </cell>
          <cell r="N109">
            <v>25424.809539999998</v>
          </cell>
          <cell r="O109">
            <v>0</v>
          </cell>
          <cell r="P109">
            <v>25424.809539999998</v>
          </cell>
          <cell r="Q109">
            <v>0</v>
          </cell>
          <cell r="R109">
            <v>19078.075460000004</v>
          </cell>
          <cell r="T109">
            <v>44502.885000000002</v>
          </cell>
          <cell r="U109">
            <v>-19078.07546</v>
          </cell>
          <cell r="V109">
            <v>0</v>
          </cell>
          <cell r="W109" t="str">
            <v>No información.</v>
          </cell>
        </row>
        <row r="110">
          <cell r="A110" t="str">
            <v>PY1650-SANT QUILICHAO_224_D_MT Y BT_CAUCA</v>
          </cell>
          <cell r="B110" t="str">
            <v>Ejecución</v>
          </cell>
          <cell r="C110" t="str">
            <v>24</v>
          </cell>
          <cell r="D110" t="str">
            <v>Energía</v>
          </cell>
          <cell r="E110" t="str">
            <v xml:space="preserve">CZAPATA   </v>
          </cell>
          <cell r="F110">
            <v>14553.965</v>
          </cell>
          <cell r="G110">
            <v>8968.0169999999998</v>
          </cell>
          <cell r="I110">
            <v>8968.0169999999998</v>
          </cell>
          <cell r="J110">
            <v>0</v>
          </cell>
          <cell r="K110">
            <v>0</v>
          </cell>
          <cell r="L110">
            <v>16.100000000000001</v>
          </cell>
          <cell r="M110">
            <v>8984.1170000000002</v>
          </cell>
          <cell r="N110">
            <v>8968.0169999999998</v>
          </cell>
          <cell r="O110">
            <v>-16.100000000000364</v>
          </cell>
          <cell r="P110">
            <v>8984.1170000000002</v>
          </cell>
          <cell r="Q110">
            <v>16.100000000000364</v>
          </cell>
          <cell r="R110">
            <v>5585.9480000000003</v>
          </cell>
          <cell r="S110">
            <v>5400</v>
          </cell>
          <cell r="T110">
            <v>0</v>
          </cell>
          <cell r="U110">
            <v>8968.0169999999998</v>
          </cell>
          <cell r="V110">
            <v>7276.982</v>
          </cell>
          <cell r="W110" t="str">
            <v>La alcaldía de Santander de Quilichao debe confirmar el número final de usuarios para establecer la necesidad de ampliar este contrato.  Este proceso requiere ampliación en tiempo.</v>
          </cell>
        </row>
        <row r="111">
          <cell r="A111" t="str">
            <v>PY1651-SUPERVISIÓN DE OBRAS CONTRATO COMBUSTIBLES EL DORADO</v>
          </cell>
          <cell r="B111" t="str">
            <v>Ejecución</v>
          </cell>
          <cell r="C111" t="str">
            <v>21</v>
          </cell>
          <cell r="D111" t="str">
            <v>Oil &amp; Gas</v>
          </cell>
          <cell r="E111" t="str">
            <v xml:space="preserve">SMARTINEZ </v>
          </cell>
          <cell r="F111">
            <v>124034.51300000001</v>
          </cell>
          <cell r="G111">
            <v>82689.766300000003</v>
          </cell>
          <cell r="I111">
            <v>82689.766300000003</v>
          </cell>
          <cell r="J111">
            <v>25527.68478</v>
          </cell>
          <cell r="K111">
            <v>0</v>
          </cell>
          <cell r="L111">
            <v>359.733</v>
          </cell>
          <cell r="M111">
            <v>108577.18407999999</v>
          </cell>
          <cell r="N111">
            <v>82689.766300000003</v>
          </cell>
          <cell r="O111">
            <v>-25887.417779999989</v>
          </cell>
          <cell r="P111">
            <v>83049.499299999996</v>
          </cell>
          <cell r="Q111">
            <v>359.7329999999929</v>
          </cell>
          <cell r="R111">
            <v>41344.746700000003</v>
          </cell>
          <cell r="T111">
            <v>41344.883000000002</v>
          </cell>
          <cell r="U111">
            <v>41344.883299999994</v>
          </cell>
          <cell r="V111">
            <v>45479.370999999999</v>
          </cell>
          <cell r="W111" t="str">
            <v>No información.</v>
          </cell>
        </row>
        <row r="112">
          <cell r="A112" t="str">
            <v>PY1658-EMGESA - IPAL - 5600013787</v>
          </cell>
          <cell r="B112" t="str">
            <v>Ejecución</v>
          </cell>
          <cell r="C112" t="str">
            <v>21</v>
          </cell>
          <cell r="D112" t="str">
            <v>Energía</v>
          </cell>
          <cell r="E112" t="str">
            <v xml:space="preserve">LREY      </v>
          </cell>
          <cell r="F112">
            <v>1478290.895</v>
          </cell>
          <cell r="G112">
            <v>126856.91925000001</v>
          </cell>
          <cell r="I112">
            <v>126856.91925000001</v>
          </cell>
          <cell r="J112">
            <v>27941.093879999997</v>
          </cell>
          <cell r="K112">
            <v>0</v>
          </cell>
          <cell r="L112">
            <v>9915.8250000000007</v>
          </cell>
          <cell r="M112">
            <v>164713.83813000002</v>
          </cell>
          <cell r="N112">
            <v>126856.91925000001</v>
          </cell>
          <cell r="O112">
            <v>-37856.918880000012</v>
          </cell>
          <cell r="P112">
            <v>136772.74425000002</v>
          </cell>
          <cell r="Q112">
            <v>9915.8250000000116</v>
          </cell>
          <cell r="R112">
            <v>1351433.97575</v>
          </cell>
          <cell r="T112">
            <v>65276.125</v>
          </cell>
          <cell r="U112">
            <v>61580.794249999999</v>
          </cell>
          <cell r="V112">
            <v>39673.089</v>
          </cell>
          <cell r="W112" t="str">
            <v xml:space="preserve">Proyecto en ejecución OK. Cartera corriente </v>
          </cell>
        </row>
        <row r="113">
          <cell r="A113" t="str">
            <v>PY1661-UPME- S - STR BOSQUE II</v>
          </cell>
          <cell r="B113" t="str">
            <v>Ejecución</v>
          </cell>
          <cell r="C113" t="str">
            <v>21</v>
          </cell>
          <cell r="D113" t="str">
            <v>Energía</v>
          </cell>
          <cell r="E113" t="str">
            <v xml:space="preserve">CTRILLOS  </v>
          </cell>
          <cell r="F113">
            <v>188800</v>
          </cell>
          <cell r="G113">
            <v>24078.097000000002</v>
          </cell>
          <cell r="I113">
            <v>24078.097000000002</v>
          </cell>
          <cell r="J113">
            <v>7303.1405700000005</v>
          </cell>
          <cell r="K113">
            <v>0</v>
          </cell>
          <cell r="L113">
            <v>0</v>
          </cell>
          <cell r="M113">
            <v>31381.237570000001</v>
          </cell>
          <cell r="N113">
            <v>24078.097000000002</v>
          </cell>
          <cell r="O113">
            <v>-7303.1405699999996</v>
          </cell>
          <cell r="P113">
            <v>24078.097000000002</v>
          </cell>
          <cell r="Q113">
            <v>0</v>
          </cell>
          <cell r="R113">
            <v>164721.90299999999</v>
          </cell>
          <cell r="T113">
            <v>0</v>
          </cell>
          <cell r="U113">
            <v>24078.097000000002</v>
          </cell>
          <cell r="V113">
            <v>0</v>
          </cell>
          <cell r="W113" t="str">
            <v xml:space="preserve">Proyecto en ejecución OK. SIN Cartera </v>
          </cell>
        </row>
        <row r="114">
          <cell r="A114" t="str">
            <v>PY1671-INFRATA LIMITED - PROYECTO - ENTIDADES FINANCIADORAS</v>
          </cell>
          <cell r="B114" t="str">
            <v>Ejecución</v>
          </cell>
          <cell r="C114" t="str">
            <v>21</v>
          </cell>
          <cell r="D114" t="str">
            <v>M. Ambiente</v>
          </cell>
          <cell r="E114" t="str">
            <v xml:space="preserve">JPATIÑO   </v>
          </cell>
          <cell r="F114">
            <v>26272.7</v>
          </cell>
          <cell r="G114">
            <v>14610.699000000001</v>
          </cell>
          <cell r="I114">
            <v>14610.699000000001</v>
          </cell>
          <cell r="J114">
            <v>3798.0906424999998</v>
          </cell>
          <cell r="K114">
            <v>0</v>
          </cell>
          <cell r="L114">
            <v>6.6000000000000005</v>
          </cell>
          <cell r="M114">
            <v>18415.389642499998</v>
          </cell>
          <cell r="N114">
            <v>14610.699000000001</v>
          </cell>
          <cell r="O114">
            <v>-3804.6906424999979</v>
          </cell>
          <cell r="P114">
            <v>14617.298999999999</v>
          </cell>
          <cell r="Q114">
            <v>6.5999999999985448</v>
          </cell>
          <cell r="R114">
            <v>11662.001</v>
          </cell>
          <cell r="T114">
            <v>0</v>
          </cell>
          <cell r="U114">
            <v>14610.699000000001</v>
          </cell>
          <cell r="V114">
            <v>0</v>
          </cell>
          <cell r="W114" t="str">
            <v>No información.</v>
          </cell>
        </row>
        <row r="115">
          <cell r="A115" t="str">
            <v>PY1685-UPME - PALANQUE 230 KV</v>
          </cell>
          <cell r="B115" t="str">
            <v>Ejecución</v>
          </cell>
          <cell r="C115" t="str">
            <v>21</v>
          </cell>
          <cell r="D115" t="str">
            <v>Energía</v>
          </cell>
          <cell r="E115" t="str">
            <v xml:space="preserve">SVALENCIA </v>
          </cell>
          <cell r="F115">
            <v>363400</v>
          </cell>
          <cell r="G115">
            <v>15322.271000000001</v>
          </cell>
          <cell r="I115">
            <v>15322.271000000001</v>
          </cell>
          <cell r="J115">
            <v>6110.8307200000008</v>
          </cell>
          <cell r="K115">
            <v>0</v>
          </cell>
          <cell r="L115">
            <v>1105.069</v>
          </cell>
          <cell r="M115">
            <v>22538.170720000002</v>
          </cell>
          <cell r="N115">
            <v>15322.271000000001</v>
          </cell>
          <cell r="O115">
            <v>-7215.8997200000013</v>
          </cell>
          <cell r="P115">
            <v>16427.34</v>
          </cell>
          <cell r="Q115">
            <v>1105.0689999999995</v>
          </cell>
          <cell r="R115">
            <v>348077.72899999999</v>
          </cell>
          <cell r="T115">
            <v>0</v>
          </cell>
          <cell r="U115">
            <v>15322.271000000001</v>
          </cell>
          <cell r="V115">
            <v>0</v>
          </cell>
          <cell r="W115" t="str">
            <v xml:space="preserve">Proyecto en ejecución OK. SIN Cartera </v>
          </cell>
        </row>
        <row r="116">
          <cell r="A116" t="str">
            <v>PY1707-INFRATA-CONCESION MULALO – LOBO GUERRERO</v>
          </cell>
          <cell r="B116" t="str">
            <v>Ejecución</v>
          </cell>
          <cell r="C116" t="str">
            <v>21</v>
          </cell>
          <cell r="D116" t="str">
            <v>M. Ambiente</v>
          </cell>
          <cell r="E116" t="str">
            <v xml:space="preserve">JPATIÑO   </v>
          </cell>
          <cell r="F116">
            <v>24528.208999999999</v>
          </cell>
          <cell r="G116">
            <v>1375.537</v>
          </cell>
          <cell r="I116">
            <v>1375.537</v>
          </cell>
          <cell r="J116">
            <v>1375.5368430000001</v>
          </cell>
          <cell r="K116">
            <v>0</v>
          </cell>
          <cell r="L116">
            <v>0</v>
          </cell>
          <cell r="M116">
            <v>2751.0738430000001</v>
          </cell>
          <cell r="N116">
            <v>1375.537</v>
          </cell>
          <cell r="O116">
            <v>-1375.5368430000001</v>
          </cell>
          <cell r="P116">
            <v>1375.537</v>
          </cell>
          <cell r="Q116">
            <v>0</v>
          </cell>
          <cell r="R116">
            <v>23152.671999999999</v>
          </cell>
          <cell r="T116">
            <v>0</v>
          </cell>
          <cell r="U116">
            <v>1375.537</v>
          </cell>
          <cell r="V116">
            <v>0</v>
          </cell>
          <cell r="W116" t="str">
            <v>No información.</v>
          </cell>
        </row>
        <row r="117">
          <cell r="A117" t="str">
            <v>PY1716-INS.CANCEROLOGICO-D-062-GAICA Y AGUAS LLUVIAS</v>
          </cell>
          <cell r="B117" t="str">
            <v>Ejecución</v>
          </cell>
          <cell r="C117" t="str">
            <v>21</v>
          </cell>
          <cell r="D117" t="str">
            <v>Edificaciones</v>
          </cell>
          <cell r="E117" t="str">
            <v xml:space="preserve">DGOMEZ    </v>
          </cell>
          <cell r="F117">
            <v>18144.525000000001</v>
          </cell>
          <cell r="G117">
            <v>0</v>
          </cell>
          <cell r="I117">
            <v>0</v>
          </cell>
          <cell r="J117">
            <v>0</v>
          </cell>
          <cell r="K117">
            <v>0</v>
          </cell>
          <cell r="L117">
            <v>0</v>
          </cell>
          <cell r="M117">
            <v>0</v>
          </cell>
          <cell r="N117">
            <v>0</v>
          </cell>
          <cell r="O117">
            <v>0</v>
          </cell>
          <cell r="P117">
            <v>0</v>
          </cell>
          <cell r="Q117">
            <v>0</v>
          </cell>
          <cell r="R117">
            <v>18144.525000000001</v>
          </cell>
          <cell r="T117">
            <v>0</v>
          </cell>
          <cell r="U117">
            <v>0</v>
          </cell>
          <cell r="V117">
            <v>0</v>
          </cell>
          <cell r="W117" t="str">
            <v>No información.</v>
          </cell>
        </row>
        <row r="118">
          <cell r="A118" t="str">
            <v>PY1719-GRUPO ARGOS-BANYANG TREE-ANGSANA TAYRONA</v>
          </cell>
          <cell r="B118" t="str">
            <v>Ejecución</v>
          </cell>
          <cell r="C118" t="str">
            <v>22</v>
          </cell>
          <cell r="D118" t="str">
            <v>Edificaciones</v>
          </cell>
          <cell r="E118" t="str">
            <v xml:space="preserve">NDECASTRO </v>
          </cell>
          <cell r="F118">
            <v>69000</v>
          </cell>
          <cell r="G118">
            <v>7125</v>
          </cell>
          <cell r="I118">
            <v>7125</v>
          </cell>
          <cell r="J118">
            <v>4947.7058024999997</v>
          </cell>
          <cell r="K118">
            <v>0</v>
          </cell>
          <cell r="L118">
            <v>27</v>
          </cell>
          <cell r="M118">
            <v>12099.705802500001</v>
          </cell>
          <cell r="N118">
            <v>7125</v>
          </cell>
          <cell r="O118">
            <v>-4974.7058025000006</v>
          </cell>
          <cell r="P118">
            <v>7152</v>
          </cell>
          <cell r="Q118">
            <v>27</v>
          </cell>
          <cell r="R118">
            <v>61875</v>
          </cell>
          <cell r="T118">
            <v>7500</v>
          </cell>
          <cell r="U118">
            <v>-375</v>
          </cell>
          <cell r="V118">
            <v>7875</v>
          </cell>
          <cell r="W118" t="str">
            <v>No información.</v>
          </cell>
        </row>
        <row r="119">
          <cell r="A119" t="str">
            <v>PY1737-SUPERVISIÓN RED DE DISTRIBUCIÓN COMBUSTIBLE</v>
          </cell>
          <cell r="B119" t="str">
            <v>Ejecución</v>
          </cell>
          <cell r="C119" t="str">
            <v>21</v>
          </cell>
          <cell r="D119" t="str">
            <v>Oil &amp; Gas</v>
          </cell>
          <cell r="E119" t="str">
            <v xml:space="preserve">SMARTINEZ </v>
          </cell>
          <cell r="F119">
            <v>185669.4</v>
          </cell>
          <cell r="G119">
            <v>0</v>
          </cell>
          <cell r="I119">
            <v>0</v>
          </cell>
          <cell r="J119">
            <v>0</v>
          </cell>
          <cell r="K119">
            <v>0</v>
          </cell>
          <cell r="L119">
            <v>0</v>
          </cell>
          <cell r="M119">
            <v>0</v>
          </cell>
          <cell r="N119">
            <v>0</v>
          </cell>
          <cell r="O119">
            <v>0</v>
          </cell>
          <cell r="P119">
            <v>0</v>
          </cell>
          <cell r="Q119">
            <v>0</v>
          </cell>
          <cell r="R119">
            <v>185669.4</v>
          </cell>
          <cell r="T119">
            <v>0</v>
          </cell>
          <cell r="U119">
            <v>0</v>
          </cell>
          <cell r="V119">
            <v>0</v>
          </cell>
          <cell r="W119" t="str">
            <v>No información.</v>
          </cell>
        </row>
        <row r="120">
          <cell r="A120" t="str">
            <v>PY1745-PLAN DE APROVECHAMIENTO FORESTAL VÍA DE ACCESO PROYECTO APOLO</v>
          </cell>
          <cell r="B120" t="str">
            <v>Ejecución</v>
          </cell>
          <cell r="C120" t="str">
            <v>21</v>
          </cell>
          <cell r="D120" t="str">
            <v>M. Ambiente</v>
          </cell>
          <cell r="E120" t="str">
            <v xml:space="preserve">LSERRATO  </v>
          </cell>
          <cell r="F120">
            <v>44975.847999999998</v>
          </cell>
          <cell r="G120">
            <v>1096.2429999999999</v>
          </cell>
          <cell r="I120">
            <v>1096.2429999999999</v>
          </cell>
          <cell r="J120">
            <v>1096.24269</v>
          </cell>
          <cell r="K120">
            <v>0</v>
          </cell>
          <cell r="L120">
            <v>0</v>
          </cell>
          <cell r="M120">
            <v>2192.48569</v>
          </cell>
          <cell r="N120">
            <v>1096.2429999999999</v>
          </cell>
          <cell r="O120">
            <v>-1096.24269</v>
          </cell>
          <cell r="P120">
            <v>1096.2429999999999</v>
          </cell>
          <cell r="Q120">
            <v>0</v>
          </cell>
          <cell r="R120">
            <v>43879.604999999996</v>
          </cell>
          <cell r="T120">
            <v>0</v>
          </cell>
          <cell r="U120">
            <v>1096.2429999999999</v>
          </cell>
          <cell r="V120">
            <v>0</v>
          </cell>
          <cell r="W120" t="str">
            <v>No información.</v>
          </cell>
        </row>
        <row r="121">
          <cell r="A121" t="str">
            <v>IN1000-ENEE HONDURAS, SUPERVISION DE DISEÑO</v>
          </cell>
          <cell r="B121" t="str">
            <v>Cierre</v>
          </cell>
          <cell r="C121" t="str">
            <v>22</v>
          </cell>
          <cell r="D121" t="str">
            <v>Energía</v>
          </cell>
          <cell r="E121" t="str">
            <v>MRODRIGUEZ</v>
          </cell>
          <cell r="F121">
            <v>0</v>
          </cell>
          <cell r="G121">
            <v>379435.86091000005</v>
          </cell>
          <cell r="I121">
            <v>379435.86091000005</v>
          </cell>
          <cell r="J121">
            <v>0</v>
          </cell>
          <cell r="K121">
            <v>0</v>
          </cell>
          <cell r="L121">
            <v>0</v>
          </cell>
          <cell r="M121">
            <v>379435.86091000005</v>
          </cell>
          <cell r="N121">
            <v>379435.86091000005</v>
          </cell>
          <cell r="O121">
            <v>0</v>
          </cell>
          <cell r="P121">
            <v>379435.86091000005</v>
          </cell>
          <cell r="Q121">
            <v>0</v>
          </cell>
          <cell r="R121">
            <v>-379435.86091000005</v>
          </cell>
          <cell r="T121">
            <v>436286.11832000001</v>
          </cell>
          <cell r="U121">
            <v>0</v>
          </cell>
          <cell r="V121">
            <v>0</v>
          </cell>
          <cell r="W121" t="str">
            <v>No información.</v>
          </cell>
        </row>
        <row r="122">
          <cell r="A122" t="str">
            <v>IN1001-INFOM OBRAS PARA LAS COMUNIDADES HISTA Y MAMSOHUE</v>
          </cell>
          <cell r="B122" t="str">
            <v>Cierre</v>
          </cell>
          <cell r="C122" t="str">
            <v>21</v>
          </cell>
          <cell r="D122" t="str">
            <v>Transporte</v>
          </cell>
          <cell r="E122" t="str">
            <v xml:space="preserve">CRENGIFO  </v>
          </cell>
          <cell r="F122">
            <v>0</v>
          </cell>
          <cell r="G122">
            <v>0</v>
          </cell>
          <cell r="I122">
            <v>0</v>
          </cell>
          <cell r="J122">
            <v>0</v>
          </cell>
          <cell r="K122">
            <v>0</v>
          </cell>
          <cell r="L122">
            <v>0</v>
          </cell>
          <cell r="M122">
            <v>0</v>
          </cell>
          <cell r="N122">
            <v>0</v>
          </cell>
          <cell r="O122">
            <v>0</v>
          </cell>
          <cell r="P122">
            <v>0</v>
          </cell>
          <cell r="Q122">
            <v>0</v>
          </cell>
          <cell r="R122">
            <v>0</v>
          </cell>
          <cell r="T122">
            <v>0</v>
          </cell>
          <cell r="U122">
            <v>163678.614</v>
          </cell>
          <cell r="V122">
            <v>0</v>
          </cell>
          <cell r="W122" t="str">
            <v>INFOM obras p/comunidades HISTA (Clara Inés Rengifo) reclamación en Guatemala</v>
          </cell>
        </row>
        <row r="123">
          <cell r="A123" t="str">
            <v>IN1014-WSP CARIBBEAN-145-12376-E-D ACUSTICA AUDI TRINIDAD</v>
          </cell>
          <cell r="B123" t="str">
            <v>Cierre</v>
          </cell>
          <cell r="C123" t="str">
            <v>23</v>
          </cell>
          <cell r="D123" t="str">
            <v>Edificaciones</v>
          </cell>
          <cell r="E123" t="str">
            <v>RFERNANDEZ</v>
          </cell>
          <cell r="F123">
            <v>0</v>
          </cell>
          <cell r="G123">
            <v>56492.525000000001</v>
          </cell>
          <cell r="I123">
            <v>56492.525000000001</v>
          </cell>
          <cell r="J123">
            <v>0</v>
          </cell>
          <cell r="K123">
            <v>0</v>
          </cell>
          <cell r="L123">
            <v>0</v>
          </cell>
          <cell r="M123">
            <v>56492.525000000001</v>
          </cell>
          <cell r="N123">
            <v>56492.525000000001</v>
          </cell>
          <cell r="O123">
            <v>0</v>
          </cell>
          <cell r="P123">
            <v>56492.525000000001</v>
          </cell>
          <cell r="Q123">
            <v>0</v>
          </cell>
          <cell r="R123">
            <v>-56492.525000000001</v>
          </cell>
          <cell r="T123">
            <v>56492.525000000001</v>
          </cell>
          <cell r="U123">
            <v>0</v>
          </cell>
          <cell r="V123">
            <v>0</v>
          </cell>
          <cell r="W123" t="str">
            <v>No información.</v>
          </cell>
        </row>
        <row r="124">
          <cell r="A124" t="str">
            <v>IN1025-GAS NATURAL_C_INVENTARIO PANAMA</v>
          </cell>
          <cell r="B124" t="str">
            <v>Cierre</v>
          </cell>
          <cell r="C124" t="str">
            <v>22</v>
          </cell>
          <cell r="D124" t="str">
            <v>Energía</v>
          </cell>
          <cell r="E124" t="str">
            <v xml:space="preserve">LTRIANA   </v>
          </cell>
          <cell r="F124">
            <v>288245.46299999999</v>
          </cell>
          <cell r="G124">
            <v>276999.11877</v>
          </cell>
          <cell r="I124">
            <v>276999.11877</v>
          </cell>
          <cell r="J124">
            <v>0</v>
          </cell>
          <cell r="K124">
            <v>0</v>
          </cell>
          <cell r="L124">
            <v>0</v>
          </cell>
          <cell r="M124">
            <v>276999.11877</v>
          </cell>
          <cell r="N124">
            <v>276999.11877</v>
          </cell>
          <cell r="O124">
            <v>0</v>
          </cell>
          <cell r="P124">
            <v>276999.11877</v>
          </cell>
          <cell r="Q124">
            <v>0</v>
          </cell>
          <cell r="R124">
            <v>11246.344229999988</v>
          </cell>
          <cell r="T124">
            <v>325631.15727999998</v>
          </cell>
          <cell r="U124">
            <v>-48632.038509999998</v>
          </cell>
          <cell r="V124">
            <v>0</v>
          </cell>
          <cell r="W124" t="str">
            <v>WIP negativo causado por la Tasa de Cambio actual que es mayor a la usada en el presupuesto del proyecto; sólo se reversa al finalizar el proyecto.</v>
          </cell>
        </row>
        <row r="125">
          <cell r="A125" t="str">
            <v>PY1000-CENS MANTENIMIENTO CORREDORES DE SERVIDUMBRE</v>
          </cell>
          <cell r="B125" t="str">
            <v>Cierre</v>
          </cell>
          <cell r="C125" t="str">
            <v>21</v>
          </cell>
          <cell r="D125" t="str">
            <v>M. Ambiente</v>
          </cell>
          <cell r="E125" t="str">
            <v xml:space="preserve">SGOMEZ    </v>
          </cell>
          <cell r="F125">
            <v>319830.54700000002</v>
          </cell>
          <cell r="G125">
            <v>347639.83299999998</v>
          </cell>
          <cell r="I125">
            <v>347639.83299999998</v>
          </cell>
          <cell r="J125">
            <v>0</v>
          </cell>
          <cell r="K125">
            <v>0</v>
          </cell>
          <cell r="L125">
            <v>0</v>
          </cell>
          <cell r="M125">
            <v>347639.83299999998</v>
          </cell>
          <cell r="N125">
            <v>347639.83299999998</v>
          </cell>
          <cell r="O125">
            <v>0</v>
          </cell>
          <cell r="P125">
            <v>347639.83299999998</v>
          </cell>
          <cell r="Q125">
            <v>0</v>
          </cell>
          <cell r="R125">
            <v>-27809.285999999964</v>
          </cell>
          <cell r="T125">
            <v>319830.54700000002</v>
          </cell>
          <cell r="U125">
            <v>27809.286</v>
          </cell>
          <cell r="V125">
            <v>0</v>
          </cell>
          <cell r="W125" t="str">
            <v>No información.</v>
          </cell>
        </row>
        <row r="126">
          <cell r="A126" t="str">
            <v>PY1001-CENS GRUPO 1 ZONAS (1,3 Y 4)</v>
          </cell>
          <cell r="B126" t="str">
            <v>Cierre</v>
          </cell>
          <cell r="C126" t="str">
            <v>21</v>
          </cell>
          <cell r="D126" t="str">
            <v>Energía</v>
          </cell>
          <cell r="E126" t="str">
            <v xml:space="preserve">LREY      </v>
          </cell>
          <cell r="F126">
            <v>0</v>
          </cell>
          <cell r="G126">
            <v>654885</v>
          </cell>
          <cell r="I126">
            <v>654885</v>
          </cell>
          <cell r="J126">
            <v>0</v>
          </cell>
          <cell r="K126">
            <v>0</v>
          </cell>
          <cell r="L126">
            <v>0</v>
          </cell>
          <cell r="M126">
            <v>654885</v>
          </cell>
          <cell r="N126">
            <v>654885</v>
          </cell>
          <cell r="O126">
            <v>0</v>
          </cell>
          <cell r="P126">
            <v>654885</v>
          </cell>
          <cell r="Q126">
            <v>0</v>
          </cell>
          <cell r="R126">
            <v>-654885</v>
          </cell>
          <cell r="T126">
            <v>605229.30000000005</v>
          </cell>
          <cell r="U126">
            <v>49655.7</v>
          </cell>
          <cell r="V126">
            <v>0</v>
          </cell>
          <cell r="W126" t="str">
            <v>No información.</v>
          </cell>
        </row>
        <row r="127">
          <cell r="A127" t="str">
            <v>PY1003-CODENSA IPAL</v>
          </cell>
          <cell r="B127" t="str">
            <v>Cierre</v>
          </cell>
          <cell r="C127" t="str">
            <v>21</v>
          </cell>
          <cell r="D127" t="str">
            <v>Energía</v>
          </cell>
          <cell r="E127" t="str">
            <v xml:space="preserve">LREY      </v>
          </cell>
          <cell r="F127">
            <v>1690158.75</v>
          </cell>
          <cell r="G127">
            <v>1518934.0930000001</v>
          </cell>
          <cell r="I127">
            <v>1518934.0930000001</v>
          </cell>
          <cell r="J127">
            <v>0</v>
          </cell>
          <cell r="K127">
            <v>0</v>
          </cell>
          <cell r="L127">
            <v>0</v>
          </cell>
          <cell r="M127">
            <v>1518934.0930000001</v>
          </cell>
          <cell r="N127">
            <v>1518934.0930000001</v>
          </cell>
          <cell r="O127">
            <v>0</v>
          </cell>
          <cell r="P127">
            <v>1518934.0930000001</v>
          </cell>
          <cell r="Q127">
            <v>0</v>
          </cell>
          <cell r="R127">
            <v>171224.65699999989</v>
          </cell>
          <cell r="T127">
            <v>1546911.7450000001</v>
          </cell>
          <cell r="U127">
            <v>19448.825829999998</v>
          </cell>
          <cell r="V127">
            <v>0</v>
          </cell>
          <cell r="W127" t="str">
            <v>No información.</v>
          </cell>
        </row>
        <row r="128">
          <cell r="A128" t="str">
            <v>PY1007-CODENSA BANCO II</v>
          </cell>
          <cell r="B128" t="str">
            <v>Cierre</v>
          </cell>
          <cell r="C128" t="str">
            <v>21</v>
          </cell>
          <cell r="D128" t="str">
            <v>Energía</v>
          </cell>
          <cell r="E128" t="str">
            <v xml:space="preserve">HNARVAEZ  </v>
          </cell>
          <cell r="F128">
            <v>259094.842</v>
          </cell>
          <cell r="G128">
            <v>255757.38</v>
          </cell>
          <cell r="I128">
            <v>255757.38</v>
          </cell>
          <cell r="J128">
            <v>0</v>
          </cell>
          <cell r="K128">
            <v>0</v>
          </cell>
          <cell r="L128">
            <v>0</v>
          </cell>
          <cell r="M128">
            <v>255757.38</v>
          </cell>
          <cell r="N128">
            <v>255757.38</v>
          </cell>
          <cell r="O128">
            <v>0</v>
          </cell>
          <cell r="P128">
            <v>255757.38</v>
          </cell>
          <cell r="Q128">
            <v>0</v>
          </cell>
          <cell r="R128">
            <v>3337.4619999999995</v>
          </cell>
          <cell r="T128">
            <v>255757.38</v>
          </cell>
          <cell r="U128">
            <v>0</v>
          </cell>
          <cell r="V128">
            <v>0</v>
          </cell>
          <cell r="W128" t="str">
            <v>No información.</v>
          </cell>
        </row>
        <row r="129">
          <cell r="A129" t="str">
            <v>PY1011-CEO FAER II - 101</v>
          </cell>
          <cell r="B129" t="str">
            <v>Cierre</v>
          </cell>
          <cell r="C129" t="str">
            <v>24</v>
          </cell>
          <cell r="D129" t="str">
            <v>Energía</v>
          </cell>
          <cell r="E129" t="str">
            <v xml:space="preserve">EVELANDIA </v>
          </cell>
          <cell r="F129">
            <v>536253.99300000002</v>
          </cell>
          <cell r="G129">
            <v>537573.28983999998</v>
          </cell>
          <cell r="I129">
            <v>537573.28983999998</v>
          </cell>
          <cell r="J129">
            <v>0</v>
          </cell>
          <cell r="K129">
            <v>0</v>
          </cell>
          <cell r="L129">
            <v>14.196</v>
          </cell>
          <cell r="M129">
            <v>537587.48583999998</v>
          </cell>
          <cell r="N129">
            <v>537573.28983999998</v>
          </cell>
          <cell r="O129">
            <v>-14.195999999996275</v>
          </cell>
          <cell r="P129">
            <v>537587.48583999998</v>
          </cell>
          <cell r="Q129">
            <v>14.195999999996275</v>
          </cell>
          <cell r="R129">
            <v>-1319.2968399999663</v>
          </cell>
          <cell r="S129">
            <v>0</v>
          </cell>
          <cell r="T129">
            <v>536253.98899999994</v>
          </cell>
          <cell r="U129">
            <v>-259.28199999999998</v>
          </cell>
          <cell r="V129">
            <v>18481.793000000001</v>
          </cell>
          <cell r="W129" t="str">
            <v>El proyecto ya finalizó y se encuentra en etapa de liquidación con el cliente y no ejecuta costos. Pendiente una factura por 17,6 MCOP.</v>
          </cell>
        </row>
        <row r="130">
          <cell r="A130" t="str">
            <v>PY1012-ESTUDIOS DISEÑOS BOSA</v>
          </cell>
          <cell r="B130" t="str">
            <v>Cierre</v>
          </cell>
          <cell r="C130" t="str">
            <v>21</v>
          </cell>
          <cell r="D130" t="str">
            <v>Edificaciones</v>
          </cell>
          <cell r="E130" t="str">
            <v xml:space="preserve">DGOMEZ    </v>
          </cell>
          <cell r="F130">
            <v>291502.2</v>
          </cell>
          <cell r="G130">
            <v>291858.46399999998</v>
          </cell>
          <cell r="I130">
            <v>291858.46399999998</v>
          </cell>
          <cell r="J130">
            <v>0</v>
          </cell>
          <cell r="K130">
            <v>0</v>
          </cell>
          <cell r="L130">
            <v>0</v>
          </cell>
          <cell r="M130">
            <v>291858.46399999998</v>
          </cell>
          <cell r="N130">
            <v>291858.46399999998</v>
          </cell>
          <cell r="O130">
            <v>0</v>
          </cell>
          <cell r="P130">
            <v>291858.46399999998</v>
          </cell>
          <cell r="Q130">
            <v>0</v>
          </cell>
          <cell r="R130">
            <v>-356.26399999996647</v>
          </cell>
          <cell r="T130">
            <v>291502.2</v>
          </cell>
          <cell r="U130">
            <v>0</v>
          </cell>
          <cell r="V130">
            <v>180077.31</v>
          </cell>
          <cell r="W130" t="str">
            <v>BOSA: proyecto en fase de liquidación, se espera facturación en junio.
El cliente devolvió la factura, dicen que hasta dentro de 3 meses se puede volver a facturar!.</v>
          </cell>
        </row>
        <row r="131">
          <cell r="A131" t="str">
            <v>PY1014-D-I-OBRAS DE DESARROLLO DE ALTA TENSIÓN</v>
          </cell>
          <cell r="B131" t="str">
            <v>Cierre</v>
          </cell>
          <cell r="C131" t="str">
            <v>22</v>
          </cell>
          <cell r="D131" t="str">
            <v>Energía</v>
          </cell>
          <cell r="E131" t="str">
            <v xml:space="preserve">LTRIANA   </v>
          </cell>
          <cell r="F131">
            <v>5311692.7639999995</v>
          </cell>
          <cell r="G131">
            <v>5311692.7639999995</v>
          </cell>
          <cell r="I131">
            <v>5311692.7639999995</v>
          </cell>
          <cell r="J131">
            <v>0</v>
          </cell>
          <cell r="K131">
            <v>0</v>
          </cell>
          <cell r="L131">
            <v>0</v>
          </cell>
          <cell r="M131">
            <v>5311692.7639999995</v>
          </cell>
          <cell r="N131">
            <v>5311692.7639999995</v>
          </cell>
          <cell r="O131">
            <v>0</v>
          </cell>
          <cell r="P131">
            <v>5311692.7639999995</v>
          </cell>
          <cell r="Q131">
            <v>0</v>
          </cell>
          <cell r="R131">
            <v>0</v>
          </cell>
          <cell r="T131">
            <v>5311692.7639999995</v>
          </cell>
          <cell r="U131">
            <v>0</v>
          </cell>
          <cell r="V131">
            <v>1E-3</v>
          </cell>
          <cell r="W131" t="str">
            <v>No información.</v>
          </cell>
        </row>
        <row r="132">
          <cell r="A132" t="str">
            <v>PY1017-INVENTARIO DE ALMACENES</v>
          </cell>
          <cell r="B132" t="str">
            <v>Cierre</v>
          </cell>
          <cell r="C132" t="str">
            <v>22</v>
          </cell>
          <cell r="D132" t="str">
            <v>Energía</v>
          </cell>
          <cell r="E132" t="str">
            <v xml:space="preserve">LTRIANA   </v>
          </cell>
          <cell r="F132">
            <v>351640.53700000001</v>
          </cell>
          <cell r="G132">
            <v>351640.53700000001</v>
          </cell>
          <cell r="I132">
            <v>351640.53700000001</v>
          </cell>
          <cell r="J132">
            <v>0</v>
          </cell>
          <cell r="K132">
            <v>0</v>
          </cell>
          <cell r="L132">
            <v>0</v>
          </cell>
          <cell r="M132">
            <v>351640.53700000001</v>
          </cell>
          <cell r="N132">
            <v>351640.53700000001</v>
          </cell>
          <cell r="O132">
            <v>0</v>
          </cell>
          <cell r="P132">
            <v>351640.53700000001</v>
          </cell>
          <cell r="Q132">
            <v>0</v>
          </cell>
          <cell r="R132">
            <v>0</v>
          </cell>
          <cell r="T132">
            <v>351640.53700000001</v>
          </cell>
          <cell r="U132">
            <v>0</v>
          </cell>
          <cell r="V132">
            <v>0</v>
          </cell>
          <cell r="W132" t="str">
            <v>No información.</v>
          </cell>
        </row>
        <row r="133">
          <cell r="A133" t="str">
            <v>PY1019-ELECTROHUILA BETANIA</v>
          </cell>
          <cell r="B133" t="str">
            <v>Cierre</v>
          </cell>
          <cell r="C133" t="str">
            <v>21</v>
          </cell>
          <cell r="D133" t="str">
            <v>Energía</v>
          </cell>
          <cell r="E133" t="str">
            <v xml:space="preserve">HNARVAEZ  </v>
          </cell>
          <cell r="F133">
            <v>1396146.55</v>
          </cell>
          <cell r="G133">
            <v>38086.877999999997</v>
          </cell>
          <cell r="I133">
            <v>38086.877999999997</v>
          </cell>
          <cell r="J133">
            <v>0</v>
          </cell>
          <cell r="K133">
            <v>0</v>
          </cell>
          <cell r="L133">
            <v>0</v>
          </cell>
          <cell r="M133">
            <v>38086.877999999997</v>
          </cell>
          <cell r="N133">
            <v>38086.877999999997</v>
          </cell>
          <cell r="O133">
            <v>0</v>
          </cell>
          <cell r="P133">
            <v>38086.877999999997</v>
          </cell>
          <cell r="Q133">
            <v>0</v>
          </cell>
          <cell r="R133">
            <v>1358059.672</v>
          </cell>
          <cell r="T133">
            <v>41884.394999999997</v>
          </cell>
          <cell r="U133">
            <v>0</v>
          </cell>
          <cell r="V133">
            <v>0</v>
          </cell>
          <cell r="W133" t="str">
            <v>No información.</v>
          </cell>
        </row>
        <row r="134">
          <cell r="A134" t="str">
            <v>PY1020-ELECTROHUILA S/E HOBO</v>
          </cell>
          <cell r="B134" t="str">
            <v>Cierre</v>
          </cell>
          <cell r="C134" t="str">
            <v>21</v>
          </cell>
          <cell r="D134" t="str">
            <v>Energía</v>
          </cell>
          <cell r="E134" t="str">
            <v>CVELASQUEZ</v>
          </cell>
          <cell r="F134">
            <v>531691.21299999999</v>
          </cell>
          <cell r="G134">
            <v>442591.21292999998</v>
          </cell>
          <cell r="I134">
            <v>442591.21292999998</v>
          </cell>
          <cell r="J134">
            <v>0</v>
          </cell>
          <cell r="K134">
            <v>0</v>
          </cell>
          <cell r="L134">
            <v>0</v>
          </cell>
          <cell r="M134">
            <v>442591.21292999998</v>
          </cell>
          <cell r="N134">
            <v>442591.21292999998</v>
          </cell>
          <cell r="O134">
            <v>0</v>
          </cell>
          <cell r="P134">
            <v>442591.21292999998</v>
          </cell>
          <cell r="Q134">
            <v>0</v>
          </cell>
          <cell r="R134">
            <v>89100.000070000009</v>
          </cell>
          <cell r="T134">
            <v>531691.21299999999</v>
          </cell>
          <cell r="U134">
            <v>2.99993</v>
          </cell>
          <cell r="V134">
            <v>0</v>
          </cell>
          <cell r="W134" t="str">
            <v>No información.</v>
          </cell>
        </row>
        <row r="135">
          <cell r="A135" t="str">
            <v>PY1022-ASOLLANOS DE LA VIRGEN</v>
          </cell>
          <cell r="B135" t="str">
            <v>Cierre</v>
          </cell>
          <cell r="C135" t="str">
            <v>21</v>
          </cell>
          <cell r="D135" t="str">
            <v>I. Municipal</v>
          </cell>
          <cell r="E135" t="str">
            <v xml:space="preserve">RANZOLA   </v>
          </cell>
          <cell r="F135">
            <v>863365.51799999992</v>
          </cell>
          <cell r="G135">
            <v>863375.50799999991</v>
          </cell>
          <cell r="I135">
            <v>863375.50799999991</v>
          </cell>
          <cell r="J135">
            <v>0</v>
          </cell>
          <cell r="K135">
            <v>0</v>
          </cell>
          <cell r="L135">
            <v>0</v>
          </cell>
          <cell r="M135">
            <v>863375.50799999991</v>
          </cell>
          <cell r="N135">
            <v>863375.50799999991</v>
          </cell>
          <cell r="O135">
            <v>0</v>
          </cell>
          <cell r="P135">
            <v>863375.50799999991</v>
          </cell>
          <cell r="Q135">
            <v>0</v>
          </cell>
          <cell r="R135">
            <v>-9.9899999999906868</v>
          </cell>
          <cell r="T135">
            <v>991826.60099999991</v>
          </cell>
          <cell r="U135">
            <v>0</v>
          </cell>
          <cell r="V135">
            <v>0</v>
          </cell>
          <cell r="W135" t="str">
            <v>Terminar proyecto en Agresso?
Proyecto en etapa de reunión de cierre.</v>
          </cell>
        </row>
        <row r="136">
          <cell r="A136" t="str">
            <v>PY1026-I-LINEAS DE TRANSMISIÓN, GRUPO 02</v>
          </cell>
          <cell r="B136" t="str">
            <v>Cierre</v>
          </cell>
          <cell r="C136" t="str">
            <v>23</v>
          </cell>
          <cell r="D136" t="str">
            <v>Energía</v>
          </cell>
          <cell r="E136" t="str">
            <v xml:space="preserve">GMONTOYA  </v>
          </cell>
          <cell r="F136">
            <v>18844.863000000001</v>
          </cell>
          <cell r="G136">
            <v>18844.864000000001</v>
          </cell>
          <cell r="I136">
            <v>18844.864000000001</v>
          </cell>
          <cell r="J136">
            <v>0</v>
          </cell>
          <cell r="K136">
            <v>0</v>
          </cell>
          <cell r="L136">
            <v>0</v>
          </cell>
          <cell r="M136">
            <v>18844.864000000001</v>
          </cell>
          <cell r="N136">
            <v>18844.864000000001</v>
          </cell>
          <cell r="O136">
            <v>0</v>
          </cell>
          <cell r="P136">
            <v>18844.864000000001</v>
          </cell>
          <cell r="Q136">
            <v>0</v>
          </cell>
          <cell r="R136">
            <v>-1.0000000002037268E-3</v>
          </cell>
          <cell r="T136">
            <v>62883.421270000006</v>
          </cell>
          <cell r="U136">
            <v>-2.7E-4</v>
          </cell>
          <cell r="V136">
            <v>0</v>
          </cell>
          <cell r="W136" t="str">
            <v>Proyecto cancelado por el cliente, finalizado y liquidado; no hay pendientes.</v>
          </cell>
        </row>
        <row r="137">
          <cell r="A137" t="str">
            <v>PY1028-EPM EL SALTO YARUMAL</v>
          </cell>
          <cell r="B137" t="str">
            <v>Cierre</v>
          </cell>
          <cell r="C137" t="str">
            <v>23</v>
          </cell>
          <cell r="D137" t="str">
            <v>Energía</v>
          </cell>
          <cell r="E137" t="str">
            <v xml:space="preserve">GMONTOYA  </v>
          </cell>
          <cell r="F137">
            <v>532672.53500000003</v>
          </cell>
          <cell r="G137">
            <v>708037.12691999995</v>
          </cell>
          <cell r="I137">
            <v>708037.12691999995</v>
          </cell>
          <cell r="J137">
            <v>0</v>
          </cell>
          <cell r="K137">
            <v>0</v>
          </cell>
          <cell r="L137">
            <v>0</v>
          </cell>
          <cell r="M137">
            <v>708037.12691999995</v>
          </cell>
          <cell r="N137">
            <v>708037.12691999995</v>
          </cell>
          <cell r="O137">
            <v>0</v>
          </cell>
          <cell r="P137">
            <v>708037.12691999995</v>
          </cell>
          <cell r="Q137">
            <v>0</v>
          </cell>
          <cell r="R137">
            <v>-175364.59191999992</v>
          </cell>
          <cell r="T137">
            <v>638724.53513999993</v>
          </cell>
          <cell r="U137">
            <v>208480.59078</v>
          </cell>
          <cell r="V137">
            <v>0</v>
          </cell>
          <cell r="W137" t="str">
            <v>Este proyecto terminó y facturó todo el trabajo realizado; el WIP real a reversar es de 175.365 MCOP.  Con conciliar con contabilidad que reporta WIP de 208 MCOP</v>
          </cell>
        </row>
        <row r="138">
          <cell r="A138" t="str">
            <v>PY1029-EPM-TE-INT-PUENTE PUERTO SERVIEZ</v>
          </cell>
          <cell r="B138" t="str">
            <v>Cierre</v>
          </cell>
          <cell r="C138" t="str">
            <v>23</v>
          </cell>
          <cell r="D138" t="str">
            <v>Transporte</v>
          </cell>
          <cell r="E138" t="str">
            <v xml:space="preserve">DESCOBAR  </v>
          </cell>
          <cell r="F138">
            <v>428355.723</v>
          </cell>
          <cell r="G138">
            <v>407510.20600000001</v>
          </cell>
          <cell r="I138">
            <v>407510.20600000001</v>
          </cell>
          <cell r="J138">
            <v>0</v>
          </cell>
          <cell r="K138">
            <v>0</v>
          </cell>
          <cell r="L138">
            <v>0</v>
          </cell>
          <cell r="M138">
            <v>407510.20600000001</v>
          </cell>
          <cell r="N138">
            <v>407510.20600000001</v>
          </cell>
          <cell r="O138">
            <v>0</v>
          </cell>
          <cell r="P138">
            <v>407510.20600000001</v>
          </cell>
          <cell r="Q138">
            <v>0</v>
          </cell>
          <cell r="R138">
            <v>20845.516999999993</v>
          </cell>
          <cell r="T138">
            <v>407510.20600000001</v>
          </cell>
          <cell r="U138">
            <v>0</v>
          </cell>
          <cell r="V138">
            <v>0</v>
          </cell>
          <cell r="W138" t="str">
            <v>No información.</v>
          </cell>
        </row>
        <row r="139">
          <cell r="A139" t="str">
            <v>PY1032-EPSA CUCUANA MIROLINDO</v>
          </cell>
          <cell r="B139" t="str">
            <v>Cierre</v>
          </cell>
          <cell r="C139" t="str">
            <v>21</v>
          </cell>
          <cell r="D139" t="str">
            <v>Energía</v>
          </cell>
          <cell r="E139" t="str">
            <v xml:space="preserve">HNARVAEZ  </v>
          </cell>
          <cell r="F139">
            <v>0</v>
          </cell>
          <cell r="G139">
            <v>354125.03600000002</v>
          </cell>
          <cell r="I139">
            <v>354125.03600000002</v>
          </cell>
          <cell r="J139">
            <v>0</v>
          </cell>
          <cell r="K139">
            <v>0</v>
          </cell>
          <cell r="L139">
            <v>0</v>
          </cell>
          <cell r="M139">
            <v>354125.03600000002</v>
          </cell>
          <cell r="N139">
            <v>354125.03600000002</v>
          </cell>
          <cell r="O139">
            <v>0</v>
          </cell>
          <cell r="P139">
            <v>354125.03600000002</v>
          </cell>
          <cell r="Q139">
            <v>0</v>
          </cell>
          <cell r="R139">
            <v>-354125.03600000002</v>
          </cell>
          <cell r="T139">
            <v>416462.36</v>
          </cell>
          <cell r="U139">
            <v>0</v>
          </cell>
          <cell r="V139">
            <v>0</v>
          </cell>
          <cell r="W139" t="str">
            <v>No información.</v>
          </cell>
        </row>
        <row r="140">
          <cell r="A140" t="str">
            <v>PY1034-FINAGRO INTERVENTORIA ZONA 2</v>
          </cell>
          <cell r="B140" t="str">
            <v>Cierre</v>
          </cell>
          <cell r="C140" t="str">
            <v>21</v>
          </cell>
          <cell r="D140" t="str">
            <v>I. Municipal</v>
          </cell>
          <cell r="E140" t="str">
            <v xml:space="preserve">JOJEDA    </v>
          </cell>
          <cell r="F140">
            <v>1302725.6599999999</v>
          </cell>
          <cell r="G140">
            <v>1302725.6599100002</v>
          </cell>
          <cell r="I140">
            <v>1302725.6599100002</v>
          </cell>
          <cell r="J140">
            <v>0</v>
          </cell>
          <cell r="K140">
            <v>0</v>
          </cell>
          <cell r="L140">
            <v>0</v>
          </cell>
          <cell r="M140">
            <v>1302725.6599100002</v>
          </cell>
          <cell r="N140">
            <v>1302725.6599100002</v>
          </cell>
          <cell r="O140">
            <v>0</v>
          </cell>
          <cell r="P140">
            <v>1302725.6599100002</v>
          </cell>
          <cell r="Q140">
            <v>0</v>
          </cell>
          <cell r="R140">
            <v>8.999975398182869E-5</v>
          </cell>
          <cell r="T140">
            <v>1302725.6599999999</v>
          </cell>
          <cell r="U140">
            <v>-8.9999999999999992E-5</v>
          </cell>
          <cell r="V140">
            <v>0</v>
          </cell>
          <cell r="W140" t="str">
            <v>Terminar proyecto en Agresso?
Proyecto en etapa de reunión de cierre.</v>
          </cell>
        </row>
        <row r="141">
          <cell r="A141" t="str">
            <v>PY1035-FINAGRO INTERVENTORIA ZONA 1</v>
          </cell>
          <cell r="B141" t="str">
            <v>Cierre</v>
          </cell>
          <cell r="C141" t="str">
            <v>21</v>
          </cell>
          <cell r="D141" t="str">
            <v>I. Municipal</v>
          </cell>
          <cell r="E141" t="str">
            <v xml:space="preserve">JOJEDA    </v>
          </cell>
          <cell r="F141">
            <v>1150245.6310000001</v>
          </cell>
          <cell r="G141">
            <v>1150245.63164</v>
          </cell>
          <cell r="I141">
            <v>1150245.63164</v>
          </cell>
          <cell r="J141">
            <v>0</v>
          </cell>
          <cell r="K141">
            <v>0</v>
          </cell>
          <cell r="L141">
            <v>0</v>
          </cell>
          <cell r="M141">
            <v>1150245.63164</v>
          </cell>
          <cell r="N141">
            <v>1150245.63164</v>
          </cell>
          <cell r="O141">
            <v>0</v>
          </cell>
          <cell r="P141">
            <v>1150245.63164</v>
          </cell>
          <cell r="Q141">
            <v>0</v>
          </cell>
          <cell r="R141">
            <v>-6.399999838322401E-4</v>
          </cell>
          <cell r="T141">
            <v>1150245.9310000001</v>
          </cell>
          <cell r="U141">
            <v>-5.6000000000000006E-4</v>
          </cell>
          <cell r="V141">
            <v>0</v>
          </cell>
          <cell r="W141" t="str">
            <v>Proyecto en liquidación, se firmo acta de liquidación el 01/06/2016, se factura en Junio/2016, se factura 313 MCOP.
Proyecto en etapa de reunión de cierre.</v>
          </cell>
        </row>
        <row r="142">
          <cell r="A142" t="str">
            <v>PY1037-FINDETER MEGACOLEGIOS 1000-1260</v>
          </cell>
          <cell r="B142" t="str">
            <v>Cierre</v>
          </cell>
          <cell r="C142" t="str">
            <v>21</v>
          </cell>
          <cell r="D142" t="str">
            <v>Edificaciones</v>
          </cell>
          <cell r="E142" t="str">
            <v xml:space="preserve">TLUQUEZ   </v>
          </cell>
          <cell r="F142">
            <v>464872.728</v>
          </cell>
          <cell r="G142">
            <v>451236.21100000001</v>
          </cell>
          <cell r="I142">
            <v>451236.21100000001</v>
          </cell>
          <cell r="J142">
            <v>0</v>
          </cell>
          <cell r="K142">
            <v>0</v>
          </cell>
          <cell r="L142">
            <v>0</v>
          </cell>
          <cell r="M142">
            <v>451236.21100000001</v>
          </cell>
          <cell r="N142">
            <v>451236.21100000001</v>
          </cell>
          <cell r="O142">
            <v>0</v>
          </cell>
          <cell r="P142">
            <v>451236.21100000001</v>
          </cell>
          <cell r="Q142">
            <v>0</v>
          </cell>
          <cell r="R142">
            <v>13636.516999999993</v>
          </cell>
          <cell r="T142">
            <v>464872.72901999997</v>
          </cell>
          <cell r="U142">
            <v>-2.0000000000000002E-5</v>
          </cell>
          <cell r="V142">
            <v>1E-3</v>
          </cell>
          <cell r="W142" t="str">
            <v>No información.</v>
          </cell>
        </row>
        <row r="143">
          <cell r="A143" t="str">
            <v>PY1040-TIGERCOMPANIES - ESTACION EL PORVENIR DE OCENSA</v>
          </cell>
          <cell r="B143" t="str">
            <v>Cierre</v>
          </cell>
          <cell r="C143" t="str">
            <v>21</v>
          </cell>
          <cell r="D143" t="str">
            <v>Energía</v>
          </cell>
          <cell r="E143" t="str">
            <v xml:space="preserve">HNARVAEZ  </v>
          </cell>
          <cell r="F143">
            <v>0</v>
          </cell>
          <cell r="G143">
            <v>123700</v>
          </cell>
          <cell r="I143">
            <v>123700</v>
          </cell>
          <cell r="J143">
            <v>0</v>
          </cell>
          <cell r="K143">
            <v>0</v>
          </cell>
          <cell r="L143">
            <v>0</v>
          </cell>
          <cell r="M143">
            <v>123700</v>
          </cell>
          <cell r="N143">
            <v>123700</v>
          </cell>
          <cell r="O143">
            <v>0</v>
          </cell>
          <cell r="P143">
            <v>123700</v>
          </cell>
          <cell r="Q143">
            <v>0</v>
          </cell>
          <cell r="R143">
            <v>-123700</v>
          </cell>
          <cell r="T143">
            <v>123700</v>
          </cell>
          <cell r="U143">
            <v>0</v>
          </cell>
          <cell r="V143">
            <v>0</v>
          </cell>
          <cell r="W143" t="str">
            <v>No información.</v>
          </cell>
        </row>
        <row r="144">
          <cell r="A144" t="str">
            <v>PY1043-ISA FAUNA Y FLORA</v>
          </cell>
          <cell r="B144" t="str">
            <v>Cierre</v>
          </cell>
          <cell r="C144" t="str">
            <v>24</v>
          </cell>
          <cell r="D144" t="str">
            <v>M. Ambiente</v>
          </cell>
          <cell r="E144" t="str">
            <v xml:space="preserve">CBUITRAGO </v>
          </cell>
          <cell r="F144">
            <v>316074.788</v>
          </cell>
          <cell r="G144">
            <v>272274.78399999999</v>
          </cell>
          <cell r="I144">
            <v>272274.78399999999</v>
          </cell>
          <cell r="J144">
            <v>0</v>
          </cell>
          <cell r="K144">
            <v>0</v>
          </cell>
          <cell r="L144">
            <v>0</v>
          </cell>
          <cell r="M144">
            <v>272274.78399999999</v>
          </cell>
          <cell r="N144">
            <v>272274.78399999999</v>
          </cell>
          <cell r="O144">
            <v>0</v>
          </cell>
          <cell r="P144">
            <v>272274.78399999999</v>
          </cell>
          <cell r="Q144">
            <v>0</v>
          </cell>
          <cell r="R144">
            <v>43800.004000000015</v>
          </cell>
          <cell r="T144">
            <v>272274.79100000003</v>
          </cell>
          <cell r="U144">
            <v>-7.0000000000000001E-3</v>
          </cell>
          <cell r="V144">
            <v>-136819.72399999999</v>
          </cell>
          <cell r="W144" t="str">
            <v>No información.</v>
          </cell>
        </row>
        <row r="145">
          <cell r="A145" t="str">
            <v>PY1046-UPME COPEY</v>
          </cell>
          <cell r="B145" t="str">
            <v>Cierre</v>
          </cell>
          <cell r="C145" t="str">
            <v>21</v>
          </cell>
          <cell r="D145" t="str">
            <v>Energía</v>
          </cell>
          <cell r="E145" t="str">
            <v>CVELASQUEZ</v>
          </cell>
          <cell r="F145">
            <v>307164</v>
          </cell>
          <cell r="G145">
            <v>288525.28000000003</v>
          </cell>
          <cell r="I145">
            <v>288525.28000000003</v>
          </cell>
          <cell r="J145">
            <v>0</v>
          </cell>
          <cell r="K145">
            <v>0</v>
          </cell>
          <cell r="L145">
            <v>0</v>
          </cell>
          <cell r="M145">
            <v>288525.28000000003</v>
          </cell>
          <cell r="N145">
            <v>288525.28000000003</v>
          </cell>
          <cell r="O145">
            <v>0</v>
          </cell>
          <cell r="P145">
            <v>288525.28000000003</v>
          </cell>
          <cell r="Q145">
            <v>0</v>
          </cell>
          <cell r="R145">
            <v>18638.719999999972</v>
          </cell>
          <cell r="T145">
            <v>307164</v>
          </cell>
          <cell r="U145">
            <v>-18741.108</v>
          </cell>
          <cell r="V145">
            <v>0</v>
          </cell>
          <cell r="W145" t="str">
            <v>No información.</v>
          </cell>
        </row>
        <row r="146">
          <cell r="A146" t="str">
            <v>PY1075-CENS 20514 PROYECTOS CONEXIÓN TIBÚ</v>
          </cell>
          <cell r="B146" t="str">
            <v>Cierre</v>
          </cell>
          <cell r="C146" t="str">
            <v>22</v>
          </cell>
          <cell r="D146" t="str">
            <v>Energía</v>
          </cell>
          <cell r="E146" t="str">
            <v xml:space="preserve">HRUIZ     </v>
          </cell>
          <cell r="F146">
            <v>1019344.522</v>
          </cell>
          <cell r="G146">
            <v>600002.68365000002</v>
          </cell>
          <cell r="I146">
            <v>600002.68365000002</v>
          </cell>
          <cell r="J146">
            <v>0</v>
          </cell>
          <cell r="K146">
            <v>0</v>
          </cell>
          <cell r="L146">
            <v>0</v>
          </cell>
          <cell r="M146">
            <v>600002.68365000002</v>
          </cell>
          <cell r="N146">
            <v>600002.68365000002</v>
          </cell>
          <cell r="O146">
            <v>0</v>
          </cell>
          <cell r="P146">
            <v>600002.68365000002</v>
          </cell>
          <cell r="Q146">
            <v>0</v>
          </cell>
          <cell r="R146">
            <v>419341.83834999998</v>
          </cell>
          <cell r="T146">
            <v>572312.81455000001</v>
          </cell>
          <cell r="U146">
            <v>-32310.1309</v>
          </cell>
          <cell r="V146">
            <v>0</v>
          </cell>
          <cell r="W146" t="str">
            <v>Es necesario revisar la contabilidad del proyecto; el proyecto finalizó y ejecutó el 100% del valor dispobible.</v>
          </cell>
        </row>
        <row r="147">
          <cell r="A147" t="str">
            <v>PY1125-INVIAS 59 14 VIA HIGUERONES MOJARRAS CAUCA</v>
          </cell>
          <cell r="B147" t="str">
            <v>Cierre</v>
          </cell>
          <cell r="C147" t="str">
            <v>24</v>
          </cell>
          <cell r="D147" t="str">
            <v>Transporte</v>
          </cell>
          <cell r="E147" t="str">
            <v xml:space="preserve">EVELANDIA </v>
          </cell>
          <cell r="F147">
            <v>0</v>
          </cell>
          <cell r="G147">
            <v>0</v>
          </cell>
          <cell r="I147">
            <v>0</v>
          </cell>
          <cell r="J147">
            <v>0</v>
          </cell>
          <cell r="K147">
            <v>0</v>
          </cell>
          <cell r="L147">
            <v>0</v>
          </cell>
          <cell r="M147">
            <v>0</v>
          </cell>
          <cell r="N147">
            <v>0</v>
          </cell>
          <cell r="O147">
            <v>0</v>
          </cell>
          <cell r="P147">
            <v>0</v>
          </cell>
          <cell r="Q147">
            <v>0</v>
          </cell>
          <cell r="R147">
            <v>0</v>
          </cell>
          <cell r="T147">
            <v>0</v>
          </cell>
          <cell r="U147">
            <v>0</v>
          </cell>
          <cell r="V147">
            <v>0</v>
          </cell>
          <cell r="W147" t="str">
            <v>No información.</v>
          </cell>
        </row>
        <row r="148">
          <cell r="A148" t="str">
            <v>PY1131-JV-ANI SANTAMARTA PARAGUACHON/BIC2014</v>
          </cell>
          <cell r="B148" t="str">
            <v>Cierre</v>
          </cell>
          <cell r="C148" t="str">
            <v>21</v>
          </cell>
          <cell r="D148" t="str">
            <v>Transporte</v>
          </cell>
          <cell r="E148" t="str">
            <v xml:space="preserve">TLUQUEZ   </v>
          </cell>
          <cell r="F148">
            <v>1419380.5930000001</v>
          </cell>
          <cell r="G148">
            <v>480736.65880000003</v>
          </cell>
          <cell r="I148">
            <v>480736.65880000003</v>
          </cell>
          <cell r="J148">
            <v>0</v>
          </cell>
          <cell r="K148">
            <v>0</v>
          </cell>
          <cell r="L148">
            <v>0</v>
          </cell>
          <cell r="M148">
            <v>480736.65880000003</v>
          </cell>
          <cell r="N148">
            <v>480736.65880000003</v>
          </cell>
          <cell r="O148">
            <v>0</v>
          </cell>
          <cell r="P148">
            <v>480736.65880000003</v>
          </cell>
          <cell r="Q148">
            <v>0</v>
          </cell>
          <cell r="R148">
            <v>938643.93420000002</v>
          </cell>
          <cell r="T148">
            <v>480736.65880000003</v>
          </cell>
          <cell r="U148">
            <v>0</v>
          </cell>
          <cell r="V148">
            <v>0</v>
          </cell>
          <cell r="W148" t="str">
            <v>Adm: B&amp;C
Proyecto finalizado.  JV En liquidación.
Reducir a cero el Vr. Disponible para ejecutar.</v>
          </cell>
        </row>
        <row r="149">
          <cell r="A149" t="str">
            <v>PY1132-JV-ANI PROSPERIDAD GRUPO 3 / CONSORCIO T&amp;C002</v>
          </cell>
          <cell r="B149" t="str">
            <v>Cierre</v>
          </cell>
          <cell r="C149" t="str">
            <v>21</v>
          </cell>
          <cell r="D149" t="str">
            <v>Transporte</v>
          </cell>
          <cell r="E149" t="str">
            <v xml:space="preserve">TLUQUEZ   </v>
          </cell>
          <cell r="F149">
            <v>1500001.406</v>
          </cell>
          <cell r="G149">
            <v>396.33100000000013</v>
          </cell>
          <cell r="I149">
            <v>396.33100000000013</v>
          </cell>
          <cell r="J149">
            <v>0</v>
          </cell>
          <cell r="K149">
            <v>0</v>
          </cell>
          <cell r="L149">
            <v>0</v>
          </cell>
          <cell r="M149">
            <v>396.33100000000013</v>
          </cell>
          <cell r="N149">
            <v>396.33100000000013</v>
          </cell>
          <cell r="O149">
            <v>0</v>
          </cell>
          <cell r="P149">
            <v>396.33100000000013</v>
          </cell>
          <cell r="Q149">
            <v>0</v>
          </cell>
          <cell r="R149">
            <v>1499605.075</v>
          </cell>
          <cell r="T149">
            <v>7896.3310000000001</v>
          </cell>
          <cell r="U149">
            <v>0</v>
          </cell>
          <cell r="V149">
            <v>0</v>
          </cell>
          <cell r="W149" t="str">
            <v>Adm: TYPSA.
Proyecto finalizado. JV EN liquidación.
Reducir a cero el Vr. Autorizado.</v>
          </cell>
        </row>
        <row r="150">
          <cell r="A150" t="str">
            <v>PY1133-JV-PDA BOYACA GRUPO A/ILAM-INALCON-CRA</v>
          </cell>
          <cell r="B150" t="str">
            <v>Cierre</v>
          </cell>
          <cell r="C150" t="str">
            <v>21</v>
          </cell>
          <cell r="D150" t="str">
            <v>I. Municipal</v>
          </cell>
          <cell r="E150" t="str">
            <v xml:space="preserve">JOJEDA    </v>
          </cell>
          <cell r="F150">
            <v>0</v>
          </cell>
          <cell r="G150">
            <v>308.565</v>
          </cell>
          <cell r="I150">
            <v>308.565</v>
          </cell>
          <cell r="J150">
            <v>0</v>
          </cell>
          <cell r="K150">
            <v>0</v>
          </cell>
          <cell r="L150">
            <v>0</v>
          </cell>
          <cell r="M150">
            <v>308.565</v>
          </cell>
          <cell r="N150">
            <v>308.565</v>
          </cell>
          <cell r="O150">
            <v>0</v>
          </cell>
          <cell r="P150">
            <v>308.565</v>
          </cell>
          <cell r="Q150">
            <v>0</v>
          </cell>
          <cell r="R150">
            <v>-308.565</v>
          </cell>
          <cell r="T150">
            <v>0</v>
          </cell>
          <cell r="U150">
            <v>0</v>
          </cell>
          <cell r="V150">
            <v>0</v>
          </cell>
          <cell r="W150" t="str">
            <v>Adm: WSP
Consorcio en Liquidación. Bajar Vr. Autorizado.</v>
          </cell>
        </row>
        <row r="151">
          <cell r="A151" t="str">
            <v>PY1134-JV-PDA BOYACA GRUPO J/ILAM-INALCON-CRA</v>
          </cell>
          <cell r="B151" t="str">
            <v>Cierre</v>
          </cell>
          <cell r="C151" t="str">
            <v>21</v>
          </cell>
          <cell r="D151" t="str">
            <v>I. Municipal</v>
          </cell>
          <cell r="E151" t="str">
            <v xml:space="preserve">JOJEDA    </v>
          </cell>
          <cell r="F151">
            <v>0</v>
          </cell>
          <cell r="G151">
            <v>-2323.4848500000003</v>
          </cell>
          <cell r="I151">
            <v>-2323.4848500000003</v>
          </cell>
          <cell r="J151">
            <v>0</v>
          </cell>
          <cell r="K151">
            <v>0</v>
          </cell>
          <cell r="L151">
            <v>0</v>
          </cell>
          <cell r="M151">
            <v>-2323.4848500000003</v>
          </cell>
          <cell r="N151">
            <v>-2323.4848500000003</v>
          </cell>
          <cell r="O151">
            <v>0</v>
          </cell>
          <cell r="P151">
            <v>-2323.4848500000003</v>
          </cell>
          <cell r="Q151">
            <v>0</v>
          </cell>
          <cell r="R151">
            <v>2323.4848500000003</v>
          </cell>
          <cell r="T151">
            <v>0</v>
          </cell>
          <cell r="U151">
            <v>0</v>
          </cell>
          <cell r="V151">
            <v>0</v>
          </cell>
          <cell r="W151" t="str">
            <v xml:space="preserve">Adm WSP
Bajar Vr Autorizado.  </v>
          </cell>
        </row>
        <row r="152">
          <cell r="A152" t="str">
            <v>PY1136-IDU ANDENES</v>
          </cell>
          <cell r="B152" t="str">
            <v>Cierre</v>
          </cell>
          <cell r="C152" t="str">
            <v>21</v>
          </cell>
          <cell r="D152" t="str">
            <v>Transporte</v>
          </cell>
          <cell r="E152" t="str">
            <v xml:space="preserve">TLUQUEZ   </v>
          </cell>
          <cell r="F152">
            <v>260014.291</v>
          </cell>
          <cell r="G152">
            <v>0</v>
          </cell>
          <cell r="I152">
            <v>0</v>
          </cell>
          <cell r="J152">
            <v>0</v>
          </cell>
          <cell r="K152">
            <v>0</v>
          </cell>
          <cell r="L152">
            <v>0</v>
          </cell>
          <cell r="M152">
            <v>0</v>
          </cell>
          <cell r="N152">
            <v>0</v>
          </cell>
          <cell r="O152">
            <v>0</v>
          </cell>
          <cell r="P152">
            <v>0</v>
          </cell>
          <cell r="Q152">
            <v>0</v>
          </cell>
          <cell r="R152">
            <v>260014.291</v>
          </cell>
          <cell r="T152">
            <v>0</v>
          </cell>
          <cell r="U152">
            <v>0</v>
          </cell>
          <cell r="V152">
            <v>0</v>
          </cell>
          <cell r="W152" t="str">
            <v>No información.</v>
          </cell>
        </row>
        <row r="153">
          <cell r="A153" t="str">
            <v>PY1137-JV-IDU CALLE 170 Y AV.9/CRA-DIEGOFONSECA 026-2009</v>
          </cell>
          <cell r="B153" t="str">
            <v>Cierre</v>
          </cell>
          <cell r="C153" t="str">
            <v>21</v>
          </cell>
          <cell r="D153" t="str">
            <v>Transporte</v>
          </cell>
          <cell r="E153" t="str">
            <v xml:space="preserve">MPEREZ    </v>
          </cell>
          <cell r="F153">
            <v>2380580.2549999999</v>
          </cell>
          <cell r="G153">
            <v>0</v>
          </cell>
          <cell r="I153">
            <v>0</v>
          </cell>
          <cell r="J153">
            <v>0</v>
          </cell>
          <cell r="K153">
            <v>0</v>
          </cell>
          <cell r="L153">
            <v>0</v>
          </cell>
          <cell r="M153">
            <v>0</v>
          </cell>
          <cell r="N153">
            <v>0</v>
          </cell>
          <cell r="O153">
            <v>0</v>
          </cell>
          <cell r="P153">
            <v>0</v>
          </cell>
          <cell r="Q153">
            <v>0</v>
          </cell>
          <cell r="R153">
            <v>2380580.2549999999</v>
          </cell>
          <cell r="T153">
            <v>0</v>
          </cell>
          <cell r="U153">
            <v>60851.311999999998</v>
          </cell>
          <cell r="V153">
            <v>0</v>
          </cell>
          <cell r="W153" t="str">
            <v>Adm WSP
Bajar Vr Autorizado.  OJO WIP de más de 580 días.</v>
          </cell>
        </row>
        <row r="154">
          <cell r="A154" t="str">
            <v>PY1138-JV-IDU CICLOPUENTES</v>
          </cell>
          <cell r="B154" t="str">
            <v>Cierre</v>
          </cell>
          <cell r="C154" t="str">
            <v>21</v>
          </cell>
          <cell r="D154" t="str">
            <v>Transporte</v>
          </cell>
          <cell r="E154" t="str">
            <v xml:space="preserve">MPEREZ    </v>
          </cell>
          <cell r="F154">
            <v>425219.18599999999</v>
          </cell>
          <cell r="G154">
            <v>-21273.238499999999</v>
          </cell>
          <cell r="I154">
            <v>-21273.238499999999</v>
          </cell>
          <cell r="J154">
            <v>0</v>
          </cell>
          <cell r="K154">
            <v>0</v>
          </cell>
          <cell r="L154">
            <v>0</v>
          </cell>
          <cell r="M154">
            <v>-21273.238499999999</v>
          </cell>
          <cell r="N154">
            <v>-21273.238499999999</v>
          </cell>
          <cell r="O154">
            <v>0</v>
          </cell>
          <cell r="P154">
            <v>-21273.238499999999</v>
          </cell>
          <cell r="Q154">
            <v>0</v>
          </cell>
          <cell r="R154">
            <v>446492.42449999996</v>
          </cell>
          <cell r="T154">
            <v>0</v>
          </cell>
          <cell r="U154">
            <v>2450.0001499999998</v>
          </cell>
          <cell r="V154">
            <v>0</v>
          </cell>
          <cell r="W154" t="str">
            <v>Adm WSP
Bajar Vr Autorizado.  OJO WIP de más de 580 días.</v>
          </cell>
        </row>
        <row r="155">
          <cell r="A155" t="str">
            <v>PY1139-JV-IDU CALLE 100</v>
          </cell>
          <cell r="B155" t="str">
            <v>Cierre</v>
          </cell>
          <cell r="C155" t="str">
            <v>21</v>
          </cell>
          <cell r="D155" t="str">
            <v>Transporte</v>
          </cell>
          <cell r="E155" t="str">
            <v xml:space="preserve">MPEREZ    </v>
          </cell>
          <cell r="F155">
            <v>3733922.1140000001</v>
          </cell>
          <cell r="G155">
            <v>140000</v>
          </cell>
          <cell r="I155">
            <v>140000</v>
          </cell>
          <cell r="J155">
            <v>0</v>
          </cell>
          <cell r="K155">
            <v>0</v>
          </cell>
          <cell r="L155">
            <v>0</v>
          </cell>
          <cell r="M155">
            <v>140000</v>
          </cell>
          <cell r="N155">
            <v>140000</v>
          </cell>
          <cell r="O155">
            <v>0</v>
          </cell>
          <cell r="P155">
            <v>140000</v>
          </cell>
          <cell r="Q155">
            <v>0</v>
          </cell>
          <cell r="R155">
            <v>3593922.1140000001</v>
          </cell>
          <cell r="T155">
            <v>0</v>
          </cell>
          <cell r="U155">
            <v>202322.84747000001</v>
          </cell>
          <cell r="V155">
            <v>0</v>
          </cell>
          <cell r="W155" t="str">
            <v>Adm: WSP
IDU calle 100 en liquidación - se espera acta de liquidación quede aprobada en julio y se pueda facturar.</v>
          </cell>
        </row>
        <row r="156">
          <cell r="A156" t="str">
            <v>PY1140-JV-IDU SITP GRUPO 7-CONSORCIO SITP</v>
          </cell>
          <cell r="B156" t="str">
            <v>Cierre</v>
          </cell>
          <cell r="C156" t="str">
            <v>21</v>
          </cell>
          <cell r="D156" t="str">
            <v>Transporte</v>
          </cell>
          <cell r="E156" t="str">
            <v xml:space="preserve">MPEREZ    </v>
          </cell>
          <cell r="F156">
            <v>315763.83100000001</v>
          </cell>
          <cell r="G156">
            <v>114361.522</v>
          </cell>
          <cell r="I156">
            <v>114361.522</v>
          </cell>
          <cell r="J156">
            <v>0</v>
          </cell>
          <cell r="K156">
            <v>0</v>
          </cell>
          <cell r="L156">
            <v>0</v>
          </cell>
          <cell r="M156">
            <v>114361.522</v>
          </cell>
          <cell r="N156">
            <v>114361.522</v>
          </cell>
          <cell r="O156">
            <v>0</v>
          </cell>
          <cell r="P156">
            <v>114361.522</v>
          </cell>
          <cell r="Q156">
            <v>0</v>
          </cell>
          <cell r="R156">
            <v>201402.30900000001</v>
          </cell>
          <cell r="T156">
            <v>89313.504000000001</v>
          </cell>
          <cell r="U156">
            <v>32462.536499999998</v>
          </cell>
          <cell r="V156">
            <v>696</v>
          </cell>
          <cell r="W156" t="str">
            <v>Adm: WSP
Se factura en éste mes 32MCOP.</v>
          </cell>
        </row>
        <row r="157">
          <cell r="A157" t="str">
            <v>PY1141-JV-INVIAS MANIZALES-CONSORCIO CI 014</v>
          </cell>
          <cell r="B157" t="str">
            <v>Cierre</v>
          </cell>
          <cell r="C157" t="str">
            <v>21</v>
          </cell>
          <cell r="D157" t="str">
            <v>Transporte</v>
          </cell>
          <cell r="E157" t="str">
            <v xml:space="preserve">IVASQUEZ  </v>
          </cell>
          <cell r="F157">
            <v>1785214.23</v>
          </cell>
          <cell r="G157">
            <v>1326034.04372</v>
          </cell>
          <cell r="I157">
            <v>1326034.04372</v>
          </cell>
          <cell r="J157">
            <v>0</v>
          </cell>
          <cell r="K157">
            <v>0</v>
          </cell>
          <cell r="L157">
            <v>1.9159999999999999</v>
          </cell>
          <cell r="M157">
            <v>1326035.9597199999</v>
          </cell>
          <cell r="N157">
            <v>1326034.04372</v>
          </cell>
          <cell r="O157">
            <v>-1.915999999968335</v>
          </cell>
          <cell r="P157">
            <v>1326035.9597199999</v>
          </cell>
          <cell r="Q157">
            <v>1.915999999968335</v>
          </cell>
          <cell r="R157">
            <v>459180.18628000002</v>
          </cell>
          <cell r="T157">
            <v>1299252.81222</v>
          </cell>
          <cell r="U157">
            <v>0</v>
          </cell>
          <cell r="V157">
            <v>64724.661500000002</v>
          </cell>
          <cell r="W157" t="str">
            <v>Adm: WSP en fase de cierre.</v>
          </cell>
        </row>
        <row r="158">
          <cell r="A158" t="str">
            <v>PY1142-JV-TRANSMILENIO SIRCI</v>
          </cell>
          <cell r="B158" t="str">
            <v>Cierre</v>
          </cell>
          <cell r="C158" t="str">
            <v>21</v>
          </cell>
          <cell r="D158" t="str">
            <v>Telecom</v>
          </cell>
          <cell r="E158" t="str">
            <v xml:space="preserve">JCELIS    </v>
          </cell>
          <cell r="F158">
            <v>2680520.4730000002</v>
          </cell>
          <cell r="G158">
            <v>2181220.8068600004</v>
          </cell>
          <cell r="I158">
            <v>2181220.8068600004</v>
          </cell>
          <cell r="J158">
            <v>0</v>
          </cell>
          <cell r="K158">
            <v>0</v>
          </cell>
          <cell r="L158">
            <v>38.414999999999999</v>
          </cell>
          <cell r="M158">
            <v>2181259.2218600004</v>
          </cell>
          <cell r="N158">
            <v>2181220.8068600004</v>
          </cell>
          <cell r="O158">
            <v>-38.415000000037253</v>
          </cell>
          <cell r="P158">
            <v>2181259.2218600004</v>
          </cell>
          <cell r="Q158">
            <v>38.415000000037253</v>
          </cell>
          <cell r="R158">
            <v>499299.66613999987</v>
          </cell>
          <cell r="T158">
            <v>2328349.1869999999</v>
          </cell>
          <cell r="U158">
            <v>0</v>
          </cell>
          <cell r="V158">
            <v>0</v>
          </cell>
          <cell r="W158" t="str">
            <v>Adm: WSP. 
Problemas para liquidación por ICBF</v>
          </cell>
        </row>
        <row r="159">
          <cell r="A159" t="str">
            <v>PY1143-FONADE INVENTARIO DE TITULOS MINEROS</v>
          </cell>
          <cell r="B159" t="str">
            <v>Cierre</v>
          </cell>
          <cell r="C159" t="str">
            <v>21</v>
          </cell>
          <cell r="D159" t="str">
            <v>I. Municipal</v>
          </cell>
          <cell r="E159" t="str">
            <v xml:space="preserve">JSOLANO   </v>
          </cell>
          <cell r="F159">
            <v>0</v>
          </cell>
          <cell r="G159">
            <v>410000.1</v>
          </cell>
          <cell r="I159">
            <v>410000.1</v>
          </cell>
          <cell r="J159">
            <v>0</v>
          </cell>
          <cell r="K159">
            <v>0</v>
          </cell>
          <cell r="L159">
            <v>0</v>
          </cell>
          <cell r="M159">
            <v>410000.1</v>
          </cell>
          <cell r="N159">
            <v>410000.1</v>
          </cell>
          <cell r="O159">
            <v>0</v>
          </cell>
          <cell r="P159">
            <v>410000.1</v>
          </cell>
          <cell r="Q159">
            <v>0</v>
          </cell>
          <cell r="R159">
            <v>-410000.1</v>
          </cell>
          <cell r="T159">
            <v>0</v>
          </cell>
          <cell r="U159">
            <v>0</v>
          </cell>
          <cell r="V159">
            <v>0</v>
          </cell>
          <cell r="W159" t="str">
            <v>Reclasificar saldos y terminar este proyecto.</v>
          </cell>
        </row>
        <row r="160">
          <cell r="A160" t="str">
            <v>PY1144-FONDAP E&amp;D TOLIMA 10 PROYECTOS</v>
          </cell>
          <cell r="B160" t="str">
            <v>Cierre</v>
          </cell>
          <cell r="C160" t="str">
            <v>21</v>
          </cell>
          <cell r="D160" t="str">
            <v>I. Municipal</v>
          </cell>
          <cell r="E160" t="str">
            <v xml:space="preserve">MBAYONA   </v>
          </cell>
          <cell r="F160">
            <v>1063425.5009999999</v>
          </cell>
          <cell r="G160">
            <v>1378341.05002</v>
          </cell>
          <cell r="I160">
            <v>1378341.05002</v>
          </cell>
          <cell r="J160">
            <v>0</v>
          </cell>
          <cell r="K160">
            <v>0</v>
          </cell>
          <cell r="L160">
            <v>-531.71299999999997</v>
          </cell>
          <cell r="M160">
            <v>1377809.33702</v>
          </cell>
          <cell r="N160">
            <v>1378341.05002</v>
          </cell>
          <cell r="O160">
            <v>531.71299999998882</v>
          </cell>
          <cell r="P160">
            <v>1377809.33702</v>
          </cell>
          <cell r="Q160">
            <v>-531.71299999998882</v>
          </cell>
          <cell r="R160">
            <v>-314915.54902000003</v>
          </cell>
          <cell r="T160">
            <v>1063425.5009999999</v>
          </cell>
          <cell r="U160">
            <v>1.64E-3</v>
          </cell>
          <cell r="V160">
            <v>0</v>
          </cell>
          <cell r="W160" t="str">
            <v>Proyecto en etapa de reunión de cierre.</v>
          </cell>
        </row>
        <row r="161">
          <cell r="A161" t="str">
            <v>PY1149-JV-TRANSMILENIO 02 13 RUTAS URBANAS GBJ</v>
          </cell>
          <cell r="B161" t="str">
            <v>Cierre</v>
          </cell>
          <cell r="C161" t="str">
            <v>21</v>
          </cell>
          <cell r="D161" t="str">
            <v>Telecom</v>
          </cell>
          <cell r="E161" t="str">
            <v xml:space="preserve">JCELIS    </v>
          </cell>
          <cell r="F161">
            <v>3778555.827</v>
          </cell>
          <cell r="G161">
            <v>2055504.1636300001</v>
          </cell>
          <cell r="I161">
            <v>2055504.1636300001</v>
          </cell>
          <cell r="J161">
            <v>0</v>
          </cell>
          <cell r="K161">
            <v>0</v>
          </cell>
          <cell r="L161">
            <v>0</v>
          </cell>
          <cell r="M161">
            <v>2055504.1636300001</v>
          </cell>
          <cell r="N161">
            <v>2055504.1636300001</v>
          </cell>
          <cell r="O161">
            <v>0</v>
          </cell>
          <cell r="P161">
            <v>2055504.1636300001</v>
          </cell>
          <cell r="Q161">
            <v>0</v>
          </cell>
          <cell r="R161">
            <v>1723051.66337</v>
          </cell>
          <cell r="T161">
            <v>2251192.0019999999</v>
          </cell>
          <cell r="U161">
            <v>0</v>
          </cell>
          <cell r="V161">
            <v>-102953.60381</v>
          </cell>
          <cell r="W161" t="str">
            <v>Adm: WSP Liquidación en curso.</v>
          </cell>
        </row>
        <row r="162">
          <cell r="A162" t="str">
            <v>PY1150-WSP SISTEMA INFORMACION REG NORTE</v>
          </cell>
          <cell r="B162" t="str">
            <v>Cierre</v>
          </cell>
          <cell r="C162" t="str">
            <v>21</v>
          </cell>
          <cell r="D162" t="str">
            <v>Telecom</v>
          </cell>
          <cell r="E162" t="str">
            <v xml:space="preserve">JCELIS    </v>
          </cell>
          <cell r="F162">
            <v>0</v>
          </cell>
          <cell r="G162">
            <v>0</v>
          </cell>
          <cell r="I162">
            <v>0</v>
          </cell>
          <cell r="J162">
            <v>0</v>
          </cell>
          <cell r="K162">
            <v>0</v>
          </cell>
          <cell r="L162">
            <v>0</v>
          </cell>
          <cell r="M162">
            <v>0</v>
          </cell>
          <cell r="N162">
            <v>0</v>
          </cell>
          <cell r="O162">
            <v>0</v>
          </cell>
          <cell r="P162">
            <v>0</v>
          </cell>
          <cell r="Q162">
            <v>0</v>
          </cell>
          <cell r="R162">
            <v>0</v>
          </cell>
          <cell r="T162">
            <v>0</v>
          </cell>
          <cell r="U162">
            <v>0</v>
          </cell>
          <cell r="V162">
            <v>0</v>
          </cell>
          <cell r="W162" t="str">
            <v>No información.</v>
          </cell>
        </row>
        <row r="163">
          <cell r="A163" t="str">
            <v>PY1154-CONSORCIO APP CAMBAO MANIZALES</v>
          </cell>
          <cell r="B163" t="str">
            <v>Cierre</v>
          </cell>
          <cell r="C163" t="str">
            <v>21</v>
          </cell>
          <cell r="D163" t="str">
            <v>Transporte</v>
          </cell>
          <cell r="E163" t="str">
            <v xml:space="preserve">TLUQUEZ   </v>
          </cell>
          <cell r="F163">
            <v>1350000</v>
          </cell>
          <cell r="G163">
            <v>201526.65703</v>
          </cell>
          <cell r="I163">
            <v>201526.65703</v>
          </cell>
          <cell r="J163">
            <v>0</v>
          </cell>
          <cell r="K163">
            <v>0</v>
          </cell>
          <cell r="L163">
            <v>0</v>
          </cell>
          <cell r="M163">
            <v>201526.65703</v>
          </cell>
          <cell r="N163">
            <v>201526.65703</v>
          </cell>
          <cell r="O163">
            <v>0</v>
          </cell>
          <cell r="P163">
            <v>201526.65703</v>
          </cell>
          <cell r="Q163">
            <v>0</v>
          </cell>
          <cell r="R163">
            <v>1148473.3429700001</v>
          </cell>
          <cell r="T163">
            <v>405000</v>
          </cell>
          <cell r="U163">
            <v>78880</v>
          </cell>
          <cell r="V163">
            <v>0</v>
          </cell>
          <cell r="W163" t="str">
            <v>No información.</v>
          </cell>
        </row>
        <row r="164">
          <cell r="A164" t="str">
            <v>PY1155-JV-FONADE 17 12 FISCALIZACI TITULOS MINEROS</v>
          </cell>
          <cell r="B164" t="str">
            <v>Cierre</v>
          </cell>
          <cell r="C164" t="str">
            <v>21</v>
          </cell>
          <cell r="D164" t="str">
            <v>Oil &amp; Gas</v>
          </cell>
          <cell r="E164" t="str">
            <v xml:space="preserve">JSOLANO   </v>
          </cell>
          <cell r="F164">
            <v>0</v>
          </cell>
          <cell r="G164">
            <v>27720048.806849994</v>
          </cell>
          <cell r="I164">
            <v>27720048.806849994</v>
          </cell>
          <cell r="J164">
            <v>838.03721250000001</v>
          </cell>
          <cell r="K164">
            <v>0</v>
          </cell>
          <cell r="L164">
            <v>429.70188000000002</v>
          </cell>
          <cell r="M164">
            <v>27721316.545942493</v>
          </cell>
          <cell r="N164">
            <v>27720048.806849994</v>
          </cell>
          <cell r="O164">
            <v>-1267.7390924990177</v>
          </cell>
          <cell r="P164">
            <v>27720478.508729994</v>
          </cell>
          <cell r="Q164">
            <v>429.70188000053167</v>
          </cell>
          <cell r="R164">
            <v>-27720048.806849994</v>
          </cell>
          <cell r="T164">
            <v>27486967.324999999</v>
          </cell>
          <cell r="U164">
            <v>0</v>
          </cell>
          <cell r="V164">
            <v>0</v>
          </cell>
          <cell r="W164" t="str">
            <v>Adm: HMV En cierre.  Pendiente reclamación.
Actualizar Vr. Autorizado para tener Cero.</v>
          </cell>
        </row>
        <row r="165">
          <cell r="A165" t="str">
            <v>PY1156-EAAB - 1176 13 - EL DORADO Y LA LAGUNA</v>
          </cell>
          <cell r="B165" t="str">
            <v>Cierre</v>
          </cell>
          <cell r="C165" t="str">
            <v>21</v>
          </cell>
          <cell r="D165" t="str">
            <v>Edificaciones</v>
          </cell>
          <cell r="E165" t="str">
            <v xml:space="preserve">DGOMEZ    </v>
          </cell>
          <cell r="F165">
            <v>190248.29699999999</v>
          </cell>
          <cell r="G165">
            <v>210620.18721999999</v>
          </cell>
          <cell r="I165">
            <v>210620.18721999999</v>
          </cell>
          <cell r="J165">
            <v>0</v>
          </cell>
          <cell r="K165">
            <v>0</v>
          </cell>
          <cell r="L165">
            <v>0</v>
          </cell>
          <cell r="M165">
            <v>210620.18721999999</v>
          </cell>
          <cell r="N165">
            <v>210620.18721999999</v>
          </cell>
          <cell r="O165">
            <v>0</v>
          </cell>
          <cell r="P165">
            <v>210620.18721999999</v>
          </cell>
          <cell r="Q165">
            <v>0</v>
          </cell>
          <cell r="R165">
            <v>-20371.890220000001</v>
          </cell>
          <cell r="T165">
            <v>190248.29699999999</v>
          </cell>
          <cell r="U165">
            <v>0</v>
          </cell>
          <cell r="V165">
            <v>-1E-3</v>
          </cell>
          <cell r="W165" t="str">
            <v>No información.</v>
          </cell>
        </row>
        <row r="166">
          <cell r="A166" t="str">
            <v>PY1157-JV-I-BATALLON PUERTO RICO-CAQUETA/ SAMAN2013</v>
          </cell>
          <cell r="B166" t="str">
            <v>Cierre</v>
          </cell>
          <cell r="C166" t="str">
            <v>21</v>
          </cell>
          <cell r="D166" t="str">
            <v>Edificaciones</v>
          </cell>
          <cell r="E166" t="str">
            <v xml:space="preserve">DGOMEZ    </v>
          </cell>
          <cell r="F166">
            <v>497984.5</v>
          </cell>
          <cell r="G166">
            <v>94259.248999999996</v>
          </cell>
          <cell r="I166">
            <v>94259.248999999996</v>
          </cell>
          <cell r="J166">
            <v>0</v>
          </cell>
          <cell r="K166">
            <v>0</v>
          </cell>
          <cell r="L166">
            <v>0</v>
          </cell>
          <cell r="M166">
            <v>94259.248999999996</v>
          </cell>
          <cell r="N166">
            <v>94259.248999999996</v>
          </cell>
          <cell r="O166">
            <v>0</v>
          </cell>
          <cell r="P166">
            <v>94259.248999999996</v>
          </cell>
          <cell r="Q166">
            <v>0</v>
          </cell>
          <cell r="R166">
            <v>403725.25099999999</v>
          </cell>
          <cell r="T166">
            <v>16311.4</v>
          </cell>
          <cell r="U166">
            <v>83618.100000000006</v>
          </cell>
          <cell r="V166">
            <v>88651.201000000001</v>
          </cell>
          <cell r="W166" t="str">
            <v>CONSORCIO SAMAN: contrato cedido a Jorge Sanchez, consorcio solo debe repartición de utilidad a WSP por $35MCOP, se espera el pago en septiembre. WIP en revisión.</v>
          </cell>
        </row>
        <row r="167">
          <cell r="A167" t="str">
            <v>PY1159-GAICO 68 13 FERROCARRILES CERREJON LIMIT</v>
          </cell>
          <cell r="B167" t="str">
            <v>Cierre</v>
          </cell>
          <cell r="C167" t="str">
            <v>22</v>
          </cell>
          <cell r="D167" t="str">
            <v>I. Municipal</v>
          </cell>
          <cell r="E167" t="str">
            <v xml:space="preserve">MBAYONA   </v>
          </cell>
          <cell r="F167">
            <v>0</v>
          </cell>
          <cell r="G167">
            <v>379754.59005</v>
          </cell>
          <cell r="I167">
            <v>379754.59005</v>
          </cell>
          <cell r="J167">
            <v>0</v>
          </cell>
          <cell r="K167">
            <v>0</v>
          </cell>
          <cell r="L167">
            <v>0</v>
          </cell>
          <cell r="M167">
            <v>379754.59005</v>
          </cell>
          <cell r="N167">
            <v>379754.59005</v>
          </cell>
          <cell r="O167">
            <v>0</v>
          </cell>
          <cell r="P167">
            <v>379754.59005</v>
          </cell>
          <cell r="Q167">
            <v>0</v>
          </cell>
          <cell r="R167">
            <v>-379754.59005</v>
          </cell>
          <cell r="T167">
            <v>320000</v>
          </cell>
          <cell r="U167">
            <v>0</v>
          </cell>
          <cell r="V167">
            <v>0</v>
          </cell>
          <cell r="W167" t="str">
            <v>Proyecto no corresponde a Infraestructura Municipal</v>
          </cell>
        </row>
        <row r="168">
          <cell r="A168" t="str">
            <v>PY1160-FONDAP  02 14 AP Y SB BOLIVAR CESAR</v>
          </cell>
          <cell r="B168" t="str">
            <v>Cierre</v>
          </cell>
          <cell r="C168" t="str">
            <v>22</v>
          </cell>
          <cell r="D168" t="str">
            <v>I. Municipal</v>
          </cell>
          <cell r="E168" t="str">
            <v xml:space="preserve">JOJEDA    </v>
          </cell>
          <cell r="F168">
            <v>385209.989</v>
          </cell>
          <cell r="G168">
            <v>439117.35002999997</v>
          </cell>
          <cell r="I168">
            <v>439117.35002999997</v>
          </cell>
          <cell r="J168">
            <v>0</v>
          </cell>
          <cell r="K168">
            <v>0</v>
          </cell>
          <cell r="L168">
            <v>-192.60499999999999</v>
          </cell>
          <cell r="M168">
            <v>438924.74502999999</v>
          </cell>
          <cell r="N168">
            <v>439117.35002999997</v>
          </cell>
          <cell r="O168">
            <v>192.60499999998137</v>
          </cell>
          <cell r="P168">
            <v>438924.74502999999</v>
          </cell>
          <cell r="Q168">
            <v>-192.60499999998137</v>
          </cell>
          <cell r="R168">
            <v>-53907.361029999971</v>
          </cell>
          <cell r="T168">
            <v>460576.15700000001</v>
          </cell>
          <cell r="U168">
            <v>5.0000000000000001E-3</v>
          </cell>
          <cell r="V168">
            <v>0</v>
          </cell>
          <cell r="W168" t="str">
            <v>Proyecto liquidado.</v>
          </cell>
        </row>
        <row r="169">
          <cell r="A169" t="str">
            <v>PY1163-JV-I-MTTO Y CONSER VÍAS CASANARE / CRAING</v>
          </cell>
          <cell r="B169" t="str">
            <v>Cierre</v>
          </cell>
          <cell r="C169" t="str">
            <v>25</v>
          </cell>
          <cell r="D169" t="str">
            <v>Transporte</v>
          </cell>
          <cell r="E169" t="str">
            <v xml:space="preserve">TLUQUEZ   </v>
          </cell>
          <cell r="F169">
            <v>268292.58600000001</v>
          </cell>
          <cell r="G169">
            <v>85612.764999999999</v>
          </cell>
          <cell r="I169">
            <v>85612.764999999999</v>
          </cell>
          <cell r="J169">
            <v>0</v>
          </cell>
          <cell r="K169">
            <v>0</v>
          </cell>
          <cell r="L169">
            <v>1666.5050000000001</v>
          </cell>
          <cell r="M169">
            <v>87279.27</v>
          </cell>
          <cell r="N169">
            <v>85612.764999999999</v>
          </cell>
          <cell r="O169">
            <v>-1666.5050000000047</v>
          </cell>
          <cell r="P169">
            <v>87279.27</v>
          </cell>
          <cell r="Q169">
            <v>1666.5050000000047</v>
          </cell>
          <cell r="R169">
            <v>182679.821</v>
          </cell>
          <cell r="T169">
            <v>30948.323</v>
          </cell>
          <cell r="U169">
            <v>-5.9500000000000004E-3</v>
          </cell>
          <cell r="V169">
            <v>2344.8879999999999</v>
          </cell>
          <cell r="W169" t="str">
            <v>Adm: WSP Inactivo.</v>
          </cell>
        </row>
        <row r="170">
          <cell r="A170" t="str">
            <v>PY1164-FONDO COLOMBIA SITIUM EDIFICIO OFICINAS</v>
          </cell>
          <cell r="B170" t="str">
            <v>Cierre</v>
          </cell>
          <cell r="C170" t="str">
            <v>23</v>
          </cell>
          <cell r="D170" t="str">
            <v>Edificaciones</v>
          </cell>
          <cell r="E170" t="str">
            <v xml:space="preserve">JTOVAR    </v>
          </cell>
          <cell r="F170">
            <v>0</v>
          </cell>
          <cell r="G170">
            <v>10000</v>
          </cell>
          <cell r="I170">
            <v>10000</v>
          </cell>
          <cell r="J170">
            <v>0</v>
          </cell>
          <cell r="K170">
            <v>0</v>
          </cell>
          <cell r="L170">
            <v>0</v>
          </cell>
          <cell r="M170">
            <v>10000</v>
          </cell>
          <cell r="N170">
            <v>10000</v>
          </cell>
          <cell r="O170">
            <v>0</v>
          </cell>
          <cell r="P170">
            <v>10000</v>
          </cell>
          <cell r="Q170">
            <v>0</v>
          </cell>
          <cell r="R170">
            <v>-10000</v>
          </cell>
          <cell r="T170">
            <v>10000</v>
          </cell>
          <cell r="U170">
            <v>0</v>
          </cell>
          <cell r="V170">
            <v>0</v>
          </cell>
          <cell r="W170" t="str">
            <v>No información.</v>
          </cell>
        </row>
        <row r="171">
          <cell r="A171" t="str">
            <v>PY1166-JV-SERV PENITENCIARIOSYCARCELARIOS-R(7211)/HID-GEN</v>
          </cell>
          <cell r="B171" t="str">
            <v>Cierre</v>
          </cell>
          <cell r="C171" t="str">
            <v>24</v>
          </cell>
          <cell r="D171" t="str">
            <v>I. Municipal</v>
          </cell>
          <cell r="E171" t="str">
            <v>JNAVARRETE</v>
          </cell>
          <cell r="F171">
            <v>943924.21100000001</v>
          </cell>
          <cell r="G171">
            <v>758264.85529999994</v>
          </cell>
          <cell r="I171">
            <v>758264.85529999994</v>
          </cell>
          <cell r="J171">
            <v>0</v>
          </cell>
          <cell r="K171">
            <v>0</v>
          </cell>
          <cell r="L171">
            <v>0</v>
          </cell>
          <cell r="M171">
            <v>758264.85529999994</v>
          </cell>
          <cell r="N171">
            <v>758264.85529999994</v>
          </cell>
          <cell r="O171">
            <v>0</v>
          </cell>
          <cell r="P171">
            <v>758264.85529999994</v>
          </cell>
          <cell r="Q171">
            <v>0</v>
          </cell>
          <cell r="R171">
            <v>185659.35570000007</v>
          </cell>
          <cell r="T171">
            <v>754145.1862</v>
          </cell>
          <cell r="U171">
            <v>0</v>
          </cell>
          <cell r="V171">
            <v>0</v>
          </cell>
          <cell r="W171" t="str">
            <v>Adm: WSP
Reclamación ante el cliente por 123MCOP fuera de balance.  A cargo HidralObras.</v>
          </cell>
        </row>
        <row r="172">
          <cell r="A172" t="str">
            <v>PY1167-CORPOICA  DISEÑO CENTRO INV CARIMAGUA</v>
          </cell>
          <cell r="B172" t="str">
            <v>Cierre</v>
          </cell>
          <cell r="C172" t="str">
            <v>25</v>
          </cell>
          <cell r="D172" t="str">
            <v>I. Municipal</v>
          </cell>
          <cell r="E172" t="str">
            <v xml:space="preserve">NCASTAÑO  </v>
          </cell>
          <cell r="F172">
            <v>0</v>
          </cell>
          <cell r="G172">
            <v>27601.685750000001</v>
          </cell>
          <cell r="I172">
            <v>27601.685750000001</v>
          </cell>
          <cell r="J172">
            <v>0</v>
          </cell>
          <cell r="K172">
            <v>0</v>
          </cell>
          <cell r="L172">
            <v>0</v>
          </cell>
          <cell r="M172">
            <v>27601.685750000001</v>
          </cell>
          <cell r="N172">
            <v>27601.685750000001</v>
          </cell>
          <cell r="O172">
            <v>0</v>
          </cell>
          <cell r="P172">
            <v>27601.685750000001</v>
          </cell>
          <cell r="Q172">
            <v>0</v>
          </cell>
          <cell r="R172">
            <v>-27601.685750000001</v>
          </cell>
          <cell r="T172">
            <v>25835</v>
          </cell>
          <cell r="U172">
            <v>0</v>
          </cell>
          <cell r="V172">
            <v>0</v>
          </cell>
          <cell r="W172" t="str">
            <v>Terminar Proyecto</v>
          </cell>
        </row>
        <row r="173">
          <cell r="A173" t="str">
            <v>PY1168-WSP SUDAFRICA PANTALEON</v>
          </cell>
          <cell r="B173" t="str">
            <v>Cierre</v>
          </cell>
          <cell r="C173" t="str">
            <v>21</v>
          </cell>
          <cell r="D173" t="str">
            <v>M. Ambiente</v>
          </cell>
          <cell r="E173" t="str">
            <v xml:space="preserve">CBUITRAGO </v>
          </cell>
          <cell r="F173">
            <v>18579.87</v>
          </cell>
          <cell r="G173">
            <v>19043.07141</v>
          </cell>
          <cell r="I173">
            <v>19043.07141</v>
          </cell>
          <cell r="J173">
            <v>0</v>
          </cell>
          <cell r="K173">
            <v>0</v>
          </cell>
          <cell r="L173">
            <v>0</v>
          </cell>
          <cell r="M173">
            <v>19043.07141</v>
          </cell>
          <cell r="N173">
            <v>19043.07141</v>
          </cell>
          <cell r="O173">
            <v>0</v>
          </cell>
          <cell r="P173">
            <v>19043.07141</v>
          </cell>
          <cell r="Q173">
            <v>0</v>
          </cell>
          <cell r="R173">
            <v>-463.20141000000149</v>
          </cell>
          <cell r="T173">
            <v>18579.87</v>
          </cell>
          <cell r="U173">
            <v>0</v>
          </cell>
          <cell r="V173">
            <v>0</v>
          </cell>
          <cell r="W173" t="str">
            <v>No información.</v>
          </cell>
        </row>
        <row r="174">
          <cell r="A174" t="str">
            <v>PY1169-CONSORCIO VIAL DEL SUR SECTORES 1,4 Y 5</v>
          </cell>
          <cell r="B174" t="str">
            <v>Cierre</v>
          </cell>
          <cell r="C174" t="str">
            <v>21</v>
          </cell>
          <cell r="D174" t="str">
            <v>Transporte</v>
          </cell>
          <cell r="E174" t="str">
            <v xml:space="preserve">MPEREZ    </v>
          </cell>
          <cell r="F174">
            <v>189558.58900000001</v>
          </cell>
          <cell r="G174">
            <v>194208.38074000002</v>
          </cell>
          <cell r="I174">
            <v>194208.38074000002</v>
          </cell>
          <cell r="J174">
            <v>0</v>
          </cell>
          <cell r="K174">
            <v>0</v>
          </cell>
          <cell r="L174">
            <v>0</v>
          </cell>
          <cell r="M174">
            <v>194208.38074000002</v>
          </cell>
          <cell r="N174">
            <v>194208.38074000002</v>
          </cell>
          <cell r="O174">
            <v>0</v>
          </cell>
          <cell r="P174">
            <v>194208.38074000002</v>
          </cell>
          <cell r="Q174">
            <v>0</v>
          </cell>
          <cell r="R174">
            <v>-4649.7917400000151</v>
          </cell>
          <cell r="T174">
            <v>189558.58900000001</v>
          </cell>
          <cell r="U174">
            <v>-6460.0889999999999</v>
          </cell>
          <cell r="V174">
            <v>0</v>
          </cell>
          <cell r="W174" t="str">
            <v>No información.</v>
          </cell>
        </row>
        <row r="175">
          <cell r="A175" t="str">
            <v>PY1179-JV-FINDETER COLDEPORTES/INTERVENTOR PARQUES URBANOS</v>
          </cell>
          <cell r="B175" t="str">
            <v>Cierre</v>
          </cell>
          <cell r="C175" t="str">
            <v>21</v>
          </cell>
          <cell r="D175" t="str">
            <v>Edificaciones</v>
          </cell>
          <cell r="E175" t="str">
            <v xml:space="preserve">DGOMEZ    </v>
          </cell>
          <cell r="F175">
            <v>91698.180172000008</v>
          </cell>
          <cell r="G175">
            <v>99560.170700000002</v>
          </cell>
          <cell r="I175">
            <v>99560.170700000002</v>
          </cell>
          <cell r="J175">
            <v>0</v>
          </cell>
          <cell r="K175">
            <v>0</v>
          </cell>
          <cell r="L175">
            <v>0</v>
          </cell>
          <cell r="M175">
            <v>99560.170700000002</v>
          </cell>
          <cell r="N175">
            <v>99560.170700000002</v>
          </cell>
          <cell r="O175">
            <v>0</v>
          </cell>
          <cell r="P175">
            <v>99560.170700000002</v>
          </cell>
          <cell r="Q175">
            <v>0</v>
          </cell>
          <cell r="R175">
            <v>-7861.9905279999948</v>
          </cell>
          <cell r="T175">
            <v>77143.203200000004</v>
          </cell>
          <cell r="U175">
            <v>20066.367699999999</v>
          </cell>
          <cell r="V175">
            <v>-25844.750499999998</v>
          </cell>
          <cell r="W175" t="str">
            <v xml:space="preserve">Adm: WSP Somos 100%
OJO: Valor excedido al autorizado. Reversar WIP?
</v>
          </cell>
        </row>
        <row r="176">
          <cell r="A176" t="str">
            <v>PY1180-RPC-WSP ASESORIA MEDIO AMBIENTAL</v>
          </cell>
          <cell r="B176" t="str">
            <v>Cierre</v>
          </cell>
          <cell r="C176" t="str">
            <v>21</v>
          </cell>
          <cell r="D176" t="str">
            <v>I. Municipal</v>
          </cell>
          <cell r="E176" t="str">
            <v xml:space="preserve">MBAYONA   </v>
          </cell>
          <cell r="F176">
            <v>0</v>
          </cell>
          <cell r="G176">
            <v>38971.098010000009</v>
          </cell>
          <cell r="I176">
            <v>38971.098010000009</v>
          </cell>
          <cell r="J176">
            <v>0</v>
          </cell>
          <cell r="K176">
            <v>0</v>
          </cell>
          <cell r="L176">
            <v>0</v>
          </cell>
          <cell r="M176">
            <v>38971.098010000009</v>
          </cell>
          <cell r="N176">
            <v>38971.098010000009</v>
          </cell>
          <cell r="O176">
            <v>0</v>
          </cell>
          <cell r="P176">
            <v>38971.098010000009</v>
          </cell>
          <cell r="Q176">
            <v>0</v>
          </cell>
          <cell r="R176">
            <v>-38971.098010000009</v>
          </cell>
          <cell r="T176">
            <v>11734.78845</v>
          </cell>
          <cell r="U176">
            <v>0</v>
          </cell>
          <cell r="V176">
            <v>0</v>
          </cell>
          <cell r="W176" t="str">
            <v>Proyecto liquidado, terminar proyecto.</v>
          </cell>
        </row>
        <row r="177">
          <cell r="A177" t="str">
            <v>PY1204-EMGESA - IPAL</v>
          </cell>
          <cell r="B177" t="str">
            <v>Cierre</v>
          </cell>
          <cell r="C177" t="str">
            <v>21</v>
          </cell>
          <cell r="D177" t="str">
            <v>Energía</v>
          </cell>
          <cell r="E177" t="str">
            <v xml:space="preserve">LREY      </v>
          </cell>
          <cell r="F177">
            <v>370278.54100000003</v>
          </cell>
          <cell r="G177">
            <v>370278.571</v>
          </cell>
          <cell r="I177">
            <v>370278.571</v>
          </cell>
          <cell r="J177">
            <v>0</v>
          </cell>
          <cell r="K177">
            <v>0</v>
          </cell>
          <cell r="L177">
            <v>0</v>
          </cell>
          <cell r="M177">
            <v>370278.571</v>
          </cell>
          <cell r="N177">
            <v>370278.571</v>
          </cell>
          <cell r="O177">
            <v>0</v>
          </cell>
          <cell r="P177">
            <v>370278.571</v>
          </cell>
          <cell r="Q177">
            <v>0</v>
          </cell>
          <cell r="R177">
            <v>-2.9999999969732016E-2</v>
          </cell>
          <cell r="T177">
            <v>370278.571</v>
          </cell>
          <cell r="U177">
            <v>0</v>
          </cell>
          <cell r="V177">
            <v>0</v>
          </cell>
          <cell r="W177" t="str">
            <v>No información.</v>
          </cell>
        </row>
        <row r="178">
          <cell r="A178" t="str">
            <v>PY1209-GECELCA SERVICIO LEVANTAMIENTO TOPOGRAFICO</v>
          </cell>
          <cell r="B178" t="str">
            <v>Cierre</v>
          </cell>
          <cell r="C178" t="str">
            <v>22</v>
          </cell>
          <cell r="D178" t="str">
            <v>Energía</v>
          </cell>
          <cell r="E178" t="str">
            <v xml:space="preserve">VCARREÑO  </v>
          </cell>
          <cell r="F178">
            <v>22864.929</v>
          </cell>
          <cell r="G178">
            <v>22864.929</v>
          </cell>
          <cell r="I178">
            <v>22864.929</v>
          </cell>
          <cell r="J178">
            <v>0</v>
          </cell>
          <cell r="K178">
            <v>0</v>
          </cell>
          <cell r="L178">
            <v>0</v>
          </cell>
          <cell r="M178">
            <v>22864.929</v>
          </cell>
          <cell r="N178">
            <v>22864.929</v>
          </cell>
          <cell r="O178">
            <v>0</v>
          </cell>
          <cell r="P178">
            <v>22864.929</v>
          </cell>
          <cell r="Q178">
            <v>0</v>
          </cell>
          <cell r="R178">
            <v>0</v>
          </cell>
          <cell r="T178">
            <v>22864.929</v>
          </cell>
          <cell r="U178">
            <v>0</v>
          </cell>
          <cell r="V178">
            <v>0</v>
          </cell>
          <cell r="W178" t="str">
            <v>No información.</v>
          </cell>
        </row>
        <row r="179">
          <cell r="A179" t="str">
            <v>PY1214-I-D-8 BAHÍAS COMPENSACIÓN CAPACITIVA</v>
          </cell>
          <cell r="B179" t="str">
            <v>Cierre</v>
          </cell>
          <cell r="C179" t="str">
            <v>21</v>
          </cell>
          <cell r="D179" t="str">
            <v>Energía</v>
          </cell>
          <cell r="E179" t="str">
            <v xml:space="preserve">CTRILLOS  </v>
          </cell>
          <cell r="F179">
            <v>731861.24199999997</v>
          </cell>
          <cell r="G179">
            <v>741511.24165999994</v>
          </cell>
          <cell r="I179">
            <v>741511.24165999994</v>
          </cell>
          <cell r="J179">
            <v>0</v>
          </cell>
          <cell r="K179">
            <v>0</v>
          </cell>
          <cell r="L179">
            <v>0</v>
          </cell>
          <cell r="M179">
            <v>741511.24165999994</v>
          </cell>
          <cell r="N179">
            <v>741511.24165999994</v>
          </cell>
          <cell r="O179">
            <v>0</v>
          </cell>
          <cell r="P179">
            <v>741511.24165999994</v>
          </cell>
          <cell r="Q179">
            <v>0</v>
          </cell>
          <cell r="R179">
            <v>-9649.9996599999722</v>
          </cell>
          <cell r="T179">
            <v>731861.24199999997</v>
          </cell>
          <cell r="U179">
            <v>-3.4000000000000002E-4</v>
          </cell>
          <cell r="V179">
            <v>0</v>
          </cell>
          <cell r="W179" t="str">
            <v>No información.</v>
          </cell>
        </row>
        <row r="180">
          <cell r="A180" t="str">
            <v>PY1215-E-B233-AMPLIACION PISTA AEROPUERTO DE SANTA MARTA</v>
          </cell>
          <cell r="B180" t="str">
            <v>Cierre</v>
          </cell>
          <cell r="C180" t="str">
            <v>21</v>
          </cell>
          <cell r="D180" t="str">
            <v>Transporte</v>
          </cell>
          <cell r="E180" t="str">
            <v xml:space="preserve">JDUARTE   </v>
          </cell>
          <cell r="F180">
            <v>215076</v>
          </cell>
          <cell r="G180">
            <v>215076</v>
          </cell>
          <cell r="I180">
            <v>215076</v>
          </cell>
          <cell r="J180">
            <v>0</v>
          </cell>
          <cell r="K180">
            <v>0</v>
          </cell>
          <cell r="L180">
            <v>0</v>
          </cell>
          <cell r="M180">
            <v>215076</v>
          </cell>
          <cell r="N180">
            <v>215076</v>
          </cell>
          <cell r="O180">
            <v>0</v>
          </cell>
          <cell r="P180">
            <v>215076</v>
          </cell>
          <cell r="Q180">
            <v>0</v>
          </cell>
          <cell r="R180">
            <v>0</v>
          </cell>
          <cell r="T180">
            <v>215076</v>
          </cell>
          <cell r="U180">
            <v>0</v>
          </cell>
          <cell r="V180">
            <v>0</v>
          </cell>
          <cell r="W180" t="str">
            <v>No información.</v>
          </cell>
        </row>
        <row r="181">
          <cell r="A181" t="str">
            <v>PY1230-ELECTROHUILA-DISEÑO "LA PLATA"</v>
          </cell>
          <cell r="B181" t="str">
            <v>Cierre</v>
          </cell>
          <cell r="C181" t="str">
            <v>21</v>
          </cell>
          <cell r="D181" t="str">
            <v>Energía</v>
          </cell>
          <cell r="E181" t="str">
            <v xml:space="preserve">LAVELLA   </v>
          </cell>
          <cell r="F181">
            <v>213329.12</v>
          </cell>
          <cell r="G181">
            <v>202481.016</v>
          </cell>
          <cell r="I181">
            <v>202481.016</v>
          </cell>
          <cell r="J181">
            <v>0</v>
          </cell>
          <cell r="K181">
            <v>0</v>
          </cell>
          <cell r="L181">
            <v>150</v>
          </cell>
          <cell r="M181">
            <v>202631.016</v>
          </cell>
          <cell r="N181">
            <v>202481.016</v>
          </cell>
          <cell r="O181">
            <v>-150</v>
          </cell>
          <cell r="P181">
            <v>202631.016</v>
          </cell>
          <cell r="Q181">
            <v>150</v>
          </cell>
          <cell r="R181">
            <v>10848.103999999992</v>
          </cell>
          <cell r="T181">
            <v>162300.79500000001</v>
          </cell>
          <cell r="U181">
            <v>40180.220999999998</v>
          </cell>
          <cell r="V181">
            <v>0</v>
          </cell>
          <cell r="W181" t="str">
            <v>No información.</v>
          </cell>
        </row>
        <row r="182">
          <cell r="A182" t="str">
            <v>PY1235-GOB. ATLANTICO-I-VIA POLO NUEVO PITALITO MALAMBO</v>
          </cell>
          <cell r="B182" t="str">
            <v>Cierre</v>
          </cell>
          <cell r="C182" t="str">
            <v>22</v>
          </cell>
          <cell r="D182" t="str">
            <v>Transporte</v>
          </cell>
          <cell r="E182" t="str">
            <v xml:space="preserve">MBUENDIA  </v>
          </cell>
          <cell r="F182">
            <v>0</v>
          </cell>
          <cell r="G182">
            <v>478624.65104000003</v>
          </cell>
          <cell r="I182">
            <v>478624.65104000003</v>
          </cell>
          <cell r="J182">
            <v>0</v>
          </cell>
          <cell r="K182">
            <v>998</v>
          </cell>
          <cell r="L182">
            <v>0</v>
          </cell>
          <cell r="M182">
            <v>479622.65104000003</v>
          </cell>
          <cell r="N182">
            <v>478624.65104000003</v>
          </cell>
          <cell r="O182">
            <v>-998</v>
          </cell>
          <cell r="P182">
            <v>479622.65104000003</v>
          </cell>
          <cell r="Q182">
            <v>998</v>
          </cell>
          <cell r="R182">
            <v>-478624.65104000003</v>
          </cell>
          <cell r="T182">
            <v>413019</v>
          </cell>
          <cell r="U182">
            <v>0</v>
          </cell>
          <cell r="V182">
            <v>0</v>
          </cell>
          <cell r="W182" t="str">
            <v>No información.</v>
          </cell>
        </row>
        <row r="183">
          <cell r="A183" t="str">
            <v>PY1237-JV-INVIAS-INTERVENTORIA-CASANARE MOD 1  CONSORCIO CJ</v>
          </cell>
          <cell r="B183" t="str">
            <v>Cierre</v>
          </cell>
          <cell r="C183" t="str">
            <v>25</v>
          </cell>
          <cell r="D183" t="str">
            <v>Transporte</v>
          </cell>
          <cell r="E183" t="str">
            <v xml:space="preserve">TLUQUEZ   </v>
          </cell>
          <cell r="F183">
            <v>299309.5</v>
          </cell>
          <cell r="G183">
            <v>-2680.5014999999999</v>
          </cell>
          <cell r="I183">
            <v>-2680.5014999999999</v>
          </cell>
          <cell r="J183">
            <v>0</v>
          </cell>
          <cell r="K183">
            <v>0</v>
          </cell>
          <cell r="L183">
            <v>565.72699999999998</v>
          </cell>
          <cell r="M183">
            <v>-2114.7745</v>
          </cell>
          <cell r="N183">
            <v>-2680.5014999999999</v>
          </cell>
          <cell r="O183">
            <v>-565.72699999999986</v>
          </cell>
          <cell r="P183">
            <v>-2114.7745</v>
          </cell>
          <cell r="Q183">
            <v>565.72699999999986</v>
          </cell>
          <cell r="R183">
            <v>301990.00150000001</v>
          </cell>
          <cell r="T183">
            <v>0</v>
          </cell>
          <cell r="U183">
            <v>-2680.5</v>
          </cell>
          <cell r="V183">
            <v>-54237.4</v>
          </cell>
          <cell r="W183" t="str">
            <v xml:space="preserve">Adm: WSP </v>
          </cell>
        </row>
        <row r="184">
          <cell r="A184" t="str">
            <v>PY1243-ALCALDIA POPAYAN-ESTUDIOS Y DISEÑOS</v>
          </cell>
          <cell r="B184" t="str">
            <v>Cierre</v>
          </cell>
          <cell r="C184" t="str">
            <v>24</v>
          </cell>
          <cell r="D184" t="str">
            <v>I. Municipal</v>
          </cell>
          <cell r="E184" t="str">
            <v xml:space="preserve">CZAPATA   </v>
          </cell>
          <cell r="F184">
            <v>26784.953000000001</v>
          </cell>
          <cell r="G184">
            <v>-3007.8380000000002</v>
          </cell>
          <cell r="I184">
            <v>-3007.8380000000002</v>
          </cell>
          <cell r="J184">
            <v>0</v>
          </cell>
          <cell r="K184">
            <v>0</v>
          </cell>
          <cell r="L184">
            <v>0</v>
          </cell>
          <cell r="M184">
            <v>-3007.8380000000002</v>
          </cell>
          <cell r="N184">
            <v>-3007.8380000000002</v>
          </cell>
          <cell r="O184">
            <v>0</v>
          </cell>
          <cell r="P184">
            <v>-3007.8380000000002</v>
          </cell>
          <cell r="Q184">
            <v>0</v>
          </cell>
          <cell r="R184">
            <v>29792.791000000001</v>
          </cell>
          <cell r="T184">
            <v>0</v>
          </cell>
          <cell r="U184">
            <v>0</v>
          </cell>
          <cell r="V184">
            <v>0</v>
          </cell>
          <cell r="W184" t="str">
            <v>Proyecto liquidado, terminar proyecto.</v>
          </cell>
        </row>
        <row r="185">
          <cell r="A185" t="str">
            <v>PY1244-CENS ECOPETROL-000018-I-ELECTRIFICACION RURAL</v>
          </cell>
          <cell r="B185" t="str">
            <v>Cierre</v>
          </cell>
          <cell r="C185" t="str">
            <v>21</v>
          </cell>
          <cell r="D185" t="str">
            <v>Energía</v>
          </cell>
          <cell r="E185" t="str">
            <v xml:space="preserve">LREY      </v>
          </cell>
          <cell r="F185">
            <v>461104.99800000002</v>
          </cell>
          <cell r="G185">
            <v>471271.33560000005</v>
          </cell>
          <cell r="I185">
            <v>471271.33560000005</v>
          </cell>
          <cell r="J185">
            <v>3773.3044725000004</v>
          </cell>
          <cell r="K185">
            <v>0</v>
          </cell>
          <cell r="L185">
            <v>692.44100000000003</v>
          </cell>
          <cell r="M185">
            <v>475737.08107250003</v>
          </cell>
          <cell r="N185">
            <v>471271.33560000005</v>
          </cell>
          <cell r="O185">
            <v>-4465.7454724999843</v>
          </cell>
          <cell r="P185">
            <v>471963.77660000004</v>
          </cell>
          <cell r="Q185">
            <v>692.44099999999162</v>
          </cell>
          <cell r="R185">
            <v>-10166.337600000028</v>
          </cell>
          <cell r="T185">
            <v>460695.47899999999</v>
          </cell>
          <cell r="U185">
            <v>10575.856599999999</v>
          </cell>
          <cell r="V185">
            <v>11684.619000000001</v>
          </cell>
          <cell r="W185" t="str">
            <v>No información.</v>
          </cell>
        </row>
        <row r="186">
          <cell r="A186" t="str">
            <v>PY1245-OHL - A - AEROPUERTO BUCARAMANGA</v>
          </cell>
          <cell r="B186" t="str">
            <v>Cierre</v>
          </cell>
          <cell r="C186" t="str">
            <v>21</v>
          </cell>
          <cell r="D186" t="str">
            <v>Transporte</v>
          </cell>
          <cell r="E186" t="str">
            <v xml:space="preserve">TLUQUEZ   </v>
          </cell>
          <cell r="F186">
            <v>41675.21</v>
          </cell>
          <cell r="G186">
            <v>41675.210500000001</v>
          </cell>
          <cell r="I186">
            <v>41675.210500000001</v>
          </cell>
          <cell r="J186">
            <v>0</v>
          </cell>
          <cell r="K186">
            <v>0</v>
          </cell>
          <cell r="L186">
            <v>0</v>
          </cell>
          <cell r="M186">
            <v>41675.210500000001</v>
          </cell>
          <cell r="N186">
            <v>41675.210500000001</v>
          </cell>
          <cell r="O186">
            <v>0</v>
          </cell>
          <cell r="P186">
            <v>41675.210500000001</v>
          </cell>
          <cell r="Q186">
            <v>0</v>
          </cell>
          <cell r="R186">
            <v>-5.0000000192085281E-4</v>
          </cell>
          <cell r="T186">
            <v>41675.21</v>
          </cell>
          <cell r="U186">
            <v>5.0000000000000001E-4</v>
          </cell>
          <cell r="V186">
            <v>0</v>
          </cell>
          <cell r="W186" t="str">
            <v>No información.</v>
          </cell>
        </row>
        <row r="187">
          <cell r="A187" t="str">
            <v>PY1257-ISA-816-D-REDES VEREDAS MESA BALSILLAS-MUN ORTEGA</v>
          </cell>
          <cell r="B187" t="str">
            <v>Cierre</v>
          </cell>
          <cell r="C187" t="str">
            <v>24</v>
          </cell>
          <cell r="D187" t="str">
            <v>Energía</v>
          </cell>
          <cell r="E187" t="str">
            <v xml:space="preserve">CZAPATA   </v>
          </cell>
          <cell r="F187">
            <v>51724.137999999999</v>
          </cell>
          <cell r="G187">
            <v>53600</v>
          </cell>
          <cell r="I187">
            <v>53600</v>
          </cell>
          <cell r="J187">
            <v>0</v>
          </cell>
          <cell r="K187">
            <v>0</v>
          </cell>
          <cell r="L187">
            <v>0</v>
          </cell>
          <cell r="M187">
            <v>53600</v>
          </cell>
          <cell r="N187">
            <v>53600</v>
          </cell>
          <cell r="O187">
            <v>0</v>
          </cell>
          <cell r="P187">
            <v>53600</v>
          </cell>
          <cell r="Q187">
            <v>0</v>
          </cell>
          <cell r="R187">
            <v>-1875.862000000001</v>
          </cell>
          <cell r="T187">
            <v>53600</v>
          </cell>
          <cell r="U187">
            <v>0</v>
          </cell>
          <cell r="V187">
            <v>0</v>
          </cell>
          <cell r="W187" t="str">
            <v>Es necesario actualizar el valor autorizado pues el valor ejecutado corresponde exactamente al valor facturado. Se espera liquidar proyecto en junio.</v>
          </cell>
        </row>
        <row r="188">
          <cell r="A188" t="str">
            <v>PY1281-UPME_008_D_AMPLIACION_DE_LA_SE_VALLEDUPAR_A_230KV.</v>
          </cell>
          <cell r="B188" t="str">
            <v>Cierre</v>
          </cell>
          <cell r="C188" t="str">
            <v>24</v>
          </cell>
          <cell r="D188" t="str">
            <v>Energía</v>
          </cell>
          <cell r="E188" t="str">
            <v xml:space="preserve">CZAPATA   </v>
          </cell>
          <cell r="F188">
            <v>13000</v>
          </cell>
          <cell r="G188">
            <v>13000</v>
          </cell>
          <cell r="I188">
            <v>13000</v>
          </cell>
          <cell r="J188">
            <v>0</v>
          </cell>
          <cell r="K188">
            <v>0</v>
          </cell>
          <cell r="L188">
            <v>0</v>
          </cell>
          <cell r="M188">
            <v>13000</v>
          </cell>
          <cell r="N188">
            <v>13000</v>
          </cell>
          <cell r="O188">
            <v>0</v>
          </cell>
          <cell r="P188">
            <v>13000</v>
          </cell>
          <cell r="Q188">
            <v>0</v>
          </cell>
          <cell r="R188">
            <v>0</v>
          </cell>
          <cell r="T188">
            <v>13000</v>
          </cell>
          <cell r="U188">
            <v>0</v>
          </cell>
          <cell r="V188">
            <v>0</v>
          </cell>
          <cell r="W188" t="str">
            <v>Proyecto finalizado.</v>
          </cell>
        </row>
        <row r="189">
          <cell r="A189" t="str">
            <v>PY1302-LATTITUDE-D-ZIRUMA-ADULTO MAYOR Y COLISEO GAIRA</v>
          </cell>
          <cell r="B189" t="str">
            <v>Cierre</v>
          </cell>
          <cell r="C189" t="str">
            <v>22</v>
          </cell>
          <cell r="D189" t="str">
            <v>Edificaciones</v>
          </cell>
          <cell r="E189" t="str">
            <v xml:space="preserve">NDECASTRO </v>
          </cell>
          <cell r="F189">
            <v>55000</v>
          </cell>
          <cell r="G189">
            <v>48772.758099999999</v>
          </cell>
          <cell r="I189">
            <v>48772.758099999999</v>
          </cell>
          <cell r="J189">
            <v>49.122807299999998</v>
          </cell>
          <cell r="K189">
            <v>0</v>
          </cell>
          <cell r="L189">
            <v>0</v>
          </cell>
          <cell r="M189">
            <v>48821.880907300001</v>
          </cell>
          <cell r="N189">
            <v>48772.758099999999</v>
          </cell>
          <cell r="O189">
            <v>-49.122807300002023</v>
          </cell>
          <cell r="P189">
            <v>48772.758099999999</v>
          </cell>
          <cell r="Q189">
            <v>0</v>
          </cell>
          <cell r="R189">
            <v>6227.2419000000009</v>
          </cell>
          <cell r="T189">
            <v>0</v>
          </cell>
          <cell r="U189">
            <v>48772.758099999999</v>
          </cell>
          <cell r="V189">
            <v>0</v>
          </cell>
          <cell r="W189" t="str">
            <v>rediseño de los puentes,  se refiere a una no conformidad del entregable que debe corregirse antes de liberarlo al cliente.</v>
          </cell>
        </row>
        <row r="190">
          <cell r="A190" t="str">
            <v>PY1308-COLORCON - D- SEDE LABORATORIO CIUDAD DE BOGOTA</v>
          </cell>
          <cell r="B190" t="str">
            <v>Cierre</v>
          </cell>
          <cell r="C190" t="str">
            <v>21</v>
          </cell>
          <cell r="D190" t="str">
            <v>Edificaciones</v>
          </cell>
          <cell r="E190" t="str">
            <v xml:space="preserve">DGOMEZ    </v>
          </cell>
          <cell r="F190">
            <v>29050</v>
          </cell>
          <cell r="G190">
            <v>26000</v>
          </cell>
          <cell r="I190">
            <v>26000</v>
          </cell>
          <cell r="J190">
            <v>0</v>
          </cell>
          <cell r="K190">
            <v>0</v>
          </cell>
          <cell r="L190">
            <v>0</v>
          </cell>
          <cell r="M190">
            <v>26000</v>
          </cell>
          <cell r="N190">
            <v>26000</v>
          </cell>
          <cell r="O190">
            <v>0</v>
          </cell>
          <cell r="P190">
            <v>26000</v>
          </cell>
          <cell r="Q190">
            <v>0</v>
          </cell>
          <cell r="R190">
            <v>3050</v>
          </cell>
          <cell r="T190">
            <v>29050</v>
          </cell>
          <cell r="U190">
            <v>-3050</v>
          </cell>
          <cell r="V190">
            <v>0</v>
          </cell>
          <cell r="W190" t="str">
            <v>No información.</v>
          </cell>
        </row>
        <row r="191">
          <cell r="A191" t="str">
            <v>PY1326-ARD_277_E_OPTIMIZACION Y AMPLIACION_MIRANDA-CAUCA</v>
          </cell>
          <cell r="B191" t="str">
            <v>Cierre</v>
          </cell>
          <cell r="C191" t="str">
            <v>24</v>
          </cell>
          <cell r="D191" t="str">
            <v>Energía</v>
          </cell>
          <cell r="E191" t="str">
            <v xml:space="preserve">APAEZ     </v>
          </cell>
          <cell r="F191">
            <v>49290</v>
          </cell>
          <cell r="G191">
            <v>49447.728000000003</v>
          </cell>
          <cell r="I191">
            <v>49447.728000000003</v>
          </cell>
          <cell r="J191">
            <v>0</v>
          </cell>
          <cell r="K191">
            <v>0</v>
          </cell>
          <cell r="L191">
            <v>0</v>
          </cell>
          <cell r="M191">
            <v>49447.728000000003</v>
          </cell>
          <cell r="N191">
            <v>49447.728000000003</v>
          </cell>
          <cell r="O191">
            <v>0</v>
          </cell>
          <cell r="P191">
            <v>49447.728000000003</v>
          </cell>
          <cell r="Q191">
            <v>0</v>
          </cell>
          <cell r="R191">
            <v>-157.72800000000279</v>
          </cell>
          <cell r="T191">
            <v>49447.728000000003</v>
          </cell>
          <cell r="U191">
            <v>0</v>
          </cell>
          <cell r="V191">
            <v>0</v>
          </cell>
          <cell r="W191" t="str">
            <v>Es necesario actualizar el valor autorizado pues el valor ejecutado corresponde exactamente al valor facturado; este proyecto fue totalmente finalizado.</v>
          </cell>
        </row>
        <row r="192">
          <cell r="A192" t="str">
            <v>PY1337-LATTITUDE-D-DISEÑO CENTRO DEL ADULTO MAYOR</v>
          </cell>
          <cell r="B192" t="str">
            <v>Cierre</v>
          </cell>
          <cell r="C192" t="str">
            <v>22</v>
          </cell>
          <cell r="D192" t="str">
            <v>Edificaciones</v>
          </cell>
          <cell r="E192" t="str">
            <v xml:space="preserve">NDECASTRO </v>
          </cell>
          <cell r="F192">
            <v>16509.95</v>
          </cell>
          <cell r="G192">
            <v>16509.95</v>
          </cell>
          <cell r="I192">
            <v>16509.95</v>
          </cell>
          <cell r="J192">
            <v>0</v>
          </cell>
          <cell r="K192">
            <v>0</v>
          </cell>
          <cell r="L192">
            <v>0</v>
          </cell>
          <cell r="M192">
            <v>16509.95</v>
          </cell>
          <cell r="N192">
            <v>16509.95</v>
          </cell>
          <cell r="O192">
            <v>0</v>
          </cell>
          <cell r="P192">
            <v>16509.95</v>
          </cell>
          <cell r="Q192">
            <v>0</v>
          </cell>
          <cell r="R192">
            <v>0</v>
          </cell>
          <cell r="T192">
            <v>16509.95</v>
          </cell>
          <cell r="U192">
            <v>0</v>
          </cell>
          <cell r="V192">
            <v>0</v>
          </cell>
          <cell r="W192" t="str">
            <v>No información.</v>
          </cell>
        </row>
        <row r="193">
          <cell r="A193" t="str">
            <v>PY1343-FONDO ADAPTACION-E-SITIOS CRITICOS NOR SANTANDER</v>
          </cell>
          <cell r="B193" t="str">
            <v>Cierre</v>
          </cell>
          <cell r="C193" t="str">
            <v>21</v>
          </cell>
          <cell r="D193" t="str">
            <v>Transporte</v>
          </cell>
          <cell r="E193" t="str">
            <v xml:space="preserve">OMESA     </v>
          </cell>
          <cell r="F193">
            <v>28800</v>
          </cell>
          <cell r="G193">
            <v>44623.685170000004</v>
          </cell>
          <cell r="I193">
            <v>44623.685170000004</v>
          </cell>
          <cell r="J193">
            <v>0</v>
          </cell>
          <cell r="K193">
            <v>0</v>
          </cell>
          <cell r="L193">
            <v>0</v>
          </cell>
          <cell r="M193">
            <v>44623.685170000004</v>
          </cell>
          <cell r="N193">
            <v>44623.685170000004</v>
          </cell>
          <cell r="O193">
            <v>0</v>
          </cell>
          <cell r="P193">
            <v>44623.685170000004</v>
          </cell>
          <cell r="Q193">
            <v>0</v>
          </cell>
          <cell r="R193">
            <v>-15823.685170000004</v>
          </cell>
          <cell r="T193">
            <v>0</v>
          </cell>
          <cell r="U193">
            <v>0</v>
          </cell>
          <cell r="V193">
            <v>0</v>
          </cell>
          <cell r="W193" t="str">
            <v>No información.</v>
          </cell>
        </row>
        <row r="194">
          <cell r="A194" t="str">
            <v>PY1391-ELECTROHUILA-025-S-CONS. SE PITALITO-HUILA</v>
          </cell>
          <cell r="B194" t="str">
            <v>Cierre</v>
          </cell>
          <cell r="C194" t="str">
            <v>21</v>
          </cell>
          <cell r="D194" t="str">
            <v>Energía</v>
          </cell>
          <cell r="E194" t="str">
            <v xml:space="preserve">LREY      </v>
          </cell>
          <cell r="F194">
            <v>189250</v>
          </cell>
          <cell r="G194">
            <v>202615.7242</v>
          </cell>
          <cell r="I194">
            <v>202615.7242</v>
          </cell>
          <cell r="J194">
            <v>0</v>
          </cell>
          <cell r="K194">
            <v>0</v>
          </cell>
          <cell r="L194">
            <v>95.004999999999995</v>
          </cell>
          <cell r="M194">
            <v>202710.7292</v>
          </cell>
          <cell r="N194">
            <v>202615.7242</v>
          </cell>
          <cell r="O194">
            <v>-95.005000000004657</v>
          </cell>
          <cell r="P194">
            <v>202710.7292</v>
          </cell>
          <cell r="Q194">
            <v>95.005000000004657</v>
          </cell>
          <cell r="R194">
            <v>-13365.724199999997</v>
          </cell>
          <cell r="T194">
            <v>136260</v>
          </cell>
          <cell r="U194">
            <v>66355.724199999997</v>
          </cell>
          <cell r="V194">
            <v>0</v>
          </cell>
          <cell r="W194" t="str">
            <v>El dia 27 de Mayo se establecio procedimiento para la liquidacion de los contratos para poder proceder a la liquidacion de los mismos.</v>
          </cell>
        </row>
        <row r="195">
          <cell r="A195" t="str">
            <v>PY1396-JV-UPME-011 2015-A-ATRACTIVIDAD MINERIA / BOYD-WSP</v>
          </cell>
          <cell r="B195" t="str">
            <v>Cierre</v>
          </cell>
          <cell r="C195" t="str">
            <v>23</v>
          </cell>
          <cell r="D195" t="str">
            <v>Oil &amp; Gas</v>
          </cell>
          <cell r="E195" t="str">
            <v xml:space="preserve">OHORTUA   </v>
          </cell>
          <cell r="F195">
            <v>969827.58600000001</v>
          </cell>
          <cell r="G195">
            <v>964124.99955000007</v>
          </cell>
          <cell r="I195">
            <v>964124.99955000007</v>
          </cell>
          <cell r="J195">
            <v>0</v>
          </cell>
          <cell r="K195">
            <v>0</v>
          </cell>
          <cell r="L195">
            <v>1952.9929999999999</v>
          </cell>
          <cell r="M195">
            <v>966077.99255000008</v>
          </cell>
          <cell r="N195">
            <v>964124.99955000007</v>
          </cell>
          <cell r="O195">
            <v>-1952.9930000000168</v>
          </cell>
          <cell r="P195">
            <v>966077.99255000008</v>
          </cell>
          <cell r="Q195">
            <v>1952.9930000000168</v>
          </cell>
          <cell r="R195">
            <v>5702.5864499999443</v>
          </cell>
          <cell r="T195">
            <v>982327.58649999998</v>
          </cell>
          <cell r="U195">
            <v>-18202.586950000004</v>
          </cell>
          <cell r="V195">
            <v>2624.9997499999999</v>
          </cell>
          <cell r="W195" t="str">
            <v>Adm: WSP En liquidación.Se registró la facturación de administración como ingreso operativo, debe corregirse (12,5 MCOP). Del WIP, 5,7 MCOP</v>
          </cell>
        </row>
        <row r="196">
          <cell r="A196" t="str">
            <v>PY1402-TECHNOELITE-D-INGENIERÍA BARANOA</v>
          </cell>
          <cell r="B196" t="str">
            <v>Cierre</v>
          </cell>
          <cell r="C196" t="str">
            <v>22</v>
          </cell>
          <cell r="D196" t="str">
            <v>Energía</v>
          </cell>
          <cell r="E196" t="str">
            <v xml:space="preserve">RRAMBAO   </v>
          </cell>
          <cell r="F196">
            <v>7677.2420000000002</v>
          </cell>
          <cell r="G196">
            <v>7677.2719999999999</v>
          </cell>
          <cell r="I196">
            <v>7677.2719999999999</v>
          </cell>
          <cell r="J196">
            <v>0</v>
          </cell>
          <cell r="K196">
            <v>0</v>
          </cell>
          <cell r="L196">
            <v>0.27300000000000002</v>
          </cell>
          <cell r="M196">
            <v>7677.5450000000001</v>
          </cell>
          <cell r="N196">
            <v>7677.2719999999999</v>
          </cell>
          <cell r="O196">
            <v>-0.27300000000013824</v>
          </cell>
          <cell r="P196">
            <v>7677.5450000000001</v>
          </cell>
          <cell r="Q196">
            <v>0.27300000000013824</v>
          </cell>
          <cell r="R196">
            <v>-2.9999999999745341E-2</v>
          </cell>
          <cell r="T196">
            <v>7677.2719999999999</v>
          </cell>
          <cell r="U196">
            <v>0</v>
          </cell>
          <cell r="V196">
            <v>0</v>
          </cell>
          <cell r="W196" t="str">
            <v>No información.</v>
          </cell>
        </row>
        <row r="197">
          <cell r="A197" t="str">
            <v>PY1416-GEOMATICA-LT SOGAMOSO-NORTE TEQUENDAMA 500KV</v>
          </cell>
          <cell r="B197" t="str">
            <v>Cierre</v>
          </cell>
          <cell r="C197" t="str">
            <v>21</v>
          </cell>
          <cell r="D197" t="str">
            <v>Telecom</v>
          </cell>
          <cell r="E197" t="str">
            <v xml:space="preserve">JCARRILLO </v>
          </cell>
          <cell r="F197">
            <v>0</v>
          </cell>
          <cell r="G197">
            <v>0</v>
          </cell>
          <cell r="I197">
            <v>0</v>
          </cell>
          <cell r="J197">
            <v>0</v>
          </cell>
          <cell r="K197">
            <v>0</v>
          </cell>
          <cell r="L197">
            <v>0</v>
          </cell>
          <cell r="M197">
            <v>0</v>
          </cell>
          <cell r="N197">
            <v>0</v>
          </cell>
          <cell r="O197">
            <v>0</v>
          </cell>
          <cell r="P197">
            <v>0</v>
          </cell>
          <cell r="Q197">
            <v>0</v>
          </cell>
          <cell r="R197">
            <v>0</v>
          </cell>
          <cell r="T197">
            <v>0</v>
          </cell>
          <cell r="U197">
            <v>0</v>
          </cell>
          <cell r="V197">
            <v>0</v>
          </cell>
          <cell r="W197" t="str">
            <v>No información.</v>
          </cell>
        </row>
        <row r="198">
          <cell r="A198" t="str">
            <v>PY1425-PARSONS-ID-SOGAMOSO-NORTE-TEQUENDAMA FASEII</v>
          </cell>
          <cell r="B198" t="str">
            <v>Cierre</v>
          </cell>
          <cell r="C198" t="str">
            <v>21</v>
          </cell>
          <cell r="D198" t="str">
            <v>Energía</v>
          </cell>
          <cell r="E198" t="str">
            <v xml:space="preserve">LQUINTERO </v>
          </cell>
          <cell r="F198">
            <v>0</v>
          </cell>
          <cell r="G198">
            <v>0</v>
          </cell>
          <cell r="I198">
            <v>0</v>
          </cell>
          <cell r="J198">
            <v>0</v>
          </cell>
          <cell r="K198">
            <v>0</v>
          </cell>
          <cell r="L198">
            <v>0</v>
          </cell>
          <cell r="M198">
            <v>0</v>
          </cell>
          <cell r="N198">
            <v>0</v>
          </cell>
          <cell r="O198">
            <v>0</v>
          </cell>
          <cell r="P198">
            <v>0</v>
          </cell>
          <cell r="Q198">
            <v>0</v>
          </cell>
          <cell r="R198">
            <v>0</v>
          </cell>
          <cell r="T198">
            <v>0</v>
          </cell>
          <cell r="U198">
            <v>0</v>
          </cell>
          <cell r="V198">
            <v>0</v>
          </cell>
          <cell r="W198" t="str">
            <v>No información.</v>
          </cell>
        </row>
        <row r="199">
          <cell r="A199" t="str">
            <v>PY1465-CEPSA-ABASTECICIMIENTO DE CEPCOLSA-128.02</v>
          </cell>
          <cell r="B199" t="str">
            <v>Cierre</v>
          </cell>
          <cell r="C199" t="str">
            <v>21</v>
          </cell>
          <cell r="D199" t="str">
            <v>Oil &amp; Gas</v>
          </cell>
          <cell r="E199" t="str">
            <v xml:space="preserve">SMARTINEZ </v>
          </cell>
          <cell r="F199">
            <v>1074040.375</v>
          </cell>
          <cell r="G199">
            <v>0</v>
          </cell>
          <cell r="I199">
            <v>0</v>
          </cell>
          <cell r="J199">
            <v>0</v>
          </cell>
          <cell r="K199">
            <v>0</v>
          </cell>
          <cell r="L199">
            <v>0</v>
          </cell>
          <cell r="M199">
            <v>0</v>
          </cell>
          <cell r="N199">
            <v>0</v>
          </cell>
          <cell r="O199">
            <v>0</v>
          </cell>
          <cell r="P199">
            <v>0</v>
          </cell>
          <cell r="Q199">
            <v>0</v>
          </cell>
          <cell r="R199">
            <v>1074040.375</v>
          </cell>
          <cell r="T199">
            <v>0</v>
          </cell>
          <cell r="U199">
            <v>0</v>
          </cell>
          <cell r="V199">
            <v>0</v>
          </cell>
          <cell r="W199" t="str">
            <v>No información.</v>
          </cell>
        </row>
        <row r="200">
          <cell r="A200" t="str">
            <v>PY1466-CEPSA-ABASTECICIMIENTO DE CEPCOLSA-128.01</v>
          </cell>
          <cell r="B200" t="str">
            <v>Cierre</v>
          </cell>
          <cell r="C200" t="str">
            <v>21</v>
          </cell>
          <cell r="D200" t="str">
            <v>Oil &amp; Gas</v>
          </cell>
          <cell r="E200" t="str">
            <v xml:space="preserve">SMARTINEZ </v>
          </cell>
          <cell r="F200">
            <v>1946555.44</v>
          </cell>
          <cell r="G200">
            <v>0</v>
          </cell>
          <cell r="I200">
            <v>0</v>
          </cell>
          <cell r="J200">
            <v>0</v>
          </cell>
          <cell r="K200">
            <v>0</v>
          </cell>
          <cell r="L200">
            <v>0</v>
          </cell>
          <cell r="M200">
            <v>0</v>
          </cell>
          <cell r="N200">
            <v>0</v>
          </cell>
          <cell r="O200">
            <v>0</v>
          </cell>
          <cell r="P200">
            <v>0</v>
          </cell>
          <cell r="Q200">
            <v>0</v>
          </cell>
          <cell r="R200">
            <v>1946555.44</v>
          </cell>
          <cell r="T200">
            <v>0</v>
          </cell>
          <cell r="U200">
            <v>0</v>
          </cell>
          <cell r="V200">
            <v>0</v>
          </cell>
          <cell r="W200" t="str">
            <v>No información.</v>
          </cell>
        </row>
        <row r="201">
          <cell r="A201" t="str">
            <v>PY1468-EAAB-TANQUE SANTO DOMINGO-ALTOS ESTANCIA-2.39</v>
          </cell>
          <cell r="B201" t="str">
            <v>Cierre</v>
          </cell>
          <cell r="C201" t="str">
            <v>21</v>
          </cell>
          <cell r="D201" t="str">
            <v>I. Municipal</v>
          </cell>
          <cell r="E201" t="str">
            <v xml:space="preserve">AANTENOR  </v>
          </cell>
          <cell r="F201">
            <v>0</v>
          </cell>
          <cell r="G201">
            <v>14683.168</v>
          </cell>
          <cell r="I201">
            <v>14683.168</v>
          </cell>
          <cell r="J201">
            <v>0</v>
          </cell>
          <cell r="K201">
            <v>0</v>
          </cell>
          <cell r="L201">
            <v>0</v>
          </cell>
          <cell r="M201">
            <v>14683.168</v>
          </cell>
          <cell r="N201">
            <v>14683.168</v>
          </cell>
          <cell r="O201">
            <v>0</v>
          </cell>
          <cell r="P201">
            <v>14683.168</v>
          </cell>
          <cell r="Q201">
            <v>0</v>
          </cell>
          <cell r="R201">
            <v>-14683.168</v>
          </cell>
          <cell r="T201">
            <v>14683.168</v>
          </cell>
          <cell r="U201">
            <v>0</v>
          </cell>
          <cell r="V201">
            <v>0</v>
          </cell>
          <cell r="W201" t="str">
            <v>Proyecto no corresponde a Infraestructura Municipal</v>
          </cell>
        </row>
        <row r="202">
          <cell r="A202" t="str">
            <v>PY1469-ECOPETROL-GERENCIA TÉCNICA TRANSPORTE-64.26</v>
          </cell>
          <cell r="B202" t="str">
            <v>Cierre</v>
          </cell>
          <cell r="C202" t="str">
            <v>21</v>
          </cell>
          <cell r="D202" t="str">
            <v>Oil &amp; Gas</v>
          </cell>
          <cell r="E202" t="str">
            <v xml:space="preserve">SMARTINEZ </v>
          </cell>
          <cell r="F202">
            <v>2114074.5580000002</v>
          </cell>
          <cell r="G202">
            <v>54540.277000000002</v>
          </cell>
          <cell r="I202">
            <v>54540.277000000002</v>
          </cell>
          <cell r="J202">
            <v>0</v>
          </cell>
          <cell r="K202">
            <v>0</v>
          </cell>
          <cell r="L202">
            <v>0</v>
          </cell>
          <cell r="M202">
            <v>54540.277000000002</v>
          </cell>
          <cell r="N202">
            <v>54540.277000000002</v>
          </cell>
          <cell r="O202">
            <v>0</v>
          </cell>
          <cell r="P202">
            <v>54540.277000000002</v>
          </cell>
          <cell r="Q202">
            <v>0</v>
          </cell>
          <cell r="R202">
            <v>2059534.2810000002</v>
          </cell>
          <cell r="T202">
            <v>54540.277000000002</v>
          </cell>
          <cell r="U202">
            <v>0</v>
          </cell>
          <cell r="V202">
            <v>0</v>
          </cell>
          <cell r="W202" t="str">
            <v>No información.</v>
          </cell>
        </row>
        <row r="203">
          <cell r="A203" t="str">
            <v>PY1471-ECOPETROL- GERENCIA REGIONAL SUR 2011-64.23</v>
          </cell>
          <cell r="B203" t="str">
            <v>Cierre</v>
          </cell>
          <cell r="C203" t="str">
            <v>21</v>
          </cell>
          <cell r="D203" t="str">
            <v>Oil &amp; Gas</v>
          </cell>
          <cell r="E203" t="str">
            <v xml:space="preserve">SMARTINEZ </v>
          </cell>
          <cell r="F203">
            <v>0</v>
          </cell>
          <cell r="G203">
            <v>0</v>
          </cell>
          <cell r="I203">
            <v>0</v>
          </cell>
          <cell r="J203">
            <v>0</v>
          </cell>
          <cell r="K203">
            <v>0</v>
          </cell>
          <cell r="L203">
            <v>0</v>
          </cell>
          <cell r="M203">
            <v>0</v>
          </cell>
          <cell r="N203">
            <v>0</v>
          </cell>
          <cell r="O203">
            <v>0</v>
          </cell>
          <cell r="P203">
            <v>0</v>
          </cell>
          <cell r="Q203">
            <v>0</v>
          </cell>
          <cell r="R203">
            <v>0</v>
          </cell>
          <cell r="T203">
            <v>0</v>
          </cell>
          <cell r="U203">
            <v>0</v>
          </cell>
          <cell r="V203">
            <v>0</v>
          </cell>
          <cell r="W203" t="str">
            <v>No información.</v>
          </cell>
        </row>
        <row r="204">
          <cell r="A204" t="str">
            <v>PY1472-ECOPETROL-I-RP2-06012-CONTROL CONSOLIDADO-COC-64.19</v>
          </cell>
          <cell r="B204" t="str">
            <v>Cierre</v>
          </cell>
          <cell r="C204" t="str">
            <v>21</v>
          </cell>
          <cell r="D204" t="str">
            <v>Oil &amp; Gas</v>
          </cell>
          <cell r="E204" t="str">
            <v xml:space="preserve">SMARTINEZ </v>
          </cell>
          <cell r="F204">
            <v>7428158.6129999999</v>
          </cell>
          <cell r="G204">
            <v>0</v>
          </cell>
          <cell r="I204">
            <v>0</v>
          </cell>
          <cell r="J204">
            <v>0</v>
          </cell>
          <cell r="K204">
            <v>0</v>
          </cell>
          <cell r="L204">
            <v>0</v>
          </cell>
          <cell r="M204">
            <v>0</v>
          </cell>
          <cell r="N204">
            <v>0</v>
          </cell>
          <cell r="O204">
            <v>0</v>
          </cell>
          <cell r="P204">
            <v>0</v>
          </cell>
          <cell r="Q204">
            <v>0</v>
          </cell>
          <cell r="R204">
            <v>7428158.6129999999</v>
          </cell>
          <cell r="T204">
            <v>0</v>
          </cell>
          <cell r="U204">
            <v>0</v>
          </cell>
          <cell r="V204">
            <v>0</v>
          </cell>
          <cell r="W204" t="str">
            <v>No información.</v>
          </cell>
        </row>
        <row r="205">
          <cell r="A205" t="str">
            <v>PY1473-JV-ECOPETROL-CONTRATOS GERENCIA DE POLIDUCTOS-64.22</v>
          </cell>
          <cell r="B205" t="str">
            <v>Cierre</v>
          </cell>
          <cell r="C205" t="str">
            <v>21</v>
          </cell>
          <cell r="D205" t="str">
            <v>Oil &amp; Gas</v>
          </cell>
          <cell r="E205" t="str">
            <v xml:space="preserve">ENAVARRO  </v>
          </cell>
          <cell r="F205">
            <v>20614315.596999999</v>
          </cell>
          <cell r="G205">
            <v>83640.695999999996</v>
          </cell>
          <cell r="I205">
            <v>83640.695999999996</v>
          </cell>
          <cell r="J205">
            <v>6033.9550875000004</v>
          </cell>
          <cell r="K205">
            <v>0</v>
          </cell>
          <cell r="L205">
            <v>-2823.5720000000001</v>
          </cell>
          <cell r="M205">
            <v>86851.079087499995</v>
          </cell>
          <cell r="N205">
            <v>83640.695999999996</v>
          </cell>
          <cell r="O205">
            <v>-3210.3830874999985</v>
          </cell>
          <cell r="P205">
            <v>80817.123999999996</v>
          </cell>
          <cell r="Q205">
            <v>-2823.5720000000001</v>
          </cell>
          <cell r="R205">
            <v>20530674.901000001</v>
          </cell>
          <cell r="T205">
            <v>82740.695999999996</v>
          </cell>
          <cell r="U205">
            <v>900</v>
          </cell>
          <cell r="V205">
            <v>556805.54099999997</v>
          </cell>
          <cell r="W205" t="str">
            <v>Adm:  WSP
 Venta de carros para cruzar con éste saldo.</v>
          </cell>
        </row>
        <row r="206">
          <cell r="A206" t="str">
            <v>PY1475-ECOPETROL-GERENCIA REGIONAL MAGDALENA MEDIO-64.2</v>
          </cell>
          <cell r="B206" t="str">
            <v>Cierre</v>
          </cell>
          <cell r="C206" t="str">
            <v>21</v>
          </cell>
          <cell r="D206" t="str">
            <v>Oil &amp; Gas</v>
          </cell>
          <cell r="E206" t="str">
            <v xml:space="preserve">CBUITRAGO </v>
          </cell>
          <cell r="F206">
            <v>38187356.733999997</v>
          </cell>
          <cell r="G206">
            <v>0</v>
          </cell>
          <cell r="I206">
            <v>0</v>
          </cell>
          <cell r="J206">
            <v>0</v>
          </cell>
          <cell r="K206">
            <v>0</v>
          </cell>
          <cell r="L206">
            <v>0</v>
          </cell>
          <cell r="M206">
            <v>0</v>
          </cell>
          <cell r="N206">
            <v>0</v>
          </cell>
          <cell r="O206">
            <v>0</v>
          </cell>
          <cell r="P206">
            <v>0</v>
          </cell>
          <cell r="Q206">
            <v>0</v>
          </cell>
          <cell r="R206">
            <v>38187356.733999997</v>
          </cell>
          <cell r="T206">
            <v>0</v>
          </cell>
          <cell r="U206">
            <v>0</v>
          </cell>
          <cell r="V206">
            <v>0</v>
          </cell>
          <cell r="W206" t="str">
            <v>No información.</v>
          </cell>
        </row>
        <row r="207">
          <cell r="A207" t="str">
            <v>PY1477-JV-FONADE-ED-VIAS GRUPO 1-NTE SANTANDER - 70.13 - JV-CONSORCIO DIS CEI</v>
          </cell>
          <cell r="B207" t="str">
            <v>Cierre</v>
          </cell>
          <cell r="C207" t="str">
            <v>21</v>
          </cell>
          <cell r="D207" t="str">
            <v>Transporte</v>
          </cell>
          <cell r="E207" t="str">
            <v>HMONTENEGR</v>
          </cell>
          <cell r="F207">
            <v>2121922.4709999999</v>
          </cell>
          <cell r="G207">
            <v>0</v>
          </cell>
          <cell r="I207">
            <v>0</v>
          </cell>
          <cell r="J207">
            <v>0</v>
          </cell>
          <cell r="K207">
            <v>0</v>
          </cell>
          <cell r="L207">
            <v>29.911999999999999</v>
          </cell>
          <cell r="M207">
            <v>29.911999999999999</v>
          </cell>
          <cell r="N207">
            <v>0</v>
          </cell>
          <cell r="O207">
            <v>-29.911999999999999</v>
          </cell>
          <cell r="P207">
            <v>29.911999999999999</v>
          </cell>
          <cell r="Q207">
            <v>29.911999999999999</v>
          </cell>
          <cell r="R207">
            <v>2121922.4709999999</v>
          </cell>
          <cell r="T207">
            <v>0</v>
          </cell>
          <cell r="U207">
            <v>158243.99999999997</v>
          </cell>
          <cell r="V207">
            <v>0</v>
          </cell>
          <cell r="W207" t="str">
            <v>Adm: EDL
Proyecto en consorcio con EDL. Reunión con el ing. Herman Montenegro y Enrique Dávila en dos semanas.</v>
          </cell>
        </row>
        <row r="208">
          <cell r="A208" t="str">
            <v>PY1478-JV-FONDO ADAPTACION-FENOMENO DE LA NIÑA-131.02 JV-CONSULTORES ESTRUCTURALES</v>
          </cell>
          <cell r="B208" t="str">
            <v>Cierre</v>
          </cell>
          <cell r="C208" t="str">
            <v>21</v>
          </cell>
          <cell r="D208" t="str">
            <v>Transporte</v>
          </cell>
          <cell r="E208" t="str">
            <v>HMONTENEGR</v>
          </cell>
          <cell r="F208">
            <v>640254</v>
          </cell>
          <cell r="G208">
            <v>0</v>
          </cell>
          <cell r="I208">
            <v>0</v>
          </cell>
          <cell r="J208">
            <v>0</v>
          </cell>
          <cell r="K208">
            <v>0</v>
          </cell>
          <cell r="L208">
            <v>0</v>
          </cell>
          <cell r="M208">
            <v>0</v>
          </cell>
          <cell r="N208">
            <v>0</v>
          </cell>
          <cell r="O208">
            <v>0</v>
          </cell>
          <cell r="P208">
            <v>0</v>
          </cell>
          <cell r="Q208">
            <v>0</v>
          </cell>
          <cell r="R208">
            <v>640254</v>
          </cell>
          <cell r="T208">
            <v>0</v>
          </cell>
          <cell r="U208">
            <v>0</v>
          </cell>
          <cell r="V208">
            <v>0</v>
          </cell>
          <cell r="W208" t="str">
            <v>No información.</v>
          </cell>
        </row>
        <row r="209">
          <cell r="A209" t="str">
            <v>PY1482-FONDO ADAPTACION-FENÓMENO NIÑA HUILA-TOLIMA-131.05</v>
          </cell>
          <cell r="B209" t="str">
            <v>Cierre</v>
          </cell>
          <cell r="C209" t="str">
            <v>21</v>
          </cell>
          <cell r="D209" t="str">
            <v>I. Municipal</v>
          </cell>
          <cell r="E209" t="str">
            <v xml:space="preserve">ERAMIREZ  </v>
          </cell>
          <cell r="F209">
            <v>0</v>
          </cell>
          <cell r="G209">
            <v>0</v>
          </cell>
          <cell r="I209">
            <v>0</v>
          </cell>
          <cell r="J209">
            <v>0</v>
          </cell>
          <cell r="K209">
            <v>0</v>
          </cell>
          <cell r="L209">
            <v>0</v>
          </cell>
          <cell r="M209">
            <v>0</v>
          </cell>
          <cell r="N209">
            <v>0</v>
          </cell>
          <cell r="O209">
            <v>0</v>
          </cell>
          <cell r="P209">
            <v>0</v>
          </cell>
          <cell r="Q209">
            <v>0</v>
          </cell>
          <cell r="R209">
            <v>0</v>
          </cell>
          <cell r="T209">
            <v>0</v>
          </cell>
          <cell r="U209">
            <v>0</v>
          </cell>
          <cell r="V209">
            <v>0</v>
          </cell>
          <cell r="W209" t="str">
            <v>PY erroneo de proyecto, PY correcto 1452 Huila Tolima</v>
          </cell>
        </row>
        <row r="210">
          <cell r="A210" t="str">
            <v>PY1483-D.N.SANTANDER-E-ACUEDUCTO-ALCANTARILLADO-136.01</v>
          </cell>
          <cell r="B210" t="str">
            <v>Cierre</v>
          </cell>
          <cell r="C210" t="str">
            <v>21</v>
          </cell>
          <cell r="D210" t="str">
            <v>I. Municipal</v>
          </cell>
          <cell r="E210" t="str">
            <v xml:space="preserve">LQUINTERO </v>
          </cell>
          <cell r="F210">
            <v>0</v>
          </cell>
          <cell r="G210">
            <v>0</v>
          </cell>
          <cell r="I210">
            <v>0</v>
          </cell>
          <cell r="J210">
            <v>0</v>
          </cell>
          <cell r="K210">
            <v>0</v>
          </cell>
          <cell r="L210">
            <v>0</v>
          </cell>
          <cell r="M210">
            <v>0</v>
          </cell>
          <cell r="N210">
            <v>0</v>
          </cell>
          <cell r="O210">
            <v>0</v>
          </cell>
          <cell r="P210">
            <v>0</v>
          </cell>
          <cell r="Q210">
            <v>0</v>
          </cell>
          <cell r="R210">
            <v>0</v>
          </cell>
          <cell r="T210">
            <v>0</v>
          </cell>
          <cell r="U210">
            <v>0</v>
          </cell>
          <cell r="V210">
            <v>0</v>
          </cell>
          <cell r="W210" t="str">
            <v>PY erroneo de proyecto, PY correcto 1453 Norte de Santander</v>
          </cell>
        </row>
        <row r="211">
          <cell r="A211" t="str">
            <v>PY1484-JV-INVIAS-DOBLE CALZADA BUCARAMANGA-CUCUTA-1.82-JV-CEI - EDL</v>
          </cell>
          <cell r="B211" t="str">
            <v>Cierre</v>
          </cell>
          <cell r="C211" t="str">
            <v>21</v>
          </cell>
          <cell r="D211" t="str">
            <v>Transporte</v>
          </cell>
          <cell r="E211" t="str">
            <v xml:space="preserve">YSALAZAR  </v>
          </cell>
          <cell r="F211">
            <v>6933180.8794999998</v>
          </cell>
          <cell r="G211">
            <v>1358855.4454999999</v>
          </cell>
          <cell r="I211">
            <v>1358855.4454999999</v>
          </cell>
          <cell r="J211">
            <v>389.23976640000001</v>
          </cell>
          <cell r="K211">
            <v>1494.4</v>
          </cell>
          <cell r="L211">
            <v>3709.2370000000001</v>
          </cell>
          <cell r="M211">
            <v>1364448.3222663999</v>
          </cell>
          <cell r="N211">
            <v>1358855.4454999999</v>
          </cell>
          <cell r="O211">
            <v>-5592.8767663999461</v>
          </cell>
          <cell r="P211">
            <v>1364059.0825</v>
          </cell>
          <cell r="Q211">
            <v>5203.6370000001043</v>
          </cell>
          <cell r="R211">
            <v>5574325.4340000004</v>
          </cell>
          <cell r="T211">
            <v>1358855.446</v>
          </cell>
          <cell r="U211">
            <v>0</v>
          </cell>
          <cell r="V211">
            <v>-5.0000000000000001E-4</v>
          </cell>
          <cell r="W211" t="str">
            <v>No información.</v>
          </cell>
        </row>
        <row r="212">
          <cell r="A212" t="str">
            <v>PY1485-PETROLLANO-FERROCARRIL LLANOS DAA-134.02</v>
          </cell>
          <cell r="B212" t="str">
            <v>Cierre</v>
          </cell>
          <cell r="C212" t="str">
            <v>21</v>
          </cell>
          <cell r="D212" t="str">
            <v>Oil &amp; Gas</v>
          </cell>
          <cell r="E212" t="str">
            <v xml:space="preserve">JPATIÑO   </v>
          </cell>
          <cell r="F212">
            <v>719363.53399999999</v>
          </cell>
          <cell r="G212">
            <v>71936.353000000003</v>
          </cell>
          <cell r="I212">
            <v>71936.353000000003</v>
          </cell>
          <cell r="J212">
            <v>0</v>
          </cell>
          <cell r="K212">
            <v>0</v>
          </cell>
          <cell r="L212">
            <v>0</v>
          </cell>
          <cell r="M212">
            <v>71936.353000000003</v>
          </cell>
          <cell r="N212">
            <v>71936.353000000003</v>
          </cell>
          <cell r="O212">
            <v>0</v>
          </cell>
          <cell r="P212">
            <v>71936.353000000003</v>
          </cell>
          <cell r="Q212">
            <v>0</v>
          </cell>
          <cell r="R212">
            <v>647427.18099999998</v>
          </cell>
          <cell r="T212">
            <v>71936.353000000003</v>
          </cell>
          <cell r="U212">
            <v>0</v>
          </cell>
          <cell r="V212">
            <v>70497.627999999997</v>
          </cell>
          <cell r="W212" t="str">
            <v>No información.</v>
          </cell>
        </row>
        <row r="213">
          <cell r="A213" t="str">
            <v>PY1486-PETROLLANO- PREINVERSIÓN FERROCARRIL LLANOS-134.01</v>
          </cell>
          <cell r="B213" t="str">
            <v>Cierre</v>
          </cell>
          <cell r="C213" t="str">
            <v>21</v>
          </cell>
          <cell r="D213" t="str">
            <v>Oil &amp; Gas</v>
          </cell>
          <cell r="E213" t="str">
            <v xml:space="preserve">RCASTRO   </v>
          </cell>
          <cell r="F213">
            <v>0</v>
          </cell>
          <cell r="G213">
            <v>0</v>
          </cell>
          <cell r="I213">
            <v>0</v>
          </cell>
          <cell r="J213">
            <v>0</v>
          </cell>
          <cell r="K213">
            <v>0</v>
          </cell>
          <cell r="L213">
            <v>0</v>
          </cell>
          <cell r="M213">
            <v>0</v>
          </cell>
          <cell r="N213">
            <v>0</v>
          </cell>
          <cell r="O213">
            <v>0</v>
          </cell>
          <cell r="P213">
            <v>0</v>
          </cell>
          <cell r="Q213">
            <v>0</v>
          </cell>
          <cell r="R213">
            <v>0</v>
          </cell>
          <cell r="T213">
            <v>0</v>
          </cell>
          <cell r="U213">
            <v>0</v>
          </cell>
          <cell r="V213">
            <v>0</v>
          </cell>
          <cell r="W213" t="str">
            <v>No información.</v>
          </cell>
        </row>
        <row r="214">
          <cell r="A214" t="str">
            <v>PY1487-ALLIED-AIRCRAFT HYDRANT FUELING SYSTEM-123.01</v>
          </cell>
          <cell r="B214" t="str">
            <v>Cierre</v>
          </cell>
          <cell r="C214" t="str">
            <v>21</v>
          </cell>
          <cell r="D214" t="str">
            <v>Transporte</v>
          </cell>
          <cell r="E214" t="str">
            <v xml:space="preserve">SMARTINEZ </v>
          </cell>
          <cell r="F214">
            <v>1525583.2</v>
          </cell>
          <cell r="G214">
            <v>0</v>
          </cell>
          <cell r="I214">
            <v>0</v>
          </cell>
          <cell r="J214">
            <v>0</v>
          </cell>
          <cell r="K214">
            <v>0</v>
          </cell>
          <cell r="L214">
            <v>0</v>
          </cell>
          <cell r="M214">
            <v>0</v>
          </cell>
          <cell r="N214">
            <v>0</v>
          </cell>
          <cell r="O214">
            <v>0</v>
          </cell>
          <cell r="P214">
            <v>0</v>
          </cell>
          <cell r="Q214">
            <v>0</v>
          </cell>
          <cell r="R214">
            <v>1525583.2</v>
          </cell>
          <cell r="T214">
            <v>0</v>
          </cell>
          <cell r="U214">
            <v>0</v>
          </cell>
          <cell r="V214">
            <v>0</v>
          </cell>
          <cell r="W214" t="str">
            <v>No información.</v>
          </cell>
        </row>
        <row r="215">
          <cell r="A215" t="str">
            <v>PY1493-JV-CONPROS-D-FASE III PUERTO BOYACÁ-OTANCHE-133.01 -JV-DISENOS OTANCHE</v>
          </cell>
          <cell r="B215" t="str">
            <v>Cierre</v>
          </cell>
          <cell r="C215" t="str">
            <v>21</v>
          </cell>
          <cell r="D215" t="str">
            <v>Transporte</v>
          </cell>
          <cell r="E215" t="str">
            <v>HMONTENEGR</v>
          </cell>
          <cell r="F215">
            <v>3628853.3050000002</v>
          </cell>
          <cell r="G215">
            <v>2084086.6709999999</v>
          </cell>
          <cell r="I215">
            <v>2084086.6709999999</v>
          </cell>
          <cell r="J215">
            <v>0</v>
          </cell>
          <cell r="K215">
            <v>0</v>
          </cell>
          <cell r="L215">
            <v>16686.400000000001</v>
          </cell>
          <cell r="M215">
            <v>2100773.071</v>
          </cell>
          <cell r="N215">
            <v>2084086.6709999999</v>
          </cell>
          <cell r="O215">
            <v>-16686.40000000014</v>
          </cell>
          <cell r="P215">
            <v>2100773.0709999995</v>
          </cell>
          <cell r="Q215">
            <v>16686.399999999674</v>
          </cell>
          <cell r="R215">
            <v>1544766.6340000003</v>
          </cell>
          <cell r="T215">
            <v>1335086.6709999999</v>
          </cell>
          <cell r="U215">
            <v>0</v>
          </cell>
          <cell r="V215">
            <v>0</v>
          </cell>
          <cell r="W215" t="str">
            <v>No información.</v>
          </cell>
        </row>
        <row r="216">
          <cell r="A216" t="str">
            <v>PY1494-JV-CONS.RUTA SOL- CONCESIONARIO-116.01</v>
          </cell>
          <cell r="B216" t="str">
            <v>Cierre</v>
          </cell>
          <cell r="C216" t="str">
            <v>21</v>
          </cell>
          <cell r="D216" t="str">
            <v>Transporte</v>
          </cell>
          <cell r="E216" t="str">
            <v>HMONTENEGR</v>
          </cell>
          <cell r="F216">
            <v>8009448.2759999996</v>
          </cell>
          <cell r="G216">
            <v>1183690.0819999999</v>
          </cell>
          <cell r="I216">
            <v>1183690.0819999999</v>
          </cell>
          <cell r="J216">
            <v>0</v>
          </cell>
          <cell r="K216">
            <v>0</v>
          </cell>
          <cell r="L216">
            <v>3147.4789999999998</v>
          </cell>
          <cell r="M216">
            <v>1186837.561</v>
          </cell>
          <cell r="N216">
            <v>1183690.0819999999</v>
          </cell>
          <cell r="O216">
            <v>-3147.4790000000503</v>
          </cell>
          <cell r="P216">
            <v>1186837.561</v>
          </cell>
          <cell r="Q216">
            <v>3147.4790000000503</v>
          </cell>
          <cell r="R216">
            <v>6825758.1940000001</v>
          </cell>
          <cell r="T216">
            <v>1183690.0819999999</v>
          </cell>
          <cell r="U216">
            <v>0</v>
          </cell>
          <cell r="V216">
            <v>9504.1309999999994</v>
          </cell>
          <cell r="W216" t="str">
            <v>No información.</v>
          </cell>
        </row>
        <row r="217">
          <cell r="A217" t="str">
            <v>PY1495-JV-CONST-A-DOBLE CALZADA BTÁ - VILLAVCIO-118.01 JV-EDL - CEI AUDITORIA</v>
          </cell>
          <cell r="B217" t="str">
            <v>Cierre</v>
          </cell>
          <cell r="C217" t="str">
            <v>21</v>
          </cell>
          <cell r="D217" t="str">
            <v>Transporte</v>
          </cell>
          <cell r="E217" t="str">
            <v>HMONTENEGR</v>
          </cell>
          <cell r="F217">
            <v>5851522.6600000001</v>
          </cell>
          <cell r="G217">
            <v>1650754.7760000001</v>
          </cell>
          <cell r="I217">
            <v>1650754.7760000001</v>
          </cell>
          <cell r="J217">
            <v>0</v>
          </cell>
          <cell r="K217">
            <v>0</v>
          </cell>
          <cell r="L217">
            <v>257.01799999999997</v>
          </cell>
          <cell r="M217">
            <v>1651011.794</v>
          </cell>
          <cell r="N217">
            <v>1650754.7760000001</v>
          </cell>
          <cell r="O217">
            <v>-257.01799999992363</v>
          </cell>
          <cell r="P217">
            <v>1651011.794</v>
          </cell>
          <cell r="Q217">
            <v>257.01799999992363</v>
          </cell>
          <cell r="R217">
            <v>4200767.8839999996</v>
          </cell>
          <cell r="T217">
            <v>1650754.7760000001</v>
          </cell>
          <cell r="U217">
            <v>0</v>
          </cell>
          <cell r="V217">
            <v>0</v>
          </cell>
          <cell r="W217" t="str">
            <v>No información.</v>
          </cell>
        </row>
        <row r="218">
          <cell r="A218" t="str">
            <v>PY1496-JV-COVIANDES-ED-FASE III TÚNEL BTÁ - V/CIO-76.10-11-12-JV EC VILLAVICENCIO</v>
          </cell>
          <cell r="B218" t="str">
            <v>Cierre</v>
          </cell>
          <cell r="C218" t="str">
            <v>21</v>
          </cell>
          <cell r="D218" t="str">
            <v>Transporte</v>
          </cell>
          <cell r="E218" t="str">
            <v>HMONTENEGR</v>
          </cell>
          <cell r="F218">
            <v>4192805.12</v>
          </cell>
          <cell r="G218">
            <v>0</v>
          </cell>
          <cell r="I218">
            <v>0</v>
          </cell>
          <cell r="J218">
            <v>0</v>
          </cell>
          <cell r="K218">
            <v>0</v>
          </cell>
          <cell r="L218">
            <v>251.05</v>
          </cell>
          <cell r="M218">
            <v>251.05</v>
          </cell>
          <cell r="N218">
            <v>0</v>
          </cell>
          <cell r="O218">
            <v>-251.05</v>
          </cell>
          <cell r="P218">
            <v>251.05</v>
          </cell>
          <cell r="Q218">
            <v>251.05</v>
          </cell>
          <cell r="R218">
            <v>4192805.12</v>
          </cell>
          <cell r="T218">
            <v>0</v>
          </cell>
          <cell r="U218">
            <v>0</v>
          </cell>
          <cell r="V218">
            <v>0</v>
          </cell>
          <cell r="W218" t="str">
            <v>No información.</v>
          </cell>
        </row>
        <row r="219">
          <cell r="A219" t="str">
            <v>PY1497-JV-FCC-PF-LT-LA VIRGINIA-ALFEREZ-SAN MARCOS-137.01</v>
          </cell>
          <cell r="B219" t="str">
            <v>Cierre</v>
          </cell>
          <cell r="C219" t="str">
            <v>21</v>
          </cell>
          <cell r="D219" t="str">
            <v>Energía</v>
          </cell>
          <cell r="E219" t="str">
            <v xml:space="preserve">RMAURICIO </v>
          </cell>
          <cell r="F219">
            <v>342636.38299999997</v>
          </cell>
          <cell r="G219">
            <v>403349.50780000002</v>
          </cell>
          <cell r="I219">
            <v>403349.50780000002</v>
          </cell>
          <cell r="J219">
            <v>0</v>
          </cell>
          <cell r="K219">
            <v>0</v>
          </cell>
          <cell r="L219">
            <v>0</v>
          </cell>
          <cell r="M219">
            <v>403349.50780000002</v>
          </cell>
          <cell r="N219">
            <v>403349.50780000002</v>
          </cell>
          <cell r="O219">
            <v>0</v>
          </cell>
          <cell r="P219">
            <v>403349.50780000002</v>
          </cell>
          <cell r="Q219">
            <v>0</v>
          </cell>
          <cell r="R219">
            <v>-60713.124800000049</v>
          </cell>
          <cell r="T219">
            <v>403349.50780000002</v>
          </cell>
          <cell r="U219">
            <v>0</v>
          </cell>
          <cell r="V219">
            <v>0</v>
          </cell>
          <cell r="W219" t="str">
            <v>No información.</v>
          </cell>
        </row>
        <row r="220">
          <cell r="A220" t="str">
            <v>PY1498-JV-PROY-ED-FASE II-NUEVA CALZADA BTA - V/CIO-130.01-02-JV-DISENOS VILLAVICENCIO</v>
          </cell>
          <cell r="B220" t="str">
            <v>Cierre</v>
          </cell>
          <cell r="C220" t="str">
            <v>21</v>
          </cell>
          <cell r="D220" t="str">
            <v>Transporte</v>
          </cell>
          <cell r="E220" t="str">
            <v>HMONTENEGR</v>
          </cell>
          <cell r="F220">
            <v>2502714.0630000001</v>
          </cell>
          <cell r="G220">
            <v>120733.74099999999</v>
          </cell>
          <cell r="I220">
            <v>120733.74099999999</v>
          </cell>
          <cell r="J220">
            <v>0</v>
          </cell>
          <cell r="K220">
            <v>0</v>
          </cell>
          <cell r="L220">
            <v>160.46600000000001</v>
          </cell>
          <cell r="M220">
            <v>120894.20699999999</v>
          </cell>
          <cell r="N220">
            <v>120733.74099999999</v>
          </cell>
          <cell r="O220">
            <v>-160.46600000000035</v>
          </cell>
          <cell r="P220">
            <v>120894.20699999999</v>
          </cell>
          <cell r="Q220">
            <v>160.46600000000035</v>
          </cell>
          <cell r="R220">
            <v>2381980.3220000002</v>
          </cell>
          <cell r="T220">
            <v>120733.74099999999</v>
          </cell>
          <cell r="U220">
            <v>-120961.761</v>
          </cell>
          <cell r="V220">
            <v>-297378.85399999999</v>
          </cell>
          <cell r="W220" t="str">
            <v>No información.</v>
          </cell>
        </row>
        <row r="221">
          <cell r="A221" t="str">
            <v>PY1499-COVIANDES-DOBLE CALZADA BTÁ-V/CIO-FASE III-76.09</v>
          </cell>
          <cell r="B221" t="str">
            <v>Cierre</v>
          </cell>
          <cell r="C221" t="str">
            <v>21</v>
          </cell>
          <cell r="D221" t="str">
            <v>Transporte</v>
          </cell>
          <cell r="E221" t="str">
            <v>HMONTENEGR</v>
          </cell>
          <cell r="F221">
            <v>1920048.5</v>
          </cell>
          <cell r="G221">
            <v>0</v>
          </cell>
          <cell r="I221">
            <v>0</v>
          </cell>
          <cell r="J221">
            <v>0</v>
          </cell>
          <cell r="K221">
            <v>0</v>
          </cell>
          <cell r="L221">
            <v>0</v>
          </cell>
          <cell r="M221">
            <v>0</v>
          </cell>
          <cell r="N221">
            <v>0</v>
          </cell>
          <cell r="O221">
            <v>0</v>
          </cell>
          <cell r="P221">
            <v>0</v>
          </cell>
          <cell r="Q221">
            <v>0</v>
          </cell>
          <cell r="R221">
            <v>1920048.5</v>
          </cell>
          <cell r="T221">
            <v>0</v>
          </cell>
          <cell r="U221">
            <v>0</v>
          </cell>
          <cell r="V221">
            <v>1643564.1329999999</v>
          </cell>
          <cell r="W221" t="str">
            <v>No información.</v>
          </cell>
        </row>
        <row r="222">
          <cell r="A222" t="str">
            <v>PY1501-ESSA-S- RESOLUCIÓN CREG PROYECTOS DEL STR</v>
          </cell>
          <cell r="B222" t="str">
            <v>Cierre</v>
          </cell>
          <cell r="C222" t="str">
            <v>21</v>
          </cell>
          <cell r="D222" t="str">
            <v>Energía</v>
          </cell>
          <cell r="E222" t="str">
            <v xml:space="preserve">LORJUELA  </v>
          </cell>
          <cell r="F222">
            <v>0</v>
          </cell>
          <cell r="G222">
            <v>0</v>
          </cell>
          <cell r="I222">
            <v>0</v>
          </cell>
          <cell r="J222">
            <v>0</v>
          </cell>
          <cell r="K222">
            <v>0</v>
          </cell>
          <cell r="L222">
            <v>0</v>
          </cell>
          <cell r="M222">
            <v>0</v>
          </cell>
          <cell r="N222">
            <v>0</v>
          </cell>
          <cell r="O222">
            <v>0</v>
          </cell>
          <cell r="P222">
            <v>0</v>
          </cell>
          <cell r="Q222">
            <v>0</v>
          </cell>
          <cell r="R222">
            <v>0</v>
          </cell>
          <cell r="T222">
            <v>0</v>
          </cell>
          <cell r="U222">
            <v>0</v>
          </cell>
          <cell r="V222">
            <v>0</v>
          </cell>
          <cell r="W222" t="str">
            <v>No información.</v>
          </cell>
        </row>
        <row r="223">
          <cell r="A223" t="str">
            <v>PY1503-PROYECTO Y PROPUESTAS S.I. PB</v>
          </cell>
          <cell r="B223" t="str">
            <v>Cierre</v>
          </cell>
          <cell r="C223" t="str">
            <v>21</v>
          </cell>
          <cell r="D223" t="str">
            <v>Transporte</v>
          </cell>
          <cell r="E223" t="str">
            <v xml:space="preserve">LQUINTERO </v>
          </cell>
          <cell r="F223">
            <v>0</v>
          </cell>
          <cell r="G223">
            <v>42780.226000000002</v>
          </cell>
          <cell r="I223">
            <v>42780.226000000002</v>
          </cell>
          <cell r="J223">
            <v>0</v>
          </cell>
          <cell r="K223">
            <v>0</v>
          </cell>
          <cell r="L223">
            <v>0</v>
          </cell>
          <cell r="M223">
            <v>42780.226000000002</v>
          </cell>
          <cell r="N223">
            <v>42780.226000000002</v>
          </cell>
          <cell r="O223">
            <v>0</v>
          </cell>
          <cell r="P223">
            <v>42780.226000000002</v>
          </cell>
          <cell r="Q223">
            <v>0</v>
          </cell>
          <cell r="R223">
            <v>-42780.226000000002</v>
          </cell>
          <cell r="T223">
            <v>0</v>
          </cell>
          <cell r="U223">
            <v>-9.0949470177292824E-13</v>
          </cell>
          <cell r="V223">
            <v>0</v>
          </cell>
          <cell r="W223" t="str">
            <v>Proyecto de PB que no habían finalizado y tienen saldo, frente a esto se realizó una provisión que iría contra la compra de DESSAU-CEI.</v>
          </cell>
        </row>
        <row r="224">
          <cell r="A224" t="str">
            <v>PY1514-CONS INTER VP TRSNPORTE 64-16</v>
          </cell>
          <cell r="B224" t="str">
            <v>Cierre</v>
          </cell>
          <cell r="C224" t="str">
            <v>21</v>
          </cell>
          <cell r="D224" t="str">
            <v>Oil &amp; Gas</v>
          </cell>
          <cell r="E224" t="str">
            <v xml:space="preserve">CBUITRAGO </v>
          </cell>
          <cell r="F224">
            <v>1397122.571</v>
          </cell>
          <cell r="G224">
            <v>0</v>
          </cell>
          <cell r="I224">
            <v>0</v>
          </cell>
          <cell r="J224">
            <v>0</v>
          </cell>
          <cell r="K224">
            <v>0</v>
          </cell>
          <cell r="L224">
            <v>0</v>
          </cell>
          <cell r="M224">
            <v>0</v>
          </cell>
          <cell r="N224">
            <v>0</v>
          </cell>
          <cell r="O224">
            <v>0</v>
          </cell>
          <cell r="P224">
            <v>0</v>
          </cell>
          <cell r="Q224">
            <v>0</v>
          </cell>
          <cell r="R224">
            <v>1397122.571</v>
          </cell>
          <cell r="T224">
            <v>0</v>
          </cell>
          <cell r="U224">
            <v>0</v>
          </cell>
          <cell r="V224">
            <v>0</v>
          </cell>
          <cell r="W224" t="str">
            <v>No información.</v>
          </cell>
        </row>
        <row r="225">
          <cell r="A225" t="str">
            <v>PY1516-GESTION DE CONTRATO PERF 64-18</v>
          </cell>
          <cell r="B225" t="str">
            <v>Cierre</v>
          </cell>
          <cell r="C225" t="str">
            <v>21</v>
          </cell>
          <cell r="D225" t="str">
            <v>Oil &amp; Gas</v>
          </cell>
          <cell r="E225" t="str">
            <v xml:space="preserve">CBUITRAGO </v>
          </cell>
          <cell r="F225">
            <v>10472911.896</v>
          </cell>
          <cell r="G225">
            <v>0</v>
          </cell>
          <cell r="I225">
            <v>0</v>
          </cell>
          <cell r="J225">
            <v>0</v>
          </cell>
          <cell r="K225">
            <v>0</v>
          </cell>
          <cell r="L225">
            <v>0</v>
          </cell>
          <cell r="M225">
            <v>0</v>
          </cell>
          <cell r="N225">
            <v>0</v>
          </cell>
          <cell r="O225">
            <v>0</v>
          </cell>
          <cell r="P225">
            <v>0</v>
          </cell>
          <cell r="Q225">
            <v>0</v>
          </cell>
          <cell r="R225">
            <v>10472911.896</v>
          </cell>
          <cell r="T225">
            <v>0</v>
          </cell>
          <cell r="U225">
            <v>0</v>
          </cell>
          <cell r="V225">
            <v>0</v>
          </cell>
          <cell r="W225" t="str">
            <v>No información.</v>
          </cell>
        </row>
        <row r="226">
          <cell r="A226" t="str">
            <v>PY1519-GERENCIA ESTUDIO ANGEL ARANGO</v>
          </cell>
          <cell r="B226" t="str">
            <v>Cierre</v>
          </cell>
          <cell r="C226" t="str">
            <v>21</v>
          </cell>
          <cell r="D226" t="str">
            <v>Edificaciones</v>
          </cell>
          <cell r="E226" t="str">
            <v xml:space="preserve">DGOMEZ    </v>
          </cell>
          <cell r="F226">
            <v>0</v>
          </cell>
          <cell r="G226">
            <v>0</v>
          </cell>
          <cell r="I226">
            <v>0</v>
          </cell>
          <cell r="J226">
            <v>0</v>
          </cell>
          <cell r="K226">
            <v>0</v>
          </cell>
          <cell r="L226">
            <v>0</v>
          </cell>
          <cell r="M226">
            <v>0</v>
          </cell>
          <cell r="N226">
            <v>0</v>
          </cell>
          <cell r="O226">
            <v>0</v>
          </cell>
          <cell r="P226">
            <v>0</v>
          </cell>
          <cell r="Q226">
            <v>0</v>
          </cell>
          <cell r="R226">
            <v>0</v>
          </cell>
          <cell r="T226">
            <v>0</v>
          </cell>
          <cell r="U226">
            <v>0</v>
          </cell>
          <cell r="V226">
            <v>0</v>
          </cell>
          <cell r="W226" t="str">
            <v>No información.</v>
          </cell>
        </row>
        <row r="227">
          <cell r="A227" t="str">
            <v>PY1520-INTERV REFORZAMINETO JARILLON</v>
          </cell>
          <cell r="B227" t="str">
            <v>Cierre</v>
          </cell>
          <cell r="C227" t="str">
            <v>21</v>
          </cell>
          <cell r="D227" t="str">
            <v>I. Municipal</v>
          </cell>
          <cell r="E227" t="str">
            <v xml:space="preserve">MBAYONA   </v>
          </cell>
          <cell r="F227">
            <v>0</v>
          </cell>
          <cell r="G227">
            <v>0</v>
          </cell>
          <cell r="I227">
            <v>0</v>
          </cell>
          <cell r="J227">
            <v>0</v>
          </cell>
          <cell r="K227">
            <v>0</v>
          </cell>
          <cell r="L227">
            <v>0</v>
          </cell>
          <cell r="M227">
            <v>0</v>
          </cell>
          <cell r="N227">
            <v>0</v>
          </cell>
          <cell r="O227">
            <v>0</v>
          </cell>
          <cell r="P227">
            <v>0</v>
          </cell>
          <cell r="Q227">
            <v>0</v>
          </cell>
          <cell r="R227">
            <v>0</v>
          </cell>
          <cell r="T227">
            <v>0</v>
          </cell>
          <cell r="U227">
            <v>0</v>
          </cell>
          <cell r="V227">
            <v>0</v>
          </cell>
          <cell r="W227" t="str">
            <v>Proyecto no corresponde a Infraestructura Municipal</v>
          </cell>
        </row>
        <row r="228">
          <cell r="A228" t="str">
            <v>PY1521-ESTU FASE I-II PUERTO SALGAR</v>
          </cell>
          <cell r="B228" t="str">
            <v>Cierre</v>
          </cell>
          <cell r="C228" t="str">
            <v>21</v>
          </cell>
          <cell r="D228" t="str">
            <v>Transporte</v>
          </cell>
          <cell r="E228" t="str">
            <v xml:space="preserve">TLUQUEZ   </v>
          </cell>
          <cell r="F228">
            <v>0</v>
          </cell>
          <cell r="G228">
            <v>0</v>
          </cell>
          <cell r="I228">
            <v>0</v>
          </cell>
          <cell r="J228">
            <v>0</v>
          </cell>
          <cell r="K228">
            <v>0</v>
          </cell>
          <cell r="L228">
            <v>0</v>
          </cell>
          <cell r="M228">
            <v>0</v>
          </cell>
          <cell r="N228">
            <v>0</v>
          </cell>
          <cell r="O228">
            <v>0</v>
          </cell>
          <cell r="P228">
            <v>0</v>
          </cell>
          <cell r="Q228">
            <v>0</v>
          </cell>
          <cell r="R228">
            <v>0</v>
          </cell>
          <cell r="T228">
            <v>0</v>
          </cell>
          <cell r="U228">
            <v>0</v>
          </cell>
          <cell r="V228">
            <v>0</v>
          </cell>
          <cell r="W228" t="str">
            <v>No información.</v>
          </cell>
        </row>
        <row r="229">
          <cell r="A229" t="str">
            <v>PY1522-PRESTA INS CONTRACTUAL</v>
          </cell>
          <cell r="B229" t="str">
            <v>Cierre</v>
          </cell>
          <cell r="C229" t="str">
            <v>21</v>
          </cell>
          <cell r="D229" t="str">
            <v>Oil &amp; Gas</v>
          </cell>
          <cell r="E229" t="str">
            <v xml:space="preserve">CBUITRAGO </v>
          </cell>
          <cell r="F229">
            <v>0</v>
          </cell>
          <cell r="G229">
            <v>0</v>
          </cell>
          <cell r="I229">
            <v>0</v>
          </cell>
          <cell r="J229">
            <v>0</v>
          </cell>
          <cell r="K229">
            <v>0</v>
          </cell>
          <cell r="L229">
            <v>0</v>
          </cell>
          <cell r="M229">
            <v>0</v>
          </cell>
          <cell r="N229">
            <v>0</v>
          </cell>
          <cell r="O229">
            <v>0</v>
          </cell>
          <cell r="P229">
            <v>0</v>
          </cell>
          <cell r="Q229">
            <v>0</v>
          </cell>
          <cell r="R229">
            <v>0</v>
          </cell>
          <cell r="T229">
            <v>0</v>
          </cell>
          <cell r="U229">
            <v>0</v>
          </cell>
          <cell r="V229">
            <v>0</v>
          </cell>
          <cell r="W229" t="str">
            <v>No información.</v>
          </cell>
        </row>
        <row r="230">
          <cell r="A230" t="str">
            <v>PY1523-CONSULTORIA INFORM PRIMARIA</v>
          </cell>
          <cell r="B230" t="str">
            <v>Cierre</v>
          </cell>
          <cell r="C230" t="str">
            <v>21</v>
          </cell>
          <cell r="D230" t="str">
            <v>Transporte</v>
          </cell>
          <cell r="E230" t="str">
            <v xml:space="preserve">TLUQUEZ   </v>
          </cell>
          <cell r="F230">
            <v>672272.20400000003</v>
          </cell>
          <cell r="G230">
            <v>0</v>
          </cell>
          <cell r="I230">
            <v>0</v>
          </cell>
          <cell r="J230">
            <v>0</v>
          </cell>
          <cell r="K230">
            <v>0</v>
          </cell>
          <cell r="L230">
            <v>0</v>
          </cell>
          <cell r="M230">
            <v>0</v>
          </cell>
          <cell r="N230">
            <v>0</v>
          </cell>
          <cell r="O230">
            <v>0</v>
          </cell>
          <cell r="P230">
            <v>0</v>
          </cell>
          <cell r="Q230">
            <v>0</v>
          </cell>
          <cell r="R230">
            <v>672272.20400000003</v>
          </cell>
          <cell r="T230">
            <v>0</v>
          </cell>
          <cell r="U230">
            <v>0</v>
          </cell>
          <cell r="V230">
            <v>0</v>
          </cell>
          <cell r="W230" t="str">
            <v>No información.</v>
          </cell>
        </row>
        <row r="231">
          <cell r="A231" t="str">
            <v>PY1524-INVENTARIO HSEQ</v>
          </cell>
          <cell r="B231" t="str">
            <v>Cierre</v>
          </cell>
          <cell r="C231" t="str">
            <v>21</v>
          </cell>
          <cell r="D231" t="str">
            <v>Oil &amp; Gas</v>
          </cell>
          <cell r="E231" t="str">
            <v xml:space="preserve">CBUITRAGO </v>
          </cell>
          <cell r="F231">
            <v>0</v>
          </cell>
          <cell r="G231">
            <v>0</v>
          </cell>
          <cell r="I231">
            <v>0</v>
          </cell>
          <cell r="J231">
            <v>0</v>
          </cell>
          <cell r="K231">
            <v>0</v>
          </cell>
          <cell r="L231">
            <v>0</v>
          </cell>
          <cell r="M231">
            <v>0</v>
          </cell>
          <cell r="N231">
            <v>0</v>
          </cell>
          <cell r="O231">
            <v>0</v>
          </cell>
          <cell r="P231">
            <v>0</v>
          </cell>
          <cell r="Q231">
            <v>0</v>
          </cell>
          <cell r="R231">
            <v>0</v>
          </cell>
          <cell r="T231">
            <v>0</v>
          </cell>
          <cell r="U231">
            <v>0</v>
          </cell>
          <cell r="V231">
            <v>0</v>
          </cell>
          <cell r="W231" t="str">
            <v>No información.</v>
          </cell>
        </row>
        <row r="232">
          <cell r="A232" t="str">
            <v>PY1525-CONSULTORIA GERENCIA APIAY</v>
          </cell>
          <cell r="B232" t="str">
            <v>Cierre</v>
          </cell>
          <cell r="C232" t="str">
            <v>21</v>
          </cell>
          <cell r="D232" t="str">
            <v>Oil &amp; Gas</v>
          </cell>
          <cell r="E232" t="str">
            <v xml:space="preserve">CBUITRAGO </v>
          </cell>
          <cell r="F232">
            <v>0</v>
          </cell>
          <cell r="G232">
            <v>0</v>
          </cell>
          <cell r="I232">
            <v>0</v>
          </cell>
          <cell r="J232">
            <v>0</v>
          </cell>
          <cell r="K232">
            <v>0</v>
          </cell>
          <cell r="L232">
            <v>0</v>
          </cell>
          <cell r="M232">
            <v>0</v>
          </cell>
          <cell r="N232">
            <v>0</v>
          </cell>
          <cell r="O232">
            <v>0</v>
          </cell>
          <cell r="P232">
            <v>0</v>
          </cell>
          <cell r="Q232">
            <v>0</v>
          </cell>
          <cell r="R232">
            <v>0</v>
          </cell>
          <cell r="T232">
            <v>0</v>
          </cell>
          <cell r="U232">
            <v>0</v>
          </cell>
          <cell r="V232">
            <v>0</v>
          </cell>
          <cell r="W232" t="str">
            <v>No información.</v>
          </cell>
        </row>
        <row r="233">
          <cell r="A233" t="str">
            <v>PY1526-INTERV EDUACION CARRERA 10</v>
          </cell>
          <cell r="B233" t="str">
            <v>Cierre</v>
          </cell>
          <cell r="C233" t="str">
            <v>21</v>
          </cell>
          <cell r="D233" t="str">
            <v>Transporte</v>
          </cell>
          <cell r="E233" t="str">
            <v xml:space="preserve">TLUQUEZ   </v>
          </cell>
          <cell r="F233">
            <v>0</v>
          </cell>
          <cell r="G233">
            <v>0</v>
          </cell>
          <cell r="I233">
            <v>0</v>
          </cell>
          <cell r="J233">
            <v>0</v>
          </cell>
          <cell r="K233">
            <v>0</v>
          </cell>
          <cell r="L233">
            <v>0</v>
          </cell>
          <cell r="M233">
            <v>0</v>
          </cell>
          <cell r="N233">
            <v>0</v>
          </cell>
          <cell r="O233">
            <v>0</v>
          </cell>
          <cell r="P233">
            <v>0</v>
          </cell>
          <cell r="Q233">
            <v>0</v>
          </cell>
          <cell r="R233">
            <v>0</v>
          </cell>
          <cell r="T233">
            <v>0</v>
          </cell>
          <cell r="U233">
            <v>0</v>
          </cell>
          <cell r="V233">
            <v>0</v>
          </cell>
          <cell r="W233" t="str">
            <v>No información.</v>
          </cell>
        </row>
        <row r="234">
          <cell r="A234" t="str">
            <v>PY1527-ELECTROHUILA DISEÑO S/E GARZÓN II Y SUR-NEIVA</v>
          </cell>
          <cell r="B234" t="str">
            <v>Cierre</v>
          </cell>
          <cell r="C234" t="str">
            <v>21</v>
          </cell>
          <cell r="D234" t="str">
            <v>Energía</v>
          </cell>
          <cell r="E234" t="str">
            <v xml:space="preserve">PRINCON   </v>
          </cell>
          <cell r="F234">
            <v>85903.592000000004</v>
          </cell>
          <cell r="G234">
            <v>105903.59224</v>
          </cell>
          <cell r="I234">
            <v>105903.59224</v>
          </cell>
          <cell r="J234">
            <v>0</v>
          </cell>
          <cell r="K234">
            <v>0</v>
          </cell>
          <cell r="L234">
            <v>0</v>
          </cell>
          <cell r="M234">
            <v>105903.59224</v>
          </cell>
          <cell r="N234">
            <v>105903.59224</v>
          </cell>
          <cell r="O234">
            <v>0</v>
          </cell>
          <cell r="P234">
            <v>105903.59224</v>
          </cell>
          <cell r="Q234">
            <v>0</v>
          </cell>
          <cell r="R234">
            <v>-20000.000239999994</v>
          </cell>
          <cell r="T234">
            <v>85903.592000000004</v>
          </cell>
          <cell r="U234">
            <v>20000.000239999998</v>
          </cell>
          <cell r="V234">
            <v>0</v>
          </cell>
          <cell r="W234" t="str">
            <v>No información.</v>
          </cell>
        </row>
        <row r="235">
          <cell r="A235" t="str">
            <v>PY1551-ASISTENCIA TÉCNICA PUERTO DE SANTA MARTA</v>
          </cell>
          <cell r="B235" t="str">
            <v>Cierre</v>
          </cell>
          <cell r="C235" t="str">
            <v>21</v>
          </cell>
          <cell r="D235" t="str">
            <v>Transporte</v>
          </cell>
          <cell r="E235" t="str">
            <v xml:space="preserve">LQUINTERO </v>
          </cell>
          <cell r="F235">
            <v>33408.372000000003</v>
          </cell>
          <cell r="G235">
            <v>33408.372000000003</v>
          </cell>
          <cell r="I235">
            <v>33408.372000000003</v>
          </cell>
          <cell r="J235">
            <v>0</v>
          </cell>
          <cell r="K235">
            <v>0</v>
          </cell>
          <cell r="L235">
            <v>0</v>
          </cell>
          <cell r="M235">
            <v>33408.372000000003</v>
          </cell>
          <cell r="N235">
            <v>33408.372000000003</v>
          </cell>
          <cell r="O235">
            <v>0</v>
          </cell>
          <cell r="P235">
            <v>33408.372000000003</v>
          </cell>
          <cell r="Q235">
            <v>0</v>
          </cell>
          <cell r="R235">
            <v>0</v>
          </cell>
          <cell r="T235">
            <v>33408.372000000003</v>
          </cell>
          <cell r="U235">
            <v>0</v>
          </cell>
          <cell r="V235">
            <v>0</v>
          </cell>
          <cell r="W235" t="str">
            <v>No información.</v>
          </cell>
        </row>
        <row r="236">
          <cell r="A236" t="str">
            <v>PY1552-CONSORCIO ETSA-CEI-CONSULTORIA-EPC-128</v>
          </cell>
          <cell r="B236" t="str">
            <v>Cierre</v>
          </cell>
          <cell r="C236" t="str">
            <v>21</v>
          </cell>
          <cell r="D236" t="str">
            <v>I. Municipal</v>
          </cell>
          <cell r="E236" t="str">
            <v xml:space="preserve">MBAYONA   </v>
          </cell>
          <cell r="F236">
            <v>0</v>
          </cell>
          <cell r="G236">
            <v>1499.89068</v>
          </cell>
          <cell r="I236">
            <v>1499.89068</v>
          </cell>
          <cell r="J236">
            <v>0</v>
          </cell>
          <cell r="K236">
            <v>7500</v>
          </cell>
          <cell r="L236">
            <v>0</v>
          </cell>
          <cell r="M236">
            <v>8999.8906800000004</v>
          </cell>
          <cell r="N236">
            <v>1499.89068</v>
          </cell>
          <cell r="O236">
            <v>-7500</v>
          </cell>
          <cell r="P236">
            <v>8999.8906800000004</v>
          </cell>
          <cell r="Q236">
            <v>7500</v>
          </cell>
          <cell r="R236">
            <v>-1499.89068</v>
          </cell>
          <cell r="T236">
            <v>0</v>
          </cell>
          <cell r="U236">
            <v>0</v>
          </cell>
          <cell r="V236">
            <v>0</v>
          </cell>
          <cell r="W236" t="str">
            <v>Proyecto en revisión para evitar no cumplimiento por parte del cliente</v>
          </cell>
        </row>
        <row r="237">
          <cell r="A237" t="str">
            <v>PY1600-BIOMAX-S-ACPM PUERTO SERVIEZ–TERMOSIERRA</v>
          </cell>
          <cell r="B237" t="str">
            <v>Cierre</v>
          </cell>
          <cell r="C237" t="str">
            <v>23</v>
          </cell>
          <cell r="D237" t="str">
            <v>Energía</v>
          </cell>
          <cell r="E237" t="str">
            <v xml:space="preserve">DESCOBAR  </v>
          </cell>
          <cell r="F237">
            <v>192693.72899999999</v>
          </cell>
          <cell r="G237">
            <v>181313.90299999999</v>
          </cell>
          <cell r="I237">
            <v>181313.90299999999</v>
          </cell>
          <cell r="J237">
            <v>10792.716489999999</v>
          </cell>
          <cell r="K237">
            <v>0</v>
          </cell>
          <cell r="L237">
            <v>2286.2689999999998</v>
          </cell>
          <cell r="M237">
            <v>194392.88848999998</v>
          </cell>
          <cell r="N237">
            <v>181313.90299999999</v>
          </cell>
          <cell r="O237">
            <v>-13078.985489999992</v>
          </cell>
          <cell r="P237">
            <v>183600.17199999999</v>
          </cell>
          <cell r="Q237">
            <v>2286.2690000000002</v>
          </cell>
          <cell r="R237">
            <v>11379.826000000001</v>
          </cell>
          <cell r="T237">
            <v>152220.26699999999</v>
          </cell>
          <cell r="U237">
            <v>29093.635999999999</v>
          </cell>
          <cell r="V237">
            <v>95544.959000000003</v>
          </cell>
          <cell r="W237" t="str">
            <v>Cliente con problemas de liquidez.  60MCOP fin de Jun. Saldo 65MCOP aún no se ha programado.</v>
          </cell>
        </row>
        <row r="238">
          <cell r="A238" t="str">
            <v>PY1604-OAP-C-046-CARACT. ETNOCULTURAL-SOCIOAMBIENTAL</v>
          </cell>
          <cell r="B238" t="str">
            <v>Cierre</v>
          </cell>
          <cell r="C238" t="str">
            <v>21</v>
          </cell>
          <cell r="D238" t="str">
            <v>M. Ambiente</v>
          </cell>
          <cell r="E238" t="str">
            <v xml:space="preserve">SMARTINEZ </v>
          </cell>
          <cell r="F238">
            <v>201306.473</v>
          </cell>
          <cell r="G238">
            <v>201306.473</v>
          </cell>
          <cell r="I238">
            <v>201306.473</v>
          </cell>
          <cell r="J238">
            <v>18523.087006500002</v>
          </cell>
          <cell r="K238">
            <v>0</v>
          </cell>
          <cell r="L238">
            <v>0</v>
          </cell>
          <cell r="M238">
            <v>219829.56000649999</v>
          </cell>
          <cell r="N238">
            <v>201306.473</v>
          </cell>
          <cell r="O238">
            <v>-18523.087006499991</v>
          </cell>
          <cell r="P238">
            <v>201306.473</v>
          </cell>
          <cell r="Q238">
            <v>0</v>
          </cell>
          <cell r="R238">
            <v>0</v>
          </cell>
          <cell r="T238">
            <v>185821.772</v>
          </cell>
          <cell r="U238">
            <v>15484.700999999999</v>
          </cell>
          <cell r="V238">
            <v>0</v>
          </cell>
          <cell r="W238" t="str">
            <v xml:space="preserve">Se reversará WIP  de 193M, el saldo se facturará en Junio. El contrato fue disminuido en alcance. </v>
          </cell>
        </row>
        <row r="239">
          <cell r="A239" t="str">
            <v>PY1608-CEO_D_PRONE_POPAYAN</v>
          </cell>
          <cell r="B239" t="str">
            <v>Cierre</v>
          </cell>
          <cell r="C239" t="str">
            <v>24</v>
          </cell>
          <cell r="D239" t="str">
            <v>Energía</v>
          </cell>
          <cell r="E239" t="str">
            <v xml:space="preserve">EVELANDIA </v>
          </cell>
          <cell r="F239">
            <v>2156.3710000000001</v>
          </cell>
          <cell r="G239">
            <v>2156.3718699999999</v>
          </cell>
          <cell r="I239">
            <v>2156.3718699999999</v>
          </cell>
          <cell r="J239">
            <v>0</v>
          </cell>
          <cell r="K239">
            <v>0</v>
          </cell>
          <cell r="L239">
            <v>0</v>
          </cell>
          <cell r="M239">
            <v>2156.3718699999999</v>
          </cell>
          <cell r="N239">
            <v>2156.3718699999999</v>
          </cell>
          <cell r="O239">
            <v>0</v>
          </cell>
          <cell r="P239">
            <v>2156.3718699999999</v>
          </cell>
          <cell r="Q239">
            <v>0</v>
          </cell>
          <cell r="R239">
            <v>-8.6999999984982423E-4</v>
          </cell>
          <cell r="T239">
            <v>2156.3718699999999</v>
          </cell>
          <cell r="U239">
            <v>-1.3000000000000002E-4</v>
          </cell>
          <cell r="V239">
            <v>0</v>
          </cell>
          <cell r="W239" t="str">
            <v>El proyecto ya finalizó.</v>
          </cell>
        </row>
        <row r="240">
          <cell r="A240" t="str">
            <v>PY1715-EMINCAR - PROYECTO CASTELLANOS CUBA</v>
          </cell>
          <cell r="B240" t="str">
            <v>Cierre</v>
          </cell>
          <cell r="C240" t="str">
            <v>23</v>
          </cell>
          <cell r="D240" t="str">
            <v>Minería</v>
          </cell>
          <cell r="E240" t="str">
            <v xml:space="preserve">OHORTUA   </v>
          </cell>
          <cell r="F240">
            <v>32900</v>
          </cell>
          <cell r="G240">
            <v>20532.472999999998</v>
          </cell>
          <cell r="I240">
            <v>20532.472999999998</v>
          </cell>
          <cell r="J240">
            <v>0</v>
          </cell>
          <cell r="K240">
            <v>0</v>
          </cell>
          <cell r="L240">
            <v>1631.96</v>
          </cell>
          <cell r="M240">
            <v>22164.432999999997</v>
          </cell>
          <cell r="N240">
            <v>20532.472999999998</v>
          </cell>
          <cell r="O240">
            <v>-1631.9599999999991</v>
          </cell>
          <cell r="P240">
            <v>22164.432999999997</v>
          </cell>
          <cell r="Q240">
            <v>1631.9599999999991</v>
          </cell>
          <cell r="R240">
            <v>12367.527000000002</v>
          </cell>
          <cell r="T240">
            <v>25948.083910000001</v>
          </cell>
          <cell r="U240">
            <v>-5415.6109100000003</v>
          </cell>
          <cell r="V240">
            <v>29861.68418</v>
          </cell>
          <cell r="W240" t="str">
            <v>Se debe ajustar el Vr. Autorizado a 25,9 MCOP, ya se facturó el total del contrato.</v>
          </cell>
        </row>
      </sheetData>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trolsheet"/>
  <dimension ref="A1:AA23"/>
  <sheetViews>
    <sheetView topLeftCell="A21" zoomScale="70" zoomScaleNormal="70" workbookViewId="0">
      <selection activeCell="C22" sqref="C22"/>
    </sheetView>
  </sheetViews>
  <sheetFormatPr baseColWidth="10" defaultRowHeight="15" x14ac:dyDescent="0.25"/>
  <cols>
    <col min="2" max="2" width="23.42578125" customWidth="1"/>
    <col min="3" max="3" width="55.5703125" customWidth="1"/>
    <col min="7" max="7" width="19.140625" bestFit="1" customWidth="1"/>
    <col min="9" max="9" width="14" bestFit="1" customWidth="1"/>
    <col min="12" max="12" width="18.7109375" bestFit="1" customWidth="1"/>
  </cols>
  <sheetData>
    <row r="1" spans="1:27" x14ac:dyDescent="0.25">
      <c r="A1" s="1" t="s">
        <v>2</v>
      </c>
      <c r="B1" s="1" t="s">
        <v>3</v>
      </c>
      <c r="C1" s="1"/>
      <c r="D1" s="1"/>
      <c r="E1" s="1"/>
      <c r="F1" s="1"/>
    </row>
    <row r="2" spans="1:27" x14ac:dyDescent="0.25">
      <c r="A2" s="1"/>
      <c r="B2" s="1"/>
      <c r="C2" s="1"/>
      <c r="D2" s="1"/>
      <c r="E2" s="1"/>
      <c r="F2" s="1"/>
    </row>
    <row r="3" spans="1:27" x14ac:dyDescent="0.25">
      <c r="A3" s="1"/>
      <c r="B3" s="1"/>
      <c r="C3" s="1"/>
      <c r="D3" s="1"/>
      <c r="E3" s="1"/>
      <c r="F3" s="1"/>
    </row>
    <row r="4" spans="1:27" x14ac:dyDescent="0.25">
      <c r="A4" s="1" t="s">
        <v>2</v>
      </c>
      <c r="B4" s="1" t="s">
        <v>4</v>
      </c>
      <c r="C4" s="1"/>
      <c r="D4" s="1"/>
      <c r="E4" s="1"/>
      <c r="F4" s="1"/>
    </row>
    <row r="5" spans="1:27" x14ac:dyDescent="0.25">
      <c r="A5" s="1" t="s">
        <v>2</v>
      </c>
      <c r="B5" s="1" t="s">
        <v>5</v>
      </c>
      <c r="C5" s="1" t="s">
        <v>6</v>
      </c>
      <c r="D5" s="1"/>
      <c r="E5" s="1"/>
      <c r="F5" s="1"/>
      <c r="M5" s="53" t="s">
        <v>10</v>
      </c>
      <c r="N5" s="54" t="s">
        <v>11</v>
      </c>
      <c r="O5" s="53" t="s">
        <v>12</v>
      </c>
      <c r="Q5" s="53" t="s">
        <v>10</v>
      </c>
      <c r="R5" s="54" t="s">
        <v>11</v>
      </c>
      <c r="S5" s="53" t="s">
        <v>12</v>
      </c>
      <c r="V5" s="57" t="s">
        <v>10</v>
      </c>
      <c r="W5" s="58" t="s">
        <v>11</v>
      </c>
      <c r="X5" s="59" t="s">
        <v>13</v>
      </c>
      <c r="Z5" s="57" t="s">
        <v>13</v>
      </c>
      <c r="AA5" s="59" t="s">
        <v>10</v>
      </c>
    </row>
    <row r="6" spans="1:27" x14ac:dyDescent="0.25">
      <c r="A6" s="1"/>
      <c r="B6" s="1"/>
      <c r="C6" s="1"/>
      <c r="D6" s="1"/>
      <c r="E6" s="1"/>
      <c r="F6" s="1"/>
      <c r="M6" s="55" t="s">
        <v>14</v>
      </c>
      <c r="N6" s="56">
        <v>0</v>
      </c>
      <c r="O6" s="55">
        <v>0</v>
      </c>
      <c r="Q6" s="55" t="s">
        <v>14</v>
      </c>
      <c r="R6" s="56">
        <v>0</v>
      </c>
      <c r="S6" s="55">
        <v>0</v>
      </c>
      <c r="V6" s="60" t="s">
        <v>15</v>
      </c>
      <c r="W6" s="61">
        <v>0</v>
      </c>
      <c r="X6" s="62">
        <v>0</v>
      </c>
      <c r="Z6" s="60" t="s">
        <v>16</v>
      </c>
      <c r="AA6" s="62" t="s">
        <v>17</v>
      </c>
    </row>
    <row r="7" spans="1:27" x14ac:dyDescent="0.25">
      <c r="A7" s="1"/>
      <c r="B7" s="1"/>
      <c r="C7" s="1"/>
      <c r="D7" s="1"/>
      <c r="E7" s="1"/>
      <c r="F7" s="1"/>
      <c r="M7" s="38"/>
      <c r="N7" s="39">
        <v>1</v>
      </c>
      <c r="O7" s="38">
        <v>21</v>
      </c>
      <c r="Q7" s="38" t="s">
        <v>1</v>
      </c>
      <c r="R7" s="39">
        <v>1</v>
      </c>
      <c r="S7" s="38">
        <v>21</v>
      </c>
      <c r="V7" s="63" t="s">
        <v>17</v>
      </c>
      <c r="W7" s="64">
        <v>1</v>
      </c>
      <c r="X7" s="65" t="s">
        <v>16</v>
      </c>
      <c r="Z7" s="63" t="s">
        <v>18</v>
      </c>
      <c r="AA7" s="65" t="s">
        <v>19</v>
      </c>
    </row>
    <row r="8" spans="1:27" s="14" customFormat="1" x14ac:dyDescent="0.25">
      <c r="A8" s="31" t="s">
        <v>7</v>
      </c>
      <c r="B8" s="14" t="s">
        <v>8</v>
      </c>
      <c r="C8" s="14">
        <v>0</v>
      </c>
      <c r="M8" s="40"/>
      <c r="N8" s="41">
        <v>2</v>
      </c>
      <c r="O8" s="40">
        <v>22</v>
      </c>
      <c r="Q8" s="40" t="s">
        <v>20</v>
      </c>
      <c r="R8" s="41">
        <v>2</v>
      </c>
      <c r="S8" s="40">
        <v>10</v>
      </c>
      <c r="V8" s="66" t="s">
        <v>19</v>
      </c>
      <c r="W8" s="67">
        <v>2</v>
      </c>
      <c r="X8" s="68" t="s">
        <v>18</v>
      </c>
      <c r="Z8" s="66" t="s">
        <v>21</v>
      </c>
      <c r="AA8" s="68" t="s">
        <v>22</v>
      </c>
    </row>
    <row r="9" spans="1:27" s="14" customFormat="1" x14ac:dyDescent="0.25">
      <c r="A9" s="31" t="s">
        <v>7</v>
      </c>
      <c r="B9" s="14" t="s">
        <v>39</v>
      </c>
      <c r="C9" s="14">
        <v>201605</v>
      </c>
      <c r="M9" s="42"/>
      <c r="N9" s="43">
        <v>3</v>
      </c>
      <c r="O9" s="42">
        <v>23</v>
      </c>
      <c r="Q9" s="42" t="s">
        <v>23</v>
      </c>
      <c r="R9" s="43">
        <v>3</v>
      </c>
      <c r="S9" s="42">
        <v>22</v>
      </c>
      <c r="V9" s="69" t="s">
        <v>22</v>
      </c>
      <c r="W9" s="70">
        <v>3</v>
      </c>
      <c r="X9" s="71" t="s">
        <v>21</v>
      </c>
      <c r="Z9" s="49" t="s">
        <v>24</v>
      </c>
      <c r="AA9" s="51" t="s">
        <v>25</v>
      </c>
    </row>
    <row r="10" spans="1:27" s="14" customFormat="1" x14ac:dyDescent="0.25">
      <c r="A10" s="31" t="s">
        <v>7</v>
      </c>
      <c r="B10" s="14" t="s">
        <v>9</v>
      </c>
      <c r="C10" s="14">
        <v>201606</v>
      </c>
      <c r="M10" s="40"/>
      <c r="N10" s="41">
        <v>4</v>
      </c>
      <c r="O10" s="40">
        <v>24</v>
      </c>
      <c r="Q10" s="40" t="s">
        <v>26</v>
      </c>
      <c r="R10" s="41">
        <v>4</v>
      </c>
      <c r="S10" s="40">
        <v>23</v>
      </c>
      <c r="V10" s="47" t="s">
        <v>25</v>
      </c>
      <c r="W10" s="48">
        <v>4</v>
      </c>
      <c r="X10" s="50" t="s">
        <v>24</v>
      </c>
    </row>
    <row r="11" spans="1:27" s="14" customFormat="1" x14ac:dyDescent="0.25">
      <c r="A11" s="31" t="s">
        <v>7</v>
      </c>
      <c r="B11" s="14" t="s">
        <v>40</v>
      </c>
      <c r="C11" s="14">
        <v>0</v>
      </c>
      <c r="F11" s="14">
        <v>24</v>
      </c>
      <c r="M11" s="42"/>
      <c r="N11" s="43">
        <v>5</v>
      </c>
      <c r="O11" s="42">
        <v>25</v>
      </c>
      <c r="Q11" s="42" t="s">
        <v>27</v>
      </c>
      <c r="R11" s="43">
        <v>5</v>
      </c>
      <c r="S11" s="42">
        <v>25</v>
      </c>
    </row>
    <row r="12" spans="1:27" s="14" customFormat="1" ht="16.5" customHeight="1" x14ac:dyDescent="0.25">
      <c r="A12" s="31" t="s">
        <v>7</v>
      </c>
      <c r="B12" s="14" t="s">
        <v>41</v>
      </c>
      <c r="C12" s="14">
        <v>0</v>
      </c>
      <c r="F12" s="14">
        <v>21</v>
      </c>
      <c r="M12" s="40"/>
      <c r="N12" s="41">
        <v>6</v>
      </c>
      <c r="O12" s="40">
        <v>26</v>
      </c>
      <c r="Q12" s="40" t="s">
        <v>0</v>
      </c>
      <c r="R12" s="41">
        <v>6</v>
      </c>
      <c r="S12" s="40">
        <v>24</v>
      </c>
    </row>
    <row r="13" spans="1:27" s="14" customFormat="1" ht="15" customHeight="1" x14ac:dyDescent="0.25">
      <c r="A13" s="31" t="s">
        <v>7</v>
      </c>
      <c r="B13" s="14" t="s">
        <v>42</v>
      </c>
      <c r="C13" s="14">
        <v>0</v>
      </c>
      <c r="F13" s="14" t="s">
        <v>16</v>
      </c>
      <c r="M13" s="42"/>
      <c r="N13" s="43">
        <v>7</v>
      </c>
      <c r="O13" s="42">
        <v>27</v>
      </c>
      <c r="Q13" s="42"/>
      <c r="R13" s="43"/>
      <c r="S13" s="42"/>
      <c r="V13" s="72" t="s">
        <v>13</v>
      </c>
      <c r="W13" s="73" t="s">
        <v>10</v>
      </c>
    </row>
    <row r="14" spans="1:27" s="14" customFormat="1" ht="13.5" customHeight="1" x14ac:dyDescent="0.25">
      <c r="A14" s="31" t="s">
        <v>7</v>
      </c>
      <c r="B14" s="14" t="s">
        <v>45</v>
      </c>
      <c r="C14" s="14">
        <v>0</v>
      </c>
      <c r="M14" s="44"/>
      <c r="N14" s="45">
        <v>8</v>
      </c>
      <c r="O14" s="44">
        <v>28</v>
      </c>
      <c r="Q14" s="44"/>
      <c r="R14" s="45"/>
      <c r="S14" s="44"/>
      <c r="V14" s="66">
        <v>1</v>
      </c>
      <c r="W14" s="68" t="s">
        <v>50</v>
      </c>
    </row>
    <row r="15" spans="1:27" s="14" customFormat="1" ht="22.5" customHeight="1" x14ac:dyDescent="0.25">
      <c r="B15" s="14" t="s">
        <v>54</v>
      </c>
      <c r="C15" s="14">
        <v>258</v>
      </c>
      <c r="V15" s="69">
        <v>2</v>
      </c>
      <c r="W15" s="71" t="s">
        <v>51</v>
      </c>
      <c r="Y15" s="14" t="str">
        <f>VLOOKUP(AA15,_control!$V$13:$W$17,2,0)</f>
        <v>LG</v>
      </c>
      <c r="AA15" s="14">
        <v>1</v>
      </c>
    </row>
    <row r="16" spans="1:27" s="1" customFormat="1" ht="22.5" customHeight="1" x14ac:dyDescent="0.25">
      <c r="V16" s="60">
        <v>3</v>
      </c>
      <c r="W16" s="62" t="s">
        <v>52</v>
      </c>
    </row>
    <row r="17" spans="1:23" ht="22.5" customHeight="1" x14ac:dyDescent="0.25">
      <c r="A17" s="1"/>
      <c r="B17" s="1"/>
      <c r="C17" s="3"/>
      <c r="D17" s="1"/>
      <c r="E17" s="1"/>
      <c r="F17" s="1"/>
      <c r="V17" s="46">
        <v>100</v>
      </c>
      <c r="W17" s="52"/>
    </row>
    <row r="18" spans="1:23" ht="27" customHeight="1" x14ac:dyDescent="0.25">
      <c r="A18" s="1"/>
      <c r="B18" s="1"/>
      <c r="C18" s="3"/>
    </row>
    <row r="19" spans="1:23" ht="18.75" customHeight="1" x14ac:dyDescent="0.25">
      <c r="A19" s="1"/>
      <c r="B19" s="1"/>
      <c r="C19" s="3"/>
    </row>
    <row r="20" spans="1:23" x14ac:dyDescent="0.25">
      <c r="A20" s="1"/>
      <c r="B20" s="1"/>
      <c r="C20" s="3"/>
    </row>
    <row r="21" spans="1:23" ht="409.5" x14ac:dyDescent="0.25">
      <c r="A21" s="1" t="s">
        <v>7</v>
      </c>
      <c r="B21" s="4" t="s">
        <v>28</v>
      </c>
      <c r="C21" s="3" t="s">
        <v>131</v>
      </c>
    </row>
    <row r="22" spans="1:23" ht="24.75" customHeight="1" x14ac:dyDescent="0.25">
      <c r="A22" s="1"/>
      <c r="B22" s="1"/>
      <c r="C22" s="3" t="s">
        <v>133</v>
      </c>
    </row>
    <row r="23" spans="1:23" x14ac:dyDescent="0.25">
      <c r="C23" s="3"/>
    </row>
  </sheetData>
  <customSheetViews>
    <customSheetView guid="{1762FAF3-23CF-40D2-BD75-20B953FDC76D}" scale="70" topLeftCell="J1">
      <selection activeCell="AA7" sqref="AA7"/>
      <pageMargins left="0.7" right="0.7" top="0.75" bottom="0.75" header="0.3" footer="0.3"/>
    </customSheetView>
  </customSheetViews>
  <conditionalFormatting sqref="S1:S1048576">
    <cfRule type="cellIs" dxfId="128" priority="1" operator="lessThan">
      <formula>0</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BO3500"/>
  <sheetViews>
    <sheetView tabSelected="1" zoomScale="90" zoomScaleNormal="90" workbookViewId="0">
      <pane xSplit="8" ySplit="9" topLeftCell="I10" activePane="bottomRight" state="frozen"/>
      <selection pane="topRight" activeCell="I1" sqref="I1"/>
      <selection pane="bottomLeft" activeCell="A9" sqref="A9"/>
      <selection pane="bottomRight" activeCell="I10" sqref="I10"/>
    </sheetView>
  </sheetViews>
  <sheetFormatPr baseColWidth="10" defaultColWidth="11.42578125" defaultRowHeight="15" outlineLevelCol="1" x14ac:dyDescent="0.25"/>
  <cols>
    <col min="1" max="1" width="41.28515625" style="99" customWidth="1"/>
    <col min="2" max="2" width="4.42578125" style="100" customWidth="1"/>
    <col min="3" max="3" width="4.42578125" style="100" customWidth="1" outlineLevel="1"/>
    <col min="4" max="5" width="4.42578125" style="100" customWidth="1"/>
    <col min="6" max="6" width="12.7109375" style="107" customWidth="1"/>
    <col min="7" max="7" width="15" style="108" customWidth="1" outlineLevel="1"/>
    <col min="8" max="8" width="10.7109375" style="104" customWidth="1" outlineLevel="1"/>
    <col min="9" max="9" width="15.7109375" style="104" customWidth="1"/>
    <col min="10" max="15" width="15.140625" style="104" customWidth="1" outlineLevel="1"/>
    <col min="16" max="16" width="15.140625" style="104" customWidth="1"/>
    <col min="17" max="17" width="15.7109375" style="104" customWidth="1"/>
    <col min="18" max="18" width="12.7109375" style="104" customWidth="1"/>
    <col min="19" max="19" width="15.7109375" style="111" customWidth="1"/>
    <col min="20" max="20" width="15.7109375" style="105" customWidth="1"/>
    <col min="21" max="21" width="15.7109375" style="104" customWidth="1"/>
    <col min="22" max="22" width="15.7109375" style="106" customWidth="1"/>
    <col min="23" max="23" width="15.7109375" style="104" customWidth="1"/>
    <col min="24" max="24" width="65.7109375" style="115" customWidth="1"/>
    <col min="25" max="25" width="60.7109375" style="109" hidden="1" customWidth="1" outlineLevel="1"/>
    <col min="26" max="26" width="11.42578125" style="97" collapsed="1"/>
    <col min="27" max="27" width="11.42578125" style="32"/>
    <col min="28" max="30" width="11.42578125" style="89"/>
    <col min="31" max="36" width="11.42578125" style="32"/>
    <col min="37" max="38" width="11.42578125" style="23"/>
    <col min="39" max="39" width="7.7109375" style="23" bestFit="1" customWidth="1"/>
    <col min="40" max="40" width="19.28515625" style="23" bestFit="1" customWidth="1"/>
    <col min="41" max="41" width="5.28515625" style="23" bestFit="1" customWidth="1"/>
    <col min="42" max="42" width="5.7109375" style="23" bestFit="1" customWidth="1"/>
    <col min="43" max="43" width="17.42578125" style="23" bestFit="1" customWidth="1"/>
    <col min="44" max="44" width="14.85546875" style="23" bestFit="1" customWidth="1"/>
    <col min="45" max="45" width="20.5703125" style="23" bestFit="1" customWidth="1"/>
    <col min="46" max="46" width="24.85546875" style="23" bestFit="1" customWidth="1"/>
    <col min="47" max="47" width="26.7109375" style="23" bestFit="1" customWidth="1"/>
    <col min="48" max="48" width="6.5703125" style="23" bestFit="1" customWidth="1"/>
    <col min="49" max="49" width="16.42578125" style="23" bestFit="1" customWidth="1"/>
    <col min="50" max="50" width="5.140625" style="23" bestFit="1" customWidth="1"/>
    <col min="51" max="51" width="30.5703125" style="23" bestFit="1" customWidth="1"/>
    <col min="52" max="52" width="30.85546875" style="23" bestFit="1" customWidth="1"/>
    <col min="53" max="53" width="34.42578125" style="23" bestFit="1" customWidth="1"/>
    <col min="54" max="54" width="31.5703125" style="23" bestFit="1" customWidth="1"/>
    <col min="55" max="55" width="36.28515625" style="23" bestFit="1" customWidth="1"/>
    <col min="56" max="56" width="22.140625" style="23" bestFit="1" customWidth="1"/>
    <col min="57" max="57" width="18.140625" style="23" bestFit="1" customWidth="1"/>
    <col min="58" max="58" width="25" style="23" bestFit="1" customWidth="1"/>
    <col min="59" max="59" width="29.5703125" style="23" bestFit="1" customWidth="1"/>
    <col min="60" max="60" width="21.7109375" style="23" bestFit="1" customWidth="1"/>
    <col min="61" max="61" width="19.140625" style="23" bestFit="1" customWidth="1"/>
    <col min="62" max="66" width="11.42578125" style="23"/>
    <col min="67" max="67" width="23.140625" style="23" customWidth="1"/>
    <col min="68" max="16384" width="11.42578125" style="23"/>
  </cols>
  <sheetData>
    <row r="1" spans="1:67" s="21" customFormat="1" ht="9" customHeight="1" x14ac:dyDescent="0.25">
      <c r="A1" s="19"/>
      <c r="B1" s="19"/>
      <c r="C1" s="19"/>
      <c r="D1" s="19"/>
      <c r="E1" s="19"/>
      <c r="F1" s="20"/>
      <c r="G1" s="74"/>
      <c r="H1" s="74"/>
      <c r="X1" s="88"/>
      <c r="Y1" s="88"/>
      <c r="Z1" s="89"/>
      <c r="AA1" s="32"/>
      <c r="AB1" s="89"/>
      <c r="AC1" s="89"/>
      <c r="AD1" s="89"/>
      <c r="AE1" s="32"/>
      <c r="AF1" s="32"/>
      <c r="AG1" s="32"/>
      <c r="AH1" s="32"/>
      <c r="AI1" s="32"/>
      <c r="AJ1" s="32"/>
    </row>
    <row r="2" spans="1:67" s="21" customFormat="1" ht="6.75" customHeight="1" x14ac:dyDescent="0.35">
      <c r="A2" s="30"/>
      <c r="B2" s="113">
        <v>201606</v>
      </c>
      <c r="C2" s="22">
        <v>201606</v>
      </c>
      <c r="D2" s="19"/>
      <c r="F2" s="87"/>
      <c r="X2" s="88"/>
      <c r="Y2" s="88"/>
      <c r="Z2" s="89"/>
      <c r="AA2" s="32"/>
      <c r="AB2" s="89"/>
      <c r="AC2" s="89"/>
      <c r="AD2" s="89"/>
      <c r="AE2" s="32"/>
      <c r="AF2" s="32"/>
      <c r="AG2" s="32"/>
      <c r="AH2" s="32"/>
      <c r="AI2" s="32"/>
      <c r="AJ2" s="32"/>
    </row>
    <row r="3" spans="1:67" s="21" customFormat="1" ht="6" customHeight="1" x14ac:dyDescent="0.35">
      <c r="A3" s="29"/>
      <c r="B3" s="75" t="s">
        <v>43</v>
      </c>
      <c r="C3" s="75" t="s">
        <v>43</v>
      </c>
      <c r="D3" s="19"/>
      <c r="E3" s="75"/>
      <c r="F3" s="22" t="s">
        <v>43</v>
      </c>
      <c r="X3" s="88"/>
      <c r="Y3" s="88"/>
      <c r="Z3" s="89"/>
      <c r="AA3" s="32"/>
      <c r="AB3" s="89"/>
      <c r="AC3" s="89"/>
      <c r="AD3" s="89"/>
      <c r="AE3" s="32"/>
      <c r="AF3" s="32"/>
      <c r="AG3" s="32"/>
      <c r="AH3" s="32"/>
      <c r="AI3" s="32"/>
      <c r="AJ3" s="32"/>
    </row>
    <row r="4" spans="1:67" s="21" customFormat="1" ht="8.25" customHeight="1" thickBot="1" x14ac:dyDescent="0.4">
      <c r="A4" s="29"/>
      <c r="B4" s="75" t="s">
        <v>43</v>
      </c>
      <c r="C4" s="75" t="s">
        <v>43</v>
      </c>
      <c r="D4" s="19"/>
      <c r="E4" s="75"/>
      <c r="F4" s="22" t="s">
        <v>43</v>
      </c>
      <c r="X4" s="88"/>
      <c r="Y4" s="88"/>
      <c r="Z4" s="89"/>
      <c r="AA4" s="32"/>
      <c r="AB4" s="89"/>
      <c r="AC4" s="89"/>
      <c r="AD4" s="89"/>
      <c r="AE4" s="32"/>
      <c r="AF4" s="32"/>
      <c r="AG4" s="32"/>
      <c r="AH4" s="32"/>
      <c r="AI4" s="32"/>
      <c r="AJ4" s="32"/>
    </row>
    <row r="5" spans="1:67" s="21" customFormat="1" ht="26.25" thickBot="1" x14ac:dyDescent="0.4">
      <c r="A5" s="112" t="s">
        <v>80</v>
      </c>
      <c r="B5" s="75" t="s">
        <v>43</v>
      </c>
      <c r="C5" s="75"/>
      <c r="D5" s="19"/>
      <c r="E5" s="75"/>
      <c r="F5" s="22"/>
      <c r="X5" s="88"/>
      <c r="Y5" s="88"/>
      <c r="Z5" s="89"/>
      <c r="AA5" s="32"/>
      <c r="AB5" s="89"/>
      <c r="AC5" s="89"/>
      <c r="AD5" s="89"/>
      <c r="AE5" s="32"/>
      <c r="AF5" s="32"/>
      <c r="AG5" s="32"/>
      <c r="AH5" s="32"/>
      <c r="AI5" s="32"/>
      <c r="AJ5" s="32"/>
    </row>
    <row r="6" spans="1:67" s="21" customFormat="1" ht="30" customHeight="1" thickBot="1" x14ac:dyDescent="0.5">
      <c r="A6" s="28" t="str">
        <f>IF($A$5=$AL$6,BJ$6,BJ$7)</f>
        <v>Cifras en Miles de COP</v>
      </c>
      <c r="B6" s="75"/>
      <c r="C6" s="75" t="s">
        <v>43</v>
      </c>
      <c r="D6" s="19"/>
      <c r="E6" s="75"/>
      <c r="F6" s="22" t="s">
        <v>43</v>
      </c>
      <c r="I6" s="83"/>
      <c r="X6" s="88"/>
      <c r="Y6" s="88"/>
      <c r="Z6" s="89"/>
      <c r="AA6" s="32"/>
      <c r="AB6" s="89"/>
      <c r="AC6" s="89"/>
      <c r="AD6" s="89"/>
      <c r="AE6" s="32"/>
      <c r="AF6" s="32"/>
      <c r="AG6" s="32"/>
      <c r="AH6" s="32"/>
      <c r="AI6" s="32"/>
      <c r="AJ6" s="32"/>
      <c r="AL6" s="76" t="s">
        <v>87</v>
      </c>
      <c r="AM6" s="77" t="s">
        <v>68</v>
      </c>
      <c r="AN6" s="77" t="s">
        <v>102</v>
      </c>
      <c r="AO6" s="77" t="s">
        <v>100</v>
      </c>
      <c r="AP6" s="77" t="s">
        <v>56</v>
      </c>
      <c r="AQ6" s="77" t="s">
        <v>99</v>
      </c>
      <c r="AR6" s="78" t="s">
        <v>81</v>
      </c>
      <c r="AS6" s="77" t="s">
        <v>77</v>
      </c>
      <c r="AT6" s="77" t="s">
        <v>76</v>
      </c>
      <c r="AU6" s="77" t="s">
        <v>69</v>
      </c>
      <c r="AV6" s="77" t="s">
        <v>59</v>
      </c>
      <c r="AW6" s="77" t="s">
        <v>60</v>
      </c>
      <c r="AX6" s="77" t="s">
        <v>61</v>
      </c>
      <c r="AY6" s="77" t="s">
        <v>70</v>
      </c>
      <c r="AZ6" s="77" t="s">
        <v>62</v>
      </c>
      <c r="BA6" s="77" t="s">
        <v>71</v>
      </c>
      <c r="BB6" s="77" t="s">
        <v>75</v>
      </c>
      <c r="BC6" s="77" t="s">
        <v>74</v>
      </c>
      <c r="BD6" s="77" t="s">
        <v>78</v>
      </c>
      <c r="BE6" s="77" t="s">
        <v>67</v>
      </c>
      <c r="BF6" s="77" t="s">
        <v>63</v>
      </c>
      <c r="BG6" s="77" t="s">
        <v>64</v>
      </c>
      <c r="BH6" s="77" t="s">
        <v>65</v>
      </c>
      <c r="BI6" s="79" t="s">
        <v>66</v>
      </c>
      <c r="BJ6" s="21" t="s">
        <v>79</v>
      </c>
      <c r="BN6" s="21" t="str">
        <f>verBotonConsultar(BM6)</f>
        <v/>
      </c>
      <c r="BO6" s="80" t="s">
        <v>97</v>
      </c>
    </row>
    <row r="7" spans="1:67" s="21" customFormat="1" ht="30" customHeight="1" thickBot="1" x14ac:dyDescent="0.45">
      <c r="A7" s="35" t="str">
        <f>"Reporting Period: "&amp;C2</f>
        <v>Reporting Period: 201606</v>
      </c>
      <c r="B7" s="32"/>
      <c r="C7" s="32"/>
      <c r="D7" s="32"/>
      <c r="E7" s="32"/>
      <c r="F7" s="32"/>
      <c r="G7" s="32"/>
      <c r="H7" s="32"/>
      <c r="I7" s="32"/>
      <c r="J7" s="91" t="s">
        <v>73</v>
      </c>
      <c r="K7" s="33"/>
      <c r="L7" s="33"/>
      <c r="M7" s="33"/>
      <c r="N7" s="33"/>
      <c r="O7" s="33"/>
      <c r="P7" s="33"/>
      <c r="Q7" s="33" t="s">
        <v>72</v>
      </c>
      <c r="R7" s="32"/>
      <c r="S7" s="32"/>
      <c r="T7" s="32"/>
      <c r="U7" s="32"/>
      <c r="V7" s="32"/>
      <c r="W7" s="32"/>
      <c r="X7" s="89"/>
      <c r="Y7" s="89"/>
      <c r="Z7" s="89"/>
      <c r="AA7" s="32"/>
      <c r="AB7" s="89"/>
      <c r="AC7" s="89"/>
      <c r="AD7" s="89"/>
      <c r="AE7" s="32"/>
      <c r="AF7" s="32"/>
      <c r="AG7" s="32"/>
      <c r="AH7" s="32"/>
      <c r="AI7" s="32"/>
      <c r="AJ7" s="32"/>
      <c r="AL7" s="76" t="s">
        <v>80</v>
      </c>
      <c r="AM7" s="77" t="s">
        <v>44</v>
      </c>
      <c r="AN7" s="77" t="s">
        <v>101</v>
      </c>
      <c r="AO7" s="77" t="s">
        <v>100</v>
      </c>
      <c r="AP7" s="77" t="s">
        <v>56</v>
      </c>
      <c r="AQ7" s="77" t="s">
        <v>98</v>
      </c>
      <c r="AR7" s="77" t="s">
        <v>58</v>
      </c>
      <c r="AS7" s="77" t="s">
        <v>77</v>
      </c>
      <c r="AT7" s="77" t="s">
        <v>76</v>
      </c>
      <c r="AU7" s="78" t="s">
        <v>94</v>
      </c>
      <c r="AV7" s="77" t="s">
        <v>59</v>
      </c>
      <c r="AW7" s="78" t="s">
        <v>82</v>
      </c>
      <c r="AX7" s="77" t="s">
        <v>61</v>
      </c>
      <c r="AY7" s="78" t="s">
        <v>92</v>
      </c>
      <c r="AZ7" s="78" t="s">
        <v>95</v>
      </c>
      <c r="BA7" s="78" t="s">
        <v>93</v>
      </c>
      <c r="BB7" s="78" t="s">
        <v>88</v>
      </c>
      <c r="BC7" s="78" t="s">
        <v>89</v>
      </c>
      <c r="BD7" s="78" t="s">
        <v>90</v>
      </c>
      <c r="BE7" s="78" t="s">
        <v>91</v>
      </c>
      <c r="BF7" s="78" t="s">
        <v>83</v>
      </c>
      <c r="BG7" s="78" t="s">
        <v>84</v>
      </c>
      <c r="BH7" s="78" t="s">
        <v>85</v>
      </c>
      <c r="BI7" s="81" t="s">
        <v>86</v>
      </c>
      <c r="BJ7" s="21" t="s">
        <v>96</v>
      </c>
    </row>
    <row r="8" spans="1:67" s="21" customFormat="1" ht="30" customHeight="1" x14ac:dyDescent="0.4">
      <c r="A8" s="116">
        <v>42558.761574074073</v>
      </c>
      <c r="B8" s="116"/>
      <c r="C8" s="142"/>
      <c r="D8" s="142"/>
      <c r="E8" s="142"/>
      <c r="F8" s="142"/>
      <c r="G8" s="142"/>
      <c r="H8" s="142"/>
      <c r="I8" s="143" t="s">
        <v>118</v>
      </c>
      <c r="J8" s="144" t="s">
        <v>115</v>
      </c>
      <c r="K8" s="144" t="s">
        <v>116</v>
      </c>
      <c r="L8" s="144"/>
      <c r="M8" s="152" t="s">
        <v>129</v>
      </c>
      <c r="N8" s="152"/>
      <c r="O8" s="152"/>
      <c r="P8" s="150" t="s">
        <v>117</v>
      </c>
      <c r="Q8" s="145" t="s">
        <v>119</v>
      </c>
      <c r="R8" s="146" t="s">
        <v>114</v>
      </c>
      <c r="S8" s="145" t="s">
        <v>113</v>
      </c>
      <c r="T8" s="147"/>
      <c r="U8" s="147"/>
      <c r="V8" s="147"/>
      <c r="W8" s="147"/>
      <c r="X8" s="148"/>
      <c r="Y8" s="149"/>
      <c r="Z8" s="89"/>
      <c r="AA8" s="32"/>
      <c r="AB8" s="89"/>
      <c r="AC8" s="89"/>
      <c r="AD8" s="89"/>
      <c r="AE8" s="32"/>
      <c r="AF8" s="32"/>
      <c r="AG8" s="32"/>
      <c r="AH8" s="32"/>
      <c r="AI8" s="32"/>
      <c r="AJ8" s="32"/>
      <c r="AL8" s="32"/>
      <c r="AM8" s="32"/>
      <c r="AN8" s="32"/>
      <c r="AO8" s="32"/>
      <c r="AP8" s="32"/>
      <c r="AQ8" s="32"/>
      <c r="AR8" s="32"/>
      <c r="AS8" s="32"/>
      <c r="AT8" s="32"/>
      <c r="AU8" s="114"/>
      <c r="AV8" s="32"/>
      <c r="AW8" s="114"/>
      <c r="AX8" s="32"/>
      <c r="AY8" s="114"/>
      <c r="AZ8" s="114"/>
      <c r="BA8" s="114"/>
      <c r="BB8" s="114"/>
      <c r="BC8" s="114"/>
      <c r="BD8" s="114"/>
      <c r="BE8" s="114"/>
      <c r="BF8" s="114"/>
      <c r="BG8" s="114"/>
      <c r="BH8" s="114"/>
      <c r="BI8" s="114"/>
    </row>
    <row r="9" spans="1:67" s="82" customFormat="1" ht="67.5" customHeight="1" x14ac:dyDescent="0.25">
      <c r="A9" s="125" t="str">
        <f t="shared" ref="A9:I9" si="0">IF($A$5=$AL$6,AM$6,AM$7)</f>
        <v>Proyecto</v>
      </c>
      <c r="B9" s="126" t="str">
        <f t="shared" si="0"/>
        <v>Etapa</v>
      </c>
      <c r="C9" s="126" t="str">
        <f t="shared" si="0"/>
        <v>Reg</v>
      </c>
      <c r="D9" s="126" t="str">
        <f t="shared" si="0"/>
        <v>Area</v>
      </c>
      <c r="E9" s="127" t="str">
        <f t="shared" si="0"/>
        <v>GP</v>
      </c>
      <c r="F9" s="128" t="str">
        <f t="shared" si="0"/>
        <v>Vr
Autorizado</v>
      </c>
      <c r="G9" s="129" t="str">
        <f t="shared" si="0"/>
        <v>Ejecutado
AGRESSO</v>
      </c>
      <c r="H9" s="129" t="str">
        <f t="shared" si="0"/>
        <v>Ejecutado
UNO/
HELISA</v>
      </c>
      <c r="I9" s="130" t="str">
        <f t="shared" si="0"/>
        <v>Ejecutado
Inicio-Hoy
Mes
Anterior</v>
      </c>
      <c r="J9" s="131" t="s">
        <v>120</v>
      </c>
      <c r="K9" s="131" t="s">
        <v>121</v>
      </c>
      <c r="L9" s="131" t="s">
        <v>130</v>
      </c>
      <c r="M9" s="131" t="s">
        <v>122</v>
      </c>
      <c r="N9" s="131" t="s">
        <v>125</v>
      </c>
      <c r="O9" s="131" t="s">
        <v>128</v>
      </c>
      <c r="P9" s="131" t="s">
        <v>132</v>
      </c>
      <c r="Q9" s="128" t="s">
        <v>107</v>
      </c>
      <c r="R9" s="128" t="str">
        <f>IF($A$5=$AL$6,BA$6,BA$7)</f>
        <v>Sobre(-)
/Infra(+)
Ejecución
Inicio - Hoy</v>
      </c>
      <c r="S9" s="130" t="str">
        <f t="shared" ref="S9:X9" si="1">IF($A$5=$AL$6,BD$6,BD$7)</f>
        <v>Disponible a
Ejecutar</v>
      </c>
      <c r="T9" s="130" t="str">
        <f t="shared" si="1"/>
        <v>Ejecución para
completar</v>
      </c>
      <c r="U9" s="130" t="str">
        <f t="shared" si="1"/>
        <v>Trabajo Ejecutado
Facturado</v>
      </c>
      <c r="V9" s="130" t="str">
        <f t="shared" si="1"/>
        <v>Trabajo
Ejecutado
No Facturado</v>
      </c>
      <c r="W9" s="130" t="str">
        <f t="shared" si="1"/>
        <v>Cuentas
Por Cobrar</v>
      </c>
      <c r="X9" s="92" t="str">
        <f t="shared" si="1"/>
        <v>Comentario
Del proyecto</v>
      </c>
      <c r="Y9" s="92" t="s">
        <v>103</v>
      </c>
      <c r="Z9" s="90"/>
      <c r="AB9" s="90"/>
      <c r="AC9" s="90"/>
      <c r="AD9" s="90"/>
    </row>
    <row r="10" spans="1:67" s="27" customFormat="1" ht="69" customHeight="1" x14ac:dyDescent="0.25">
      <c r="A10" s="132" t="s">
        <v>108</v>
      </c>
      <c r="B10" s="133" t="s">
        <v>109</v>
      </c>
      <c r="C10" s="134" t="s">
        <v>110</v>
      </c>
      <c r="D10" s="135" t="s">
        <v>111</v>
      </c>
      <c r="E10" s="136" t="s">
        <v>112</v>
      </c>
      <c r="F10" s="137">
        <v>0</v>
      </c>
      <c r="G10" s="138">
        <v>0</v>
      </c>
      <c r="H10" s="139"/>
      <c r="I10" s="139">
        <f>(SUM(G10:H10))</f>
        <v>0</v>
      </c>
      <c r="J10" s="139">
        <v>10397.896685</v>
      </c>
      <c r="K10" s="139">
        <f>L10+M10+N10+O10</f>
        <v>10397.896685</v>
      </c>
      <c r="L10" s="139">
        <v>0</v>
      </c>
      <c r="M10" s="139">
        <v>10126.403684999999</v>
      </c>
      <c r="N10" s="139">
        <v>0</v>
      </c>
      <c r="O10" s="139">
        <v>271.49299999999999</v>
      </c>
      <c r="P10" s="139">
        <f>K10+J10</f>
        <v>20795.793369999999</v>
      </c>
      <c r="Q10" s="139">
        <v>10397.896685</v>
      </c>
      <c r="R10" s="139">
        <f>Q10-P10</f>
        <v>-10397.896685</v>
      </c>
      <c r="S10" s="140">
        <f>F10-Q10</f>
        <v>-10397.896685</v>
      </c>
      <c r="T10" s="141"/>
      <c r="U10" s="139">
        <v>0</v>
      </c>
      <c r="V10" s="139">
        <v>0</v>
      </c>
      <c r="W10" s="139">
        <v>0</v>
      </c>
      <c r="X10" s="124" t="str">
        <f>VLOOKUP(A10,[1]Consolidado!$A:$W,23,FALSE)</f>
        <v>Se tiene previsto firma de contrato IV sem jul-16.
Se trabaja en la planeación del proyecto y la domiciliación de WSP|PB en Ecuador.</v>
      </c>
      <c r="Y10" s="121"/>
      <c r="Z10" s="89"/>
      <c r="AA10" s="9"/>
      <c r="AB10" s="89"/>
      <c r="AC10" s="93"/>
      <c r="AD10" s="93"/>
      <c r="AE10" s="94"/>
      <c r="AF10" s="94"/>
      <c r="AG10" s="94"/>
      <c r="AH10" s="94"/>
      <c r="AI10" s="94"/>
      <c r="AJ10" s="94"/>
    </row>
    <row r="11" spans="1:67" s="27" customFormat="1" ht="69" customHeight="1" x14ac:dyDescent="0.25">
      <c r="A11" s="132" t="s">
        <v>134</v>
      </c>
      <c r="B11" s="133" t="s">
        <v>109</v>
      </c>
      <c r="C11" s="134" t="s">
        <v>135</v>
      </c>
      <c r="D11" s="135" t="s">
        <v>136</v>
      </c>
      <c r="E11" s="136" t="s">
        <v>137</v>
      </c>
      <c r="F11" s="137">
        <v>0</v>
      </c>
      <c r="G11" s="138">
        <v>0</v>
      </c>
      <c r="H11" s="139"/>
      <c r="I11" s="139">
        <f>(SUM(G11:H11))</f>
        <v>0</v>
      </c>
      <c r="J11" s="139">
        <v>0</v>
      </c>
      <c r="K11" s="139">
        <f>L11+M11+N11+O11</f>
        <v>24893.27</v>
      </c>
      <c r="L11" s="139">
        <v>5085.2453999999998</v>
      </c>
      <c r="M11" s="139">
        <v>0</v>
      </c>
      <c r="N11" s="139">
        <v>42</v>
      </c>
      <c r="O11" s="139">
        <v>19766.024600000001</v>
      </c>
      <c r="P11" s="139">
        <f>K11+J11</f>
        <v>24893.27</v>
      </c>
      <c r="Q11" s="139">
        <v>0</v>
      </c>
      <c r="R11" s="139">
        <f>Q11-P11</f>
        <v>-24893.27</v>
      </c>
      <c r="S11" s="140">
        <f>F11-Q11</f>
        <v>0</v>
      </c>
      <c r="T11" s="141"/>
      <c r="U11" s="139">
        <v>0</v>
      </c>
      <c r="V11" s="139">
        <v>0</v>
      </c>
      <c r="W11" s="139">
        <v>0</v>
      </c>
      <c r="X11" s="124" t="str">
        <f>VLOOKUP(A11,[1]Consolidado!$A:$W,23,FALSE)</f>
        <v>El cliente ha dicidido cancelar el proyecto.
Proyecto Terminado.</v>
      </c>
      <c r="Y11" s="121"/>
      <c r="Z11" s="89"/>
      <c r="AA11" s="9"/>
      <c r="AB11" s="89"/>
      <c r="AC11" s="93"/>
      <c r="AD11" s="93"/>
      <c r="AE11" s="94"/>
      <c r="AF11" s="94"/>
      <c r="AG11" s="94"/>
      <c r="AH11" s="94"/>
      <c r="AI11" s="94"/>
      <c r="AJ11" s="94"/>
    </row>
    <row r="12" spans="1:67" s="27" customFormat="1" ht="69" customHeight="1" x14ac:dyDescent="0.25">
      <c r="A12" s="132" t="s">
        <v>138</v>
      </c>
      <c r="B12" s="133" t="s">
        <v>139</v>
      </c>
      <c r="C12" s="134" t="s">
        <v>140</v>
      </c>
      <c r="D12" s="135" t="s">
        <v>111</v>
      </c>
      <c r="E12" s="136" t="s">
        <v>141</v>
      </c>
      <c r="F12" s="137">
        <v>151104.85399999999</v>
      </c>
      <c r="G12" s="138">
        <v>69888.290010000012</v>
      </c>
      <c r="H12" s="139"/>
      <c r="I12" s="139">
        <f>(SUM(G12:H12))</f>
        <v>69888.290010000012</v>
      </c>
      <c r="J12" s="139">
        <v>0</v>
      </c>
      <c r="K12" s="139">
        <f>L12+M12+N12+O12</f>
        <v>2485.4635699999999</v>
      </c>
      <c r="L12" s="139">
        <v>611.87876000000006</v>
      </c>
      <c r="M12" s="139">
        <v>0</v>
      </c>
      <c r="N12" s="139">
        <v>0</v>
      </c>
      <c r="O12" s="139">
        <v>1873.5848100000001</v>
      </c>
      <c r="P12" s="139">
        <f>K12+J12</f>
        <v>2485.4635699999999</v>
      </c>
      <c r="Q12" s="139">
        <v>69888.290010000012</v>
      </c>
      <c r="R12" s="139">
        <f>Q12-P12</f>
        <v>67402.826440000004</v>
      </c>
      <c r="S12" s="140">
        <f>F12-Q12</f>
        <v>81216.563989999981</v>
      </c>
      <c r="T12" s="141"/>
      <c r="U12" s="139">
        <v>69888.290010000012</v>
      </c>
      <c r="V12" s="139">
        <v>0</v>
      </c>
      <c r="W12" s="139">
        <v>0</v>
      </c>
      <c r="X12" s="124" t="str">
        <f>VLOOKUP(A12,[1]Consolidado!$A:$W,23,FALSE)</f>
        <v>No información.</v>
      </c>
      <c r="Y12" s="121"/>
      <c r="Z12" s="89"/>
      <c r="AA12" s="9"/>
      <c r="AB12" s="89"/>
      <c r="AC12" s="93"/>
      <c r="AD12" s="93"/>
      <c r="AE12" s="94"/>
      <c r="AF12" s="94"/>
      <c r="AG12" s="94"/>
      <c r="AH12" s="94"/>
      <c r="AI12" s="94"/>
      <c r="AJ12" s="94"/>
    </row>
    <row r="13" spans="1:67" s="27" customFormat="1" ht="69" customHeight="1" x14ac:dyDescent="0.25">
      <c r="A13" s="132" t="s">
        <v>142</v>
      </c>
      <c r="B13" s="133" t="s">
        <v>139</v>
      </c>
      <c r="C13" s="134" t="s">
        <v>135</v>
      </c>
      <c r="D13" s="135" t="s">
        <v>143</v>
      </c>
      <c r="E13" s="136" t="s">
        <v>144</v>
      </c>
      <c r="F13" s="137">
        <v>276029.89399999997</v>
      </c>
      <c r="G13" s="138">
        <v>181213.755</v>
      </c>
      <c r="H13" s="139"/>
      <c r="I13" s="139">
        <f>(SUM(G13:H13))</f>
        <v>181213.755</v>
      </c>
      <c r="J13" s="139">
        <v>0</v>
      </c>
      <c r="K13" s="139">
        <f>L13+M13+N13+O13</f>
        <v>0</v>
      </c>
      <c r="L13" s="139">
        <v>0</v>
      </c>
      <c r="M13" s="139">
        <v>0</v>
      </c>
      <c r="N13" s="139">
        <v>0</v>
      </c>
      <c r="O13" s="139">
        <v>0</v>
      </c>
      <c r="P13" s="139">
        <f>K13+J13</f>
        <v>0</v>
      </c>
      <c r="Q13" s="139">
        <v>181213.755</v>
      </c>
      <c r="R13" s="139">
        <f>Q13-P13</f>
        <v>181213.755</v>
      </c>
      <c r="S13" s="140">
        <f>F13-Q13</f>
        <v>94816.138999999966</v>
      </c>
      <c r="T13" s="141"/>
      <c r="U13" s="139">
        <v>154554.14719999998</v>
      </c>
      <c r="V13" s="139">
        <v>26659.607800000002</v>
      </c>
      <c r="W13" s="139">
        <v>0</v>
      </c>
      <c r="X13" s="124" t="str">
        <f>VLOOKUP(A13,[1]Consolidado!$A:$W,23,FALSE)</f>
        <v>WIP a facturar en octubre junto con el reporte de los meses mayo a octubre que ascenderá a 106 MMCOP</v>
      </c>
      <c r="Y13" s="121"/>
      <c r="Z13" s="89"/>
      <c r="AA13" s="9"/>
      <c r="AB13" s="89"/>
      <c r="AC13" s="93"/>
      <c r="AD13" s="93"/>
      <c r="AE13" s="94"/>
      <c r="AF13" s="94"/>
      <c r="AG13" s="94"/>
      <c r="AH13" s="94"/>
      <c r="AI13" s="94"/>
      <c r="AJ13" s="94"/>
    </row>
    <row r="14" spans="1:67" s="27" customFormat="1" ht="69" customHeight="1" x14ac:dyDescent="0.25">
      <c r="A14" s="132" t="s">
        <v>145</v>
      </c>
      <c r="B14" s="133" t="s">
        <v>139</v>
      </c>
      <c r="C14" s="134" t="s">
        <v>135</v>
      </c>
      <c r="D14" s="135" t="s">
        <v>143</v>
      </c>
      <c r="E14" s="136" t="s">
        <v>144</v>
      </c>
      <c r="F14" s="137">
        <v>149713.867</v>
      </c>
      <c r="G14" s="138">
        <v>171783.1765</v>
      </c>
      <c r="H14" s="139"/>
      <c r="I14" s="139">
        <f>(SUM(G14:H14))</f>
        <v>171783.1765</v>
      </c>
      <c r="J14" s="139">
        <v>25459.703872500002</v>
      </c>
      <c r="K14" s="139">
        <f>L14+M14+N14+O14</f>
        <v>150936.75558250002</v>
      </c>
      <c r="L14" s="139">
        <v>86802.079024999999</v>
      </c>
      <c r="M14" s="139">
        <v>51275.508727500004</v>
      </c>
      <c r="N14" s="139">
        <v>429.05324000000002</v>
      </c>
      <c r="O14" s="139">
        <v>12430.114589999999</v>
      </c>
      <c r="P14" s="139">
        <f>K14+J14</f>
        <v>176396.459455</v>
      </c>
      <c r="Q14" s="139">
        <v>197242.88037249999</v>
      </c>
      <c r="R14" s="139">
        <f>Q14-P14</f>
        <v>20846.420917499985</v>
      </c>
      <c r="S14" s="140">
        <f>F14-Q14</f>
        <v>-47529.013372499991</v>
      </c>
      <c r="T14" s="141"/>
      <c r="U14" s="139">
        <v>57394.819000000003</v>
      </c>
      <c r="V14" s="139">
        <v>114388.3575</v>
      </c>
      <c r="W14" s="139">
        <v>0</v>
      </c>
      <c r="X14" s="124" t="str">
        <f>VLOOKUP(A14,[1]Consolidado!$A:$W,23,FALSE)</f>
        <v>De acuerdo a TRM del presupuesto sólo son facturables 89,8 MMCOP; la diferencia debe reversarse. El ejec x completar depende de oferta adicional presentada al cliente (geotecnia)</v>
      </c>
      <c r="Y14" s="121"/>
      <c r="Z14" s="89"/>
      <c r="AA14" s="9"/>
      <c r="AB14" s="89"/>
      <c r="AC14" s="93"/>
      <c r="AD14" s="93"/>
      <c r="AE14" s="94"/>
      <c r="AF14" s="94"/>
      <c r="AG14" s="94"/>
      <c r="AH14" s="94"/>
      <c r="AI14" s="94"/>
      <c r="AJ14" s="94"/>
    </row>
    <row r="15" spans="1:67" s="27" customFormat="1" ht="69" customHeight="1" x14ac:dyDescent="0.25">
      <c r="A15" s="132" t="s">
        <v>146</v>
      </c>
      <c r="B15" s="133" t="s">
        <v>139</v>
      </c>
      <c r="C15" s="134" t="s">
        <v>147</v>
      </c>
      <c r="D15" s="135" t="s">
        <v>136</v>
      </c>
      <c r="E15" s="136" t="s">
        <v>148</v>
      </c>
      <c r="F15" s="137">
        <v>0</v>
      </c>
      <c r="G15" s="138">
        <v>76014.88781</v>
      </c>
      <c r="H15" s="139"/>
      <c r="I15" s="139">
        <f>(SUM(G15:H15))</f>
        <v>76014.88781</v>
      </c>
      <c r="J15" s="139">
        <v>0</v>
      </c>
      <c r="K15" s="139">
        <f>L15+M15+N15+O15</f>
        <v>325.40492499999999</v>
      </c>
      <c r="L15" s="139">
        <v>313.40492499999999</v>
      </c>
      <c r="M15" s="139">
        <v>0</v>
      </c>
      <c r="N15" s="139">
        <v>0</v>
      </c>
      <c r="O15" s="139">
        <v>12</v>
      </c>
      <c r="P15" s="139">
        <f>K15+J15</f>
        <v>325.40492499999999</v>
      </c>
      <c r="Q15" s="139">
        <v>76014.88781</v>
      </c>
      <c r="R15" s="139">
        <f>Q15-P15</f>
        <v>75689.482885000005</v>
      </c>
      <c r="S15" s="140">
        <f>F15-Q15</f>
        <v>-76014.88781</v>
      </c>
      <c r="T15" s="141"/>
      <c r="U15" s="139">
        <v>76014.88781</v>
      </c>
      <c r="V15" s="139">
        <v>0</v>
      </c>
      <c r="W15" s="139">
        <v>0</v>
      </c>
      <c r="X15" s="124" t="str">
        <f>VLOOKUP(A15,[1]Consolidado!$A:$W,23,FALSE)</f>
        <v>No información.</v>
      </c>
      <c r="Y15" s="121"/>
      <c r="Z15" s="89"/>
      <c r="AA15" s="9"/>
      <c r="AB15" s="89"/>
      <c r="AC15" s="93"/>
      <c r="AD15" s="93"/>
      <c r="AE15" s="94"/>
      <c r="AF15" s="94"/>
      <c r="AG15" s="94"/>
      <c r="AH15" s="94"/>
      <c r="AI15" s="94"/>
      <c r="AJ15" s="94"/>
    </row>
    <row r="16" spans="1:67" s="27" customFormat="1" ht="69" customHeight="1" x14ac:dyDescent="0.25">
      <c r="A16" s="132" t="s">
        <v>149</v>
      </c>
      <c r="B16" s="133" t="s">
        <v>139</v>
      </c>
      <c r="C16" s="134" t="s">
        <v>140</v>
      </c>
      <c r="D16" s="135" t="s">
        <v>143</v>
      </c>
      <c r="E16" s="136" t="s">
        <v>150</v>
      </c>
      <c r="F16" s="137">
        <v>1402025.1769999999</v>
      </c>
      <c r="G16" s="138">
        <v>129401.8575</v>
      </c>
      <c r="H16" s="139"/>
      <c r="I16" s="139">
        <f>(SUM(G16:H16))</f>
        <v>129401.8575</v>
      </c>
      <c r="J16" s="139">
        <v>951.19170750000001</v>
      </c>
      <c r="K16" s="139">
        <f>L16+M16+N16+O16</f>
        <v>125821.83786500001</v>
      </c>
      <c r="L16" s="139">
        <v>77582.304625000004</v>
      </c>
      <c r="M16" s="139">
        <v>18188.704240000003</v>
      </c>
      <c r="N16" s="139">
        <v>0</v>
      </c>
      <c r="O16" s="139">
        <v>30050.829000000002</v>
      </c>
      <c r="P16" s="139">
        <f>K16+J16</f>
        <v>126773.0295725</v>
      </c>
      <c r="Q16" s="139">
        <v>130353.04920749999</v>
      </c>
      <c r="R16" s="139">
        <f>Q16-P16</f>
        <v>3580.0196349999896</v>
      </c>
      <c r="S16" s="140">
        <f>F16-Q16</f>
        <v>1271672.1277925</v>
      </c>
      <c r="T16" s="141"/>
      <c r="U16" s="139">
        <v>110255.145</v>
      </c>
      <c r="V16" s="139">
        <v>19146.712500000001</v>
      </c>
      <c r="W16" s="139">
        <v>0</v>
      </c>
      <c r="X16" s="124" t="str">
        <f>VLOOKUP(A16,[1]Consolidado!$A:$W,23,FALSE)</f>
        <v>Proyecto en Consorcio.  Proyecto en suspención desde el 15 de mayo hasta el 15 de julio de 2016</v>
      </c>
      <c r="Y16" s="121"/>
      <c r="Z16" s="89"/>
      <c r="AA16" s="9"/>
      <c r="AB16" s="89"/>
      <c r="AC16" s="93"/>
      <c r="AD16" s="93"/>
      <c r="AE16" s="94"/>
      <c r="AF16" s="94"/>
      <c r="AG16" s="94"/>
      <c r="AH16" s="94"/>
      <c r="AI16" s="94"/>
      <c r="AJ16" s="94"/>
    </row>
    <row r="17" spans="1:36" s="27" customFormat="1" ht="69" customHeight="1" x14ac:dyDescent="0.25">
      <c r="A17" s="132" t="s">
        <v>151</v>
      </c>
      <c r="B17" s="133" t="s">
        <v>139</v>
      </c>
      <c r="C17" s="134" t="s">
        <v>135</v>
      </c>
      <c r="D17" s="135" t="s">
        <v>143</v>
      </c>
      <c r="E17" s="136" t="s">
        <v>152</v>
      </c>
      <c r="F17" s="137">
        <v>1001495.679</v>
      </c>
      <c r="G17" s="138">
        <v>317313.27493999997</v>
      </c>
      <c r="H17" s="139"/>
      <c r="I17" s="139">
        <f>(SUM(G17:H17))</f>
        <v>317313.27493999997</v>
      </c>
      <c r="J17" s="139">
        <v>0</v>
      </c>
      <c r="K17" s="139">
        <f>L17+M17+N17+O17</f>
        <v>0</v>
      </c>
      <c r="L17" s="139">
        <v>0</v>
      </c>
      <c r="M17" s="139">
        <v>0</v>
      </c>
      <c r="N17" s="139">
        <v>0</v>
      </c>
      <c r="O17" s="139">
        <v>0</v>
      </c>
      <c r="P17" s="139">
        <f>K17+J17</f>
        <v>0</v>
      </c>
      <c r="Q17" s="139">
        <v>317313.27493999997</v>
      </c>
      <c r="R17" s="139">
        <f>Q17-P17</f>
        <v>317313.27493999997</v>
      </c>
      <c r="S17" s="140">
        <f>F17-Q17</f>
        <v>684182.40406000009</v>
      </c>
      <c r="T17" s="141"/>
      <c r="U17" s="139">
        <v>427582.84333</v>
      </c>
      <c r="V17" s="139">
        <v>-110269.56839</v>
      </c>
      <c r="W17" s="139">
        <v>63105.284829999997</v>
      </c>
      <c r="X17" s="124" t="str">
        <f>VLOOKUP(A17,[1]Consolidado!$A:$W,23,FALSE)</f>
        <v>WIP negativo causado por la Tasa de Cambio actual que es mayor a la usada en el presupuesto del proyecto; sólo se reversa al finalizar el proyecto.</v>
      </c>
      <c r="Y17" s="121"/>
      <c r="Z17" s="89"/>
      <c r="AA17" s="9"/>
      <c r="AB17" s="89"/>
      <c r="AC17" s="93"/>
      <c r="AD17" s="93"/>
      <c r="AE17" s="94"/>
      <c r="AF17" s="94"/>
      <c r="AG17" s="94"/>
      <c r="AH17" s="94"/>
      <c r="AI17" s="94"/>
      <c r="AJ17" s="94"/>
    </row>
    <row r="18" spans="1:36" s="27" customFormat="1" ht="69" customHeight="1" x14ac:dyDescent="0.25">
      <c r="A18" s="132" t="s">
        <v>153</v>
      </c>
      <c r="B18" s="133" t="s">
        <v>139</v>
      </c>
      <c r="C18" s="134" t="s">
        <v>140</v>
      </c>
      <c r="D18" s="135" t="s">
        <v>136</v>
      </c>
      <c r="E18" s="136" t="s">
        <v>154</v>
      </c>
      <c r="F18" s="137">
        <v>5576.6629999999996</v>
      </c>
      <c r="G18" s="138">
        <v>0</v>
      </c>
      <c r="H18" s="139"/>
      <c r="I18" s="139">
        <f>(SUM(G18:H18))</f>
        <v>0</v>
      </c>
      <c r="J18" s="139">
        <v>6935.0535974999993</v>
      </c>
      <c r="K18" s="139">
        <f>L18+M18+N18+O18</f>
        <v>20626.957157500001</v>
      </c>
      <c r="L18" s="139">
        <v>0</v>
      </c>
      <c r="M18" s="139">
        <v>16994.358157499999</v>
      </c>
      <c r="N18" s="139">
        <v>0</v>
      </c>
      <c r="O18" s="139">
        <v>3632.5990000000002</v>
      </c>
      <c r="P18" s="139">
        <f>K18+J18</f>
        <v>27562.010754999999</v>
      </c>
      <c r="Q18" s="139">
        <v>6935.0535974999993</v>
      </c>
      <c r="R18" s="139">
        <f>Q18-P18</f>
        <v>-20626.957157500001</v>
      </c>
      <c r="S18" s="140">
        <f>F18-Q18</f>
        <v>-1358.3905974999998</v>
      </c>
      <c r="T18" s="141"/>
      <c r="U18" s="139">
        <v>0</v>
      </c>
      <c r="V18" s="139">
        <v>0</v>
      </c>
      <c r="W18" s="139">
        <v>0</v>
      </c>
      <c r="X18" s="124" t="str">
        <f>VLOOKUP(A18,[1]Consolidado!$A:$W,23,FALSE)</f>
        <v>Proyecto suspendido por no tener contrato o acuerdo con el cliente.</v>
      </c>
      <c r="Y18" s="121"/>
      <c r="Z18" s="89"/>
      <c r="AA18" s="9"/>
      <c r="AB18" s="89"/>
      <c r="AC18" s="93"/>
      <c r="AD18" s="93"/>
      <c r="AE18" s="94"/>
      <c r="AF18" s="94"/>
      <c r="AG18" s="94"/>
      <c r="AH18" s="94"/>
      <c r="AI18" s="94"/>
      <c r="AJ18" s="94"/>
    </row>
    <row r="19" spans="1:36" s="27" customFormat="1" ht="69" customHeight="1" x14ac:dyDescent="0.25">
      <c r="A19" s="132" t="s">
        <v>155</v>
      </c>
      <c r="B19" s="133" t="s">
        <v>139</v>
      </c>
      <c r="C19" s="134" t="s">
        <v>140</v>
      </c>
      <c r="D19" s="135" t="s">
        <v>156</v>
      </c>
      <c r="E19" s="136" t="s">
        <v>157</v>
      </c>
      <c r="F19" s="137">
        <v>319830.54700000002</v>
      </c>
      <c r="G19" s="138">
        <v>347639.83299999998</v>
      </c>
      <c r="H19" s="139"/>
      <c r="I19" s="139">
        <f>(SUM(G19:H19))</f>
        <v>347639.83299999998</v>
      </c>
      <c r="J19" s="139">
        <v>-505.67099999999999</v>
      </c>
      <c r="K19" s="139">
        <f>L19+M19+N19+O19</f>
        <v>387057.12157999998</v>
      </c>
      <c r="L19" s="139">
        <v>272571.7267</v>
      </c>
      <c r="M19" s="139">
        <v>0</v>
      </c>
      <c r="N19" s="139">
        <v>4296.8770000000004</v>
      </c>
      <c r="O19" s="139">
        <v>110188.51788</v>
      </c>
      <c r="P19" s="139">
        <f>K19+J19</f>
        <v>386551.45058</v>
      </c>
      <c r="Q19" s="139">
        <v>347134.16200000001</v>
      </c>
      <c r="R19" s="139">
        <f>Q19-P19</f>
        <v>-39417.288579999993</v>
      </c>
      <c r="S19" s="140">
        <f>F19-Q19</f>
        <v>-27303.614999999991</v>
      </c>
      <c r="T19" s="141"/>
      <c r="U19" s="139">
        <v>319830.54700000002</v>
      </c>
      <c r="V19" s="139">
        <v>0</v>
      </c>
      <c r="W19" s="139">
        <v>0</v>
      </c>
      <c r="X19" s="124" t="str">
        <f>VLOOKUP(A19,[1]Consolidado!$A:$W,23,FALSE)</f>
        <v>No información.</v>
      </c>
      <c r="Y19" s="121"/>
      <c r="Z19" s="89"/>
      <c r="AA19" s="9"/>
      <c r="AB19" s="89"/>
      <c r="AC19" s="93"/>
      <c r="AD19" s="93"/>
      <c r="AE19" s="94"/>
      <c r="AF19" s="94"/>
      <c r="AG19" s="94"/>
      <c r="AH19" s="94"/>
      <c r="AI19" s="94"/>
      <c r="AJ19" s="94"/>
    </row>
    <row r="20" spans="1:36" s="27" customFormat="1" ht="69" customHeight="1" x14ac:dyDescent="0.25">
      <c r="A20" s="132" t="s">
        <v>158</v>
      </c>
      <c r="B20" s="133" t="s">
        <v>139</v>
      </c>
      <c r="C20" s="134" t="s">
        <v>140</v>
      </c>
      <c r="D20" s="135" t="s">
        <v>143</v>
      </c>
      <c r="E20" s="136" t="s">
        <v>159</v>
      </c>
      <c r="F20" s="137">
        <v>198413.87899999999</v>
      </c>
      <c r="G20" s="138">
        <v>35383.5524</v>
      </c>
      <c r="H20" s="139"/>
      <c r="I20" s="139">
        <f>(SUM(G20:H20))</f>
        <v>35383.5524</v>
      </c>
      <c r="J20" s="139">
        <v>2206.2051175000001</v>
      </c>
      <c r="K20" s="139">
        <f>L20+M20+N20+O20</f>
        <v>21569.668852499999</v>
      </c>
      <c r="L20" s="139">
        <v>14221.211225000001</v>
      </c>
      <c r="M20" s="139">
        <v>5371.4378374999997</v>
      </c>
      <c r="N20" s="139">
        <v>9.8179999999999996</v>
      </c>
      <c r="O20" s="139">
        <v>1967.2017900000001</v>
      </c>
      <c r="P20" s="139">
        <f>K20+J20</f>
        <v>23775.873970000001</v>
      </c>
      <c r="Q20" s="139">
        <v>37589.757517500002</v>
      </c>
      <c r="R20" s="139">
        <f>Q20-P20</f>
        <v>13813.883547500001</v>
      </c>
      <c r="S20" s="140">
        <f>F20-Q20</f>
        <v>160824.12148249999</v>
      </c>
      <c r="T20" s="141"/>
      <c r="U20" s="139">
        <v>58405.62</v>
      </c>
      <c r="V20" s="139">
        <v>-23022.067600000002</v>
      </c>
      <c r="W20" s="139">
        <v>12666.763000000001</v>
      </c>
      <c r="X20" s="124" t="str">
        <f>VLOOKUP(A20,[1]Consolidado!$A:$W,23,FALSE)</f>
        <v>V/r autorizado incluye otro sí, OK</v>
      </c>
      <c r="Y20" s="121"/>
      <c r="Z20" s="89"/>
      <c r="AA20" s="9"/>
      <c r="AB20" s="89"/>
      <c r="AC20" s="93"/>
      <c r="AD20" s="93"/>
      <c r="AE20" s="94"/>
      <c r="AF20" s="94"/>
      <c r="AG20" s="94"/>
      <c r="AH20" s="94"/>
      <c r="AI20" s="94"/>
      <c r="AJ20" s="94"/>
    </row>
    <row r="21" spans="1:36" s="27" customFormat="1" ht="69" customHeight="1" x14ac:dyDescent="0.25">
      <c r="A21" s="132" t="s">
        <v>160</v>
      </c>
      <c r="B21" s="133" t="s">
        <v>139</v>
      </c>
      <c r="C21" s="134" t="s">
        <v>140</v>
      </c>
      <c r="D21" s="135" t="s">
        <v>143</v>
      </c>
      <c r="E21" s="136" t="s">
        <v>159</v>
      </c>
      <c r="F21" s="137">
        <v>851032.57700000005</v>
      </c>
      <c r="G21" s="138">
        <v>437310.52160000004</v>
      </c>
      <c r="H21" s="139"/>
      <c r="I21" s="139">
        <f>(SUM(G21:H21))</f>
        <v>437310.52160000004</v>
      </c>
      <c r="J21" s="139">
        <v>4813.9163951999999</v>
      </c>
      <c r="K21" s="139">
        <f>L21+M21+N21+O21</f>
        <v>136992.71016399999</v>
      </c>
      <c r="L21" s="139">
        <v>92364.306131999998</v>
      </c>
      <c r="M21" s="139">
        <v>27378.325561999995</v>
      </c>
      <c r="N21" s="139">
        <v>291.51400000000001</v>
      </c>
      <c r="O21" s="139">
        <v>16958.564469999998</v>
      </c>
      <c r="P21" s="139">
        <f>K21+J21</f>
        <v>141806.6265592</v>
      </c>
      <c r="Q21" s="139">
        <v>442124.43799520005</v>
      </c>
      <c r="R21" s="139">
        <f>Q21-P21</f>
        <v>300317.81143600005</v>
      </c>
      <c r="S21" s="140">
        <f>F21-Q21</f>
        <v>408908.1390048</v>
      </c>
      <c r="T21" s="141"/>
      <c r="U21" s="139">
        <v>560159.08200000005</v>
      </c>
      <c r="V21" s="139">
        <v>-122848.5604</v>
      </c>
      <c r="W21" s="139">
        <v>47322.205999999998</v>
      </c>
      <c r="X21" s="124" t="str">
        <f>VLOOKUP(A21,[1]Consolidado!$A:$W,23,FALSE)</f>
        <v>Proyecto en ejecución tuvo otro sí , OK Cartera corriente</v>
      </c>
      <c r="Y21" s="121"/>
      <c r="Z21" s="89"/>
      <c r="AA21" s="9"/>
      <c r="AB21" s="89"/>
      <c r="AC21" s="93"/>
      <c r="AD21" s="93"/>
      <c r="AE21" s="94"/>
      <c r="AF21" s="94"/>
      <c r="AG21" s="94"/>
      <c r="AH21" s="94"/>
      <c r="AI21" s="94"/>
      <c r="AJ21" s="94"/>
    </row>
    <row r="22" spans="1:36" s="27" customFormat="1" ht="69" customHeight="1" x14ac:dyDescent="0.25">
      <c r="A22" s="132" t="s">
        <v>161</v>
      </c>
      <c r="B22" s="133" t="s">
        <v>139</v>
      </c>
      <c r="C22" s="134" t="s">
        <v>140</v>
      </c>
      <c r="D22" s="135" t="s">
        <v>143</v>
      </c>
      <c r="E22" s="136" t="s">
        <v>159</v>
      </c>
      <c r="F22" s="137">
        <v>302501.64</v>
      </c>
      <c r="G22" s="138">
        <v>206100.16052999999</v>
      </c>
      <c r="H22" s="139"/>
      <c r="I22" s="139">
        <f>(SUM(G22:H22))</f>
        <v>206100.16052999999</v>
      </c>
      <c r="J22" s="139">
        <v>12066.815385</v>
      </c>
      <c r="K22" s="139">
        <f>L22+M22+N22+O22</f>
        <v>179425.72194299998</v>
      </c>
      <c r="L22" s="139">
        <v>151929.64551</v>
      </c>
      <c r="M22" s="139">
        <v>22086.366123</v>
      </c>
      <c r="N22" s="139">
        <v>3.0000000000000001E-3</v>
      </c>
      <c r="O22" s="139">
        <v>5409.7073099999998</v>
      </c>
      <c r="P22" s="139">
        <f>K22+J22</f>
        <v>191492.53732799998</v>
      </c>
      <c r="Q22" s="139">
        <v>218166.97591499999</v>
      </c>
      <c r="R22" s="139">
        <f>Q22-P22</f>
        <v>26674.438587000011</v>
      </c>
      <c r="S22" s="140">
        <f>F22-Q22</f>
        <v>84334.664085000026</v>
      </c>
      <c r="T22" s="141"/>
      <c r="U22" s="139">
        <v>221496.88699999999</v>
      </c>
      <c r="V22" s="139">
        <v>-15396.726470000001</v>
      </c>
      <c r="W22" s="139">
        <v>18861.455999999998</v>
      </c>
      <c r="X22" s="124" t="str">
        <f>VLOOKUP(A22,[1]Consolidado!$A:$W,23,FALSE)</f>
        <v xml:space="preserve">Proyecto en ejecución OK. Cartera corriente se debe revisar valor reportado </v>
      </c>
      <c r="Y22" s="121"/>
      <c r="Z22" s="89"/>
      <c r="AA22" s="9"/>
      <c r="AB22" s="89"/>
      <c r="AC22" s="93"/>
      <c r="AD22" s="93"/>
      <c r="AE22" s="94"/>
      <c r="AF22" s="94"/>
      <c r="AG22" s="94"/>
      <c r="AH22" s="94"/>
      <c r="AI22" s="94"/>
      <c r="AJ22" s="94"/>
    </row>
    <row r="23" spans="1:36" s="27" customFormat="1" ht="69" customHeight="1" x14ac:dyDescent="0.25">
      <c r="A23" s="132" t="s">
        <v>162</v>
      </c>
      <c r="B23" s="133" t="s">
        <v>139</v>
      </c>
      <c r="C23" s="134" t="s">
        <v>140</v>
      </c>
      <c r="D23" s="135" t="s">
        <v>143</v>
      </c>
      <c r="E23" s="136" t="s">
        <v>159</v>
      </c>
      <c r="F23" s="137">
        <v>228790.25899999999</v>
      </c>
      <c r="G23" s="138">
        <v>37136.546000000002</v>
      </c>
      <c r="H23" s="139"/>
      <c r="I23" s="139">
        <f>(SUM(G23:H23))</f>
        <v>37136.546000000002</v>
      </c>
      <c r="J23" s="139">
        <v>4360.9957599999998</v>
      </c>
      <c r="K23" s="139">
        <f>L23+M23+N23+O23</f>
        <v>27995.89762</v>
      </c>
      <c r="L23" s="139">
        <v>17111.287649999998</v>
      </c>
      <c r="M23" s="139">
        <v>8853.1753799999988</v>
      </c>
      <c r="N23" s="139">
        <v>60.844999999999999</v>
      </c>
      <c r="O23" s="139">
        <v>1970.58959</v>
      </c>
      <c r="P23" s="139">
        <f>K23+J23</f>
        <v>32356.893380000001</v>
      </c>
      <c r="Q23" s="139">
        <v>41497.54176</v>
      </c>
      <c r="R23" s="139">
        <f>Q23-P23</f>
        <v>9140.6483799999987</v>
      </c>
      <c r="S23" s="140">
        <f>F23-Q23</f>
        <v>187292.71724</v>
      </c>
      <c r="T23" s="141"/>
      <c r="U23" s="139">
        <v>58172.09</v>
      </c>
      <c r="V23" s="139">
        <v>-21035.544000000002</v>
      </c>
      <c r="W23" s="139">
        <v>12616.116</v>
      </c>
      <c r="X23" s="124" t="str">
        <f>VLOOKUP(A23,[1]Consolidado!$A:$W,23,FALSE)</f>
        <v xml:space="preserve">Proyecto en ejecución OK. Cartera corriente se debe revisar valor reportado </v>
      </c>
      <c r="Y23" s="121"/>
      <c r="Z23" s="89"/>
      <c r="AA23" s="9"/>
      <c r="AB23" s="89"/>
      <c r="AC23" s="93"/>
      <c r="AD23" s="93"/>
      <c r="AE23" s="94"/>
      <c r="AF23" s="94"/>
      <c r="AG23" s="94"/>
      <c r="AH23" s="94"/>
      <c r="AI23" s="94"/>
      <c r="AJ23" s="94"/>
    </row>
    <row r="24" spans="1:36" s="27" customFormat="1" ht="69" customHeight="1" x14ac:dyDescent="0.25">
      <c r="A24" s="132" t="s">
        <v>163</v>
      </c>
      <c r="B24" s="133" t="s">
        <v>139</v>
      </c>
      <c r="C24" s="134" t="s">
        <v>147</v>
      </c>
      <c r="D24" s="135" t="s">
        <v>143</v>
      </c>
      <c r="E24" s="136" t="s">
        <v>164</v>
      </c>
      <c r="F24" s="137">
        <v>1725348.28</v>
      </c>
      <c r="G24" s="138">
        <v>1715758.9350000001</v>
      </c>
      <c r="H24" s="139"/>
      <c r="I24" s="139">
        <f>(SUM(G24:H24))</f>
        <v>1715758.9350000001</v>
      </c>
      <c r="J24" s="139">
        <v>0</v>
      </c>
      <c r="K24" s="139">
        <f>L24+M24+N24+O24</f>
        <v>942003.42106000008</v>
      </c>
      <c r="L24" s="139">
        <v>567981.37274999998</v>
      </c>
      <c r="M24" s="139">
        <v>0</v>
      </c>
      <c r="N24" s="139">
        <v>88716.228340000001</v>
      </c>
      <c r="O24" s="139">
        <v>285305.81997000001</v>
      </c>
      <c r="P24" s="139">
        <f>K24+J24</f>
        <v>942003.42106000008</v>
      </c>
      <c r="Q24" s="139">
        <v>1715758.9350000001</v>
      </c>
      <c r="R24" s="139">
        <f>Q24-P24</f>
        <v>773755.51393999998</v>
      </c>
      <c r="S24" s="140">
        <f>F24-Q24</f>
        <v>9589.3449999999721</v>
      </c>
      <c r="T24" s="141"/>
      <c r="U24" s="139">
        <v>1725348.28</v>
      </c>
      <c r="V24" s="139">
        <v>15410.655000000001</v>
      </c>
      <c r="W24" s="139">
        <v>0</v>
      </c>
      <c r="X24" s="124" t="str">
        <f>VLOOKUP(A24,[1]Consolidado!$A:$W,23,FALSE)</f>
        <v>El proyecto finalizó; el WIP real del proyecto es -9 MCOP que se deben reversar en junio. Valor Autorizado real 2.676,4 MCOP.</v>
      </c>
      <c r="Y24" s="121"/>
      <c r="Z24" s="89"/>
      <c r="AA24" s="9"/>
      <c r="AB24" s="89"/>
      <c r="AC24" s="93"/>
      <c r="AD24" s="93"/>
      <c r="AE24" s="94"/>
      <c r="AF24" s="94"/>
      <c r="AG24" s="94"/>
      <c r="AH24" s="94"/>
      <c r="AI24" s="94"/>
      <c r="AJ24" s="94"/>
    </row>
    <row r="25" spans="1:36" s="27" customFormat="1" ht="69" customHeight="1" x14ac:dyDescent="0.25">
      <c r="A25" s="132" t="s">
        <v>165</v>
      </c>
      <c r="B25" s="133" t="s">
        <v>139</v>
      </c>
      <c r="C25" s="134" t="s">
        <v>135</v>
      </c>
      <c r="D25" s="135" t="s">
        <v>143</v>
      </c>
      <c r="E25" s="136" t="s">
        <v>166</v>
      </c>
      <c r="F25" s="137">
        <v>24888079.280000001</v>
      </c>
      <c r="G25" s="138">
        <v>20002063.719020002</v>
      </c>
      <c r="H25" s="139"/>
      <c r="I25" s="139">
        <f>(SUM(G25:H25))</f>
        <v>20002063.719020002</v>
      </c>
      <c r="J25" s="139">
        <v>956132.47941010003</v>
      </c>
      <c r="K25" s="139">
        <f>L25+M25+N25+O25</f>
        <v>13636866.925577201</v>
      </c>
      <c r="L25" s="139">
        <v>8077740.3354270002</v>
      </c>
      <c r="M25" s="139">
        <v>2178442.7587629003</v>
      </c>
      <c r="N25" s="139">
        <v>938458.79076999996</v>
      </c>
      <c r="O25" s="139">
        <v>2442225.0406172997</v>
      </c>
      <c r="P25" s="139">
        <f>K25+J25</f>
        <v>14592999.404987302</v>
      </c>
      <c r="Q25" s="139">
        <v>20958196.198430102</v>
      </c>
      <c r="R25" s="139">
        <f>Q25-P25</f>
        <v>6365196.7934428006</v>
      </c>
      <c r="S25" s="140">
        <f>F25-Q25</f>
        <v>3929883.0815698989</v>
      </c>
      <c r="T25" s="141"/>
      <c r="U25" s="139">
        <v>20706261.238000002</v>
      </c>
      <c r="V25" s="139">
        <v>146113.64502</v>
      </c>
      <c r="W25" s="139">
        <v>1742737.456</v>
      </c>
      <c r="X25" s="124" t="str">
        <f>VLOOKUP(A25,[1]Consolidado!$A:$W,23,FALSE)</f>
        <v>Está pendiente la facturación de abril y quedará pendiente la de mayo.  Todo se facturará en junio.</v>
      </c>
      <c r="Y25" s="121"/>
      <c r="Z25" s="89"/>
      <c r="AA25" s="9"/>
      <c r="AB25" s="89"/>
      <c r="AC25" s="93"/>
      <c r="AD25" s="93"/>
      <c r="AE25" s="94"/>
      <c r="AF25" s="94"/>
      <c r="AG25" s="94"/>
      <c r="AH25" s="94"/>
      <c r="AI25" s="94"/>
      <c r="AJ25" s="94"/>
    </row>
    <row r="26" spans="1:36" s="27" customFormat="1" ht="69" customHeight="1" x14ac:dyDescent="0.25">
      <c r="A26" s="132" t="s">
        <v>167</v>
      </c>
      <c r="B26" s="133" t="s">
        <v>139</v>
      </c>
      <c r="C26" s="134" t="s">
        <v>140</v>
      </c>
      <c r="D26" s="135" t="s">
        <v>143</v>
      </c>
      <c r="E26" s="136" t="s">
        <v>168</v>
      </c>
      <c r="F26" s="137">
        <v>1950516.0649999999</v>
      </c>
      <c r="G26" s="138">
        <v>1574931.7249100001</v>
      </c>
      <c r="H26" s="139"/>
      <c r="I26" s="139">
        <f>(SUM(G26:H26))</f>
        <v>1574931.7249100001</v>
      </c>
      <c r="J26" s="139">
        <v>90848.993619200002</v>
      </c>
      <c r="K26" s="139">
        <f>L26+M26+N26+O26</f>
        <v>1699420.9571928</v>
      </c>
      <c r="L26" s="139">
        <v>1130774.6127200001</v>
      </c>
      <c r="M26" s="139">
        <v>182850.92405280002</v>
      </c>
      <c r="N26" s="139">
        <v>34428.92211</v>
      </c>
      <c r="O26" s="139">
        <v>351366.49831</v>
      </c>
      <c r="P26" s="139">
        <f>K26+J26</f>
        <v>1790269.9508120001</v>
      </c>
      <c r="Q26" s="139">
        <v>1665780.7185292002</v>
      </c>
      <c r="R26" s="139">
        <f>Q26-P26</f>
        <v>-124489.2322827999</v>
      </c>
      <c r="S26" s="140">
        <f>F26-Q26</f>
        <v>284735.34647079976</v>
      </c>
      <c r="T26" s="141"/>
      <c r="U26" s="139">
        <v>1721149.7143599999</v>
      </c>
      <c r="V26" s="139">
        <v>-146217.98944999999</v>
      </c>
      <c r="W26" s="139">
        <v>90003.014999999999</v>
      </c>
      <c r="X26" s="124" t="str">
        <f>VLOOKUP(A26,[1]Consolidado!$A:$W,23,FALSE)</f>
        <v>Proyecto en ejecución OK, avance por producción, v/r acordado con el cliente. Cartera corriente</v>
      </c>
      <c r="Y26" s="121"/>
      <c r="Z26" s="89"/>
      <c r="AA26" s="9"/>
      <c r="AB26" s="89"/>
      <c r="AC26" s="93"/>
      <c r="AD26" s="93"/>
      <c r="AE26" s="94"/>
      <c r="AF26" s="94"/>
      <c r="AG26" s="94"/>
      <c r="AH26" s="94"/>
      <c r="AI26" s="94"/>
      <c r="AJ26" s="94"/>
    </row>
    <row r="27" spans="1:36" s="27" customFormat="1" ht="69" customHeight="1" x14ac:dyDescent="0.25">
      <c r="A27" s="132" t="s">
        <v>169</v>
      </c>
      <c r="B27" s="133" t="s">
        <v>139</v>
      </c>
      <c r="C27" s="134" t="s">
        <v>147</v>
      </c>
      <c r="D27" s="135" t="s">
        <v>143</v>
      </c>
      <c r="E27" s="136" t="s">
        <v>170</v>
      </c>
      <c r="F27" s="137">
        <v>11900348.521</v>
      </c>
      <c r="G27" s="138">
        <v>10968395.460000001</v>
      </c>
      <c r="H27" s="139"/>
      <c r="I27" s="139">
        <f>(SUM(G27:H27))</f>
        <v>10968395.460000001</v>
      </c>
      <c r="J27" s="139">
        <v>184464.7228088</v>
      </c>
      <c r="K27" s="139">
        <f>L27+M27+N27+O27</f>
        <v>7333690.6851240005</v>
      </c>
      <c r="L27" s="139">
        <v>4757713.3166140001</v>
      </c>
      <c r="M27" s="139">
        <v>475945.30187999993</v>
      </c>
      <c r="N27" s="139">
        <v>367401.91829</v>
      </c>
      <c r="O27" s="139">
        <v>1732630.1483399998</v>
      </c>
      <c r="P27" s="139">
        <f>K27+J27</f>
        <v>7518155.4079328002</v>
      </c>
      <c r="Q27" s="139">
        <v>11152860.182808802</v>
      </c>
      <c r="R27" s="139">
        <f>Q27-P27</f>
        <v>3634704.7748760013</v>
      </c>
      <c r="S27" s="140">
        <f>F27-Q27</f>
        <v>747488.33819119819</v>
      </c>
      <c r="T27" s="141"/>
      <c r="U27" s="139">
        <v>11341909.84568</v>
      </c>
      <c r="V27" s="139">
        <v>-373514.38568000001</v>
      </c>
      <c r="W27" s="139">
        <v>239991.10274999999</v>
      </c>
      <c r="X27" s="124" t="str">
        <f>VLOOKUP(A27,[1]Consolidado!$A:$W,23,FALSE)</f>
        <v>Es necesario revisar el valor autorizado, puede ser más bajo.</v>
      </c>
      <c r="Y27" s="121"/>
      <c r="Z27" s="89"/>
      <c r="AA27" s="9"/>
      <c r="AB27" s="89"/>
      <c r="AC27" s="93"/>
      <c r="AD27" s="93"/>
      <c r="AE27" s="94"/>
      <c r="AF27" s="94"/>
      <c r="AG27" s="94"/>
      <c r="AH27" s="94"/>
      <c r="AI27" s="94"/>
      <c r="AJ27" s="94"/>
    </row>
    <row r="28" spans="1:36" s="27" customFormat="1" ht="69" customHeight="1" x14ac:dyDescent="0.25">
      <c r="A28" s="132" t="s">
        <v>171</v>
      </c>
      <c r="B28" s="133" t="s">
        <v>139</v>
      </c>
      <c r="C28" s="134" t="s">
        <v>147</v>
      </c>
      <c r="D28" s="135" t="s">
        <v>143</v>
      </c>
      <c r="E28" s="136" t="s">
        <v>172</v>
      </c>
      <c r="F28" s="137">
        <v>754863.446</v>
      </c>
      <c r="G28" s="138">
        <v>750838.45727999997</v>
      </c>
      <c r="H28" s="139"/>
      <c r="I28" s="139">
        <f>(SUM(G28:H28))</f>
        <v>750838.45727999997</v>
      </c>
      <c r="J28" s="139">
        <v>-35636.007460299996</v>
      </c>
      <c r="K28" s="139">
        <f>L28+M28+N28+O28</f>
        <v>707816.31638779992</v>
      </c>
      <c r="L28" s="139">
        <v>504823.557195</v>
      </c>
      <c r="M28" s="139">
        <v>109297.46627280001</v>
      </c>
      <c r="N28" s="139">
        <v>12821.021000000001</v>
      </c>
      <c r="O28" s="139">
        <v>80874.271919999999</v>
      </c>
      <c r="P28" s="139">
        <f>K28+J28</f>
        <v>672180.30892749992</v>
      </c>
      <c r="Q28" s="139">
        <v>715202.44981969998</v>
      </c>
      <c r="R28" s="139">
        <f>Q28-P28</f>
        <v>43022.140892200056</v>
      </c>
      <c r="S28" s="140">
        <f>F28-Q28</f>
        <v>39660.996180300019</v>
      </c>
      <c r="T28" s="141"/>
      <c r="U28" s="139">
        <v>881544.47991999995</v>
      </c>
      <c r="V28" s="139">
        <v>-35791.890939999997</v>
      </c>
      <c r="W28" s="139">
        <v>20259.098550000002</v>
      </c>
      <c r="X28" s="124" t="str">
        <f>VLOOKUP(A28,[1]Consolidado!$A:$W,23,FALSE)</f>
        <v>El proyecto finalizó en junio; 16 MCOP reconocidos adicionales por liquidación que se facturarán en junio. Parte de la ejecución del proyecto está registrada en Helisa.</v>
      </c>
      <c r="Y28" s="121"/>
      <c r="Z28" s="89"/>
      <c r="AA28" s="9"/>
      <c r="AB28" s="89"/>
      <c r="AC28" s="93"/>
      <c r="AD28" s="93"/>
      <c r="AE28" s="94"/>
      <c r="AF28" s="94"/>
      <c r="AG28" s="94"/>
      <c r="AH28" s="94"/>
      <c r="AI28" s="94"/>
      <c r="AJ28" s="94"/>
    </row>
    <row r="29" spans="1:36" s="27" customFormat="1" ht="69" customHeight="1" x14ac:dyDescent="0.25">
      <c r="A29" s="132" t="s">
        <v>173</v>
      </c>
      <c r="B29" s="133" t="s">
        <v>139</v>
      </c>
      <c r="C29" s="134" t="s">
        <v>147</v>
      </c>
      <c r="D29" s="135" t="s">
        <v>143</v>
      </c>
      <c r="E29" s="136" t="s">
        <v>174</v>
      </c>
      <c r="F29" s="137">
        <v>1322460.233</v>
      </c>
      <c r="G29" s="138">
        <v>1322460.233</v>
      </c>
      <c r="H29" s="139"/>
      <c r="I29" s="139">
        <f>(SUM(G29:H29))</f>
        <v>1322460.233</v>
      </c>
      <c r="J29" s="139">
        <v>0</v>
      </c>
      <c r="K29" s="139">
        <f>L29+M29+N29+O29</f>
        <v>1504110.48122</v>
      </c>
      <c r="L29" s="139">
        <v>1175098.6205</v>
      </c>
      <c r="M29" s="139">
        <v>0</v>
      </c>
      <c r="N29" s="139">
        <v>54068.629000000001</v>
      </c>
      <c r="O29" s="139">
        <v>274943.23172000004</v>
      </c>
      <c r="P29" s="139">
        <f>K29+J29</f>
        <v>1504110.48122</v>
      </c>
      <c r="Q29" s="139">
        <v>1322460.233</v>
      </c>
      <c r="R29" s="139">
        <f>Q29-P29</f>
        <v>-181650.24821999995</v>
      </c>
      <c r="S29" s="140">
        <f>F29-Q29</f>
        <v>0</v>
      </c>
      <c r="T29" s="141"/>
      <c r="U29" s="139">
        <v>1314455.0889000001</v>
      </c>
      <c r="V29" s="139">
        <v>-49224.544999999998</v>
      </c>
      <c r="W29" s="139">
        <v>0</v>
      </c>
      <c r="X29" s="124" t="str">
        <f>VLOOKUP(A29,[1]Consolidado!$A:$W,23,FALSE)</f>
        <v>Los saldos iniciales de este proyecto se cargaron erroneamente al PY1080; el WIP real del proyecto es de 8 MCOP y debe ser reversado.</v>
      </c>
      <c r="Y29" s="121"/>
      <c r="Z29" s="89"/>
      <c r="AA29" s="9"/>
      <c r="AB29" s="89"/>
      <c r="AC29" s="93"/>
      <c r="AD29" s="93"/>
      <c r="AE29" s="94"/>
      <c r="AF29" s="94"/>
      <c r="AG29" s="94"/>
      <c r="AH29" s="94"/>
      <c r="AI29" s="94"/>
      <c r="AJ29" s="94"/>
    </row>
    <row r="30" spans="1:36" s="27" customFormat="1" ht="69" customHeight="1" x14ac:dyDescent="0.25">
      <c r="A30" s="132" t="s">
        <v>175</v>
      </c>
      <c r="B30" s="133" t="s">
        <v>139</v>
      </c>
      <c r="C30" s="134" t="s">
        <v>147</v>
      </c>
      <c r="D30" s="135" t="s">
        <v>143</v>
      </c>
      <c r="E30" s="136" t="s">
        <v>176</v>
      </c>
      <c r="F30" s="137">
        <v>1334629.746</v>
      </c>
      <c r="G30" s="138">
        <v>1334619.7459</v>
      </c>
      <c r="H30" s="139"/>
      <c r="I30" s="139">
        <f>(SUM(G30:H30))</f>
        <v>1334619.7459</v>
      </c>
      <c r="J30" s="139">
        <v>51804.0327875</v>
      </c>
      <c r="K30" s="139">
        <f>L30+M30+N30+O30</f>
        <v>2181175.9571974999</v>
      </c>
      <c r="L30" s="139">
        <v>1175698.98535</v>
      </c>
      <c r="M30" s="139">
        <v>91015.162207500005</v>
      </c>
      <c r="N30" s="139">
        <v>569949.26231000002</v>
      </c>
      <c r="O30" s="139">
        <v>344512.54732999997</v>
      </c>
      <c r="P30" s="139">
        <f>K30+J30</f>
        <v>2232979.9899849999</v>
      </c>
      <c r="Q30" s="139">
        <v>1386423.7786874999</v>
      </c>
      <c r="R30" s="139">
        <f>Q30-P30</f>
        <v>-846556.21129749995</v>
      </c>
      <c r="S30" s="140">
        <f>F30-Q30</f>
        <v>-51794.032687499886</v>
      </c>
      <c r="T30" s="141"/>
      <c r="U30" s="139">
        <v>1463052.8033399999</v>
      </c>
      <c r="V30" s="139">
        <v>-148999.90244000001</v>
      </c>
      <c r="W30" s="139">
        <v>0</v>
      </c>
      <c r="X30" s="124" t="str">
        <f>VLOOKUP(A30,[1]Consolidado!$A:$W,23,FALSE)</f>
        <v>Este proyecto terminó y facturó todo el trabajo realizado.a ejecución real son 1.610 MCOP. El WIP real del proyecto es 50 MCOP y deben reversarse.</v>
      </c>
      <c r="Y30" s="121"/>
      <c r="Z30" s="89"/>
      <c r="AA30" s="9"/>
      <c r="AB30" s="89"/>
      <c r="AC30" s="93"/>
      <c r="AD30" s="93"/>
      <c r="AE30" s="94"/>
      <c r="AF30" s="94"/>
      <c r="AG30" s="94"/>
      <c r="AH30" s="94"/>
      <c r="AI30" s="94"/>
      <c r="AJ30" s="94"/>
    </row>
    <row r="31" spans="1:36" s="27" customFormat="1" ht="69" customHeight="1" x14ac:dyDescent="0.25">
      <c r="A31" s="132" t="s">
        <v>57</v>
      </c>
      <c r="B31" s="133" t="s">
        <v>139</v>
      </c>
      <c r="C31" s="134" t="s">
        <v>140</v>
      </c>
      <c r="D31" s="135" t="s">
        <v>143</v>
      </c>
      <c r="E31" s="136" t="s">
        <v>177</v>
      </c>
      <c r="F31" s="137">
        <v>1266487.8470000001</v>
      </c>
      <c r="G31" s="138">
        <v>994102.85699999996</v>
      </c>
      <c r="H31" s="139"/>
      <c r="I31" s="139">
        <f>(SUM(G31:H31))</f>
        <v>994102.85699999996</v>
      </c>
      <c r="J31" s="139">
        <v>53364.792712499999</v>
      </c>
      <c r="K31" s="139">
        <f>L31+M31+N31+O31</f>
        <v>854707.32942750002</v>
      </c>
      <c r="L31" s="139">
        <v>510450.82655</v>
      </c>
      <c r="M31" s="139">
        <v>147497.5447075</v>
      </c>
      <c r="N31" s="139">
        <v>7892.2280000000001</v>
      </c>
      <c r="O31" s="139">
        <v>188866.73017</v>
      </c>
      <c r="P31" s="139">
        <f>K31+J31</f>
        <v>908072.12213999999</v>
      </c>
      <c r="Q31" s="139">
        <v>1047467.6497124999</v>
      </c>
      <c r="R31" s="139">
        <f>Q31-P31</f>
        <v>139395.52757249994</v>
      </c>
      <c r="S31" s="140">
        <f>F31-Q31</f>
        <v>219020.19728750014</v>
      </c>
      <c r="T31" s="141"/>
      <c r="U31" s="139">
        <v>1206178.8999999999</v>
      </c>
      <c r="V31" s="139">
        <v>-229018.19853999998</v>
      </c>
      <c r="W31" s="139">
        <v>253297.568</v>
      </c>
      <c r="X31" s="124" t="str">
        <f>VLOOKUP(A31,[1]Consolidado!$A:$W,23,FALSE)</f>
        <v>Proyecto suspendido desde el 15 de junio de 2016por termino indefinido</v>
      </c>
      <c r="Y31" s="121"/>
      <c r="Z31" s="89"/>
      <c r="AA31" s="9"/>
      <c r="AB31" s="89"/>
      <c r="AC31" s="93"/>
      <c r="AD31" s="93"/>
      <c r="AE31" s="94"/>
      <c r="AF31" s="94"/>
      <c r="AG31" s="94"/>
      <c r="AH31" s="94"/>
      <c r="AI31" s="94"/>
      <c r="AJ31" s="94"/>
    </row>
    <row r="32" spans="1:36" s="27" customFormat="1" ht="69" customHeight="1" x14ac:dyDescent="0.25">
      <c r="A32" s="132" t="s">
        <v>178</v>
      </c>
      <c r="B32" s="133" t="s">
        <v>139</v>
      </c>
      <c r="C32" s="134" t="s">
        <v>135</v>
      </c>
      <c r="D32" s="135" t="s">
        <v>143</v>
      </c>
      <c r="E32" s="136" t="s">
        <v>179</v>
      </c>
      <c r="F32" s="137">
        <v>3921089.5630000001</v>
      </c>
      <c r="G32" s="138">
        <v>3804964.0850300002</v>
      </c>
      <c r="H32" s="139"/>
      <c r="I32" s="139">
        <f>(SUM(G32:H32))</f>
        <v>3804964.0850300002</v>
      </c>
      <c r="J32" s="139">
        <v>9539.6795416999994</v>
      </c>
      <c r="K32" s="139">
        <f>L32+M32+N32+O32</f>
        <v>5093766.1364896009</v>
      </c>
      <c r="L32" s="139">
        <v>2466919.5332460003</v>
      </c>
      <c r="M32" s="139">
        <v>7312.2552636</v>
      </c>
      <c r="N32" s="139">
        <v>1747261.6205099998</v>
      </c>
      <c r="O32" s="139">
        <v>872272.72747000004</v>
      </c>
      <c r="P32" s="139">
        <f>K32+J32</f>
        <v>5103305.8160313005</v>
      </c>
      <c r="Q32" s="139">
        <v>3814503.7645717002</v>
      </c>
      <c r="R32" s="139">
        <f>Q32-P32</f>
        <v>-1288802.0514596002</v>
      </c>
      <c r="S32" s="140">
        <f>F32-Q32</f>
        <v>106585.79842829984</v>
      </c>
      <c r="T32" s="141"/>
      <c r="U32" s="139">
        <v>3604869.2901400002</v>
      </c>
      <c r="V32" s="139">
        <v>194358.55978000001</v>
      </c>
      <c r="W32" s="139">
        <v>867860.40018999996</v>
      </c>
      <c r="X32" s="124" t="str">
        <f>VLOOKUP(A32,[1]Consolidado!$A:$W,23,FALSE)</f>
        <v>La última ampliación habilita facturar 590 MMCOP; están pendientes 96 MMCOP que serán objeto de reclamación ante el cliente.</v>
      </c>
      <c r="Y32" s="121"/>
      <c r="Z32" s="89"/>
      <c r="AA32" s="9"/>
      <c r="AB32" s="89"/>
      <c r="AC32" s="93"/>
      <c r="AD32" s="93"/>
      <c r="AE32" s="94"/>
      <c r="AF32" s="94"/>
      <c r="AG32" s="94"/>
      <c r="AH32" s="94"/>
      <c r="AI32" s="94"/>
      <c r="AJ32" s="94"/>
    </row>
    <row r="33" spans="1:36" s="27" customFormat="1" ht="69" customHeight="1" x14ac:dyDescent="0.25">
      <c r="A33" s="132" t="s">
        <v>180</v>
      </c>
      <c r="B33" s="133" t="s">
        <v>139</v>
      </c>
      <c r="C33" s="134" t="s">
        <v>140</v>
      </c>
      <c r="D33" s="135" t="s">
        <v>181</v>
      </c>
      <c r="E33" s="136" t="s">
        <v>182</v>
      </c>
      <c r="F33" s="137">
        <v>11180.921</v>
      </c>
      <c r="G33" s="138">
        <v>11180.921</v>
      </c>
      <c r="H33" s="139"/>
      <c r="I33" s="139">
        <f>(SUM(G33:H33))</f>
        <v>11180.921</v>
      </c>
      <c r="J33" s="139">
        <v>3408.26</v>
      </c>
      <c r="K33" s="139">
        <f>L33+M33+N33+O33</f>
        <v>17379.861902500001</v>
      </c>
      <c r="L33" s="139">
        <v>14185.628132500002</v>
      </c>
      <c r="M33" s="139">
        <v>0</v>
      </c>
      <c r="N33" s="139">
        <v>10.000219999999999</v>
      </c>
      <c r="O33" s="139">
        <v>3184.2335499999999</v>
      </c>
      <c r="P33" s="139">
        <f>K33+J33</f>
        <v>20788.121902500003</v>
      </c>
      <c r="Q33" s="139">
        <v>14589.181</v>
      </c>
      <c r="R33" s="139">
        <f>Q33-P33</f>
        <v>-6198.9409025000023</v>
      </c>
      <c r="S33" s="140">
        <f>F33-Q33</f>
        <v>-3408.26</v>
      </c>
      <c r="T33" s="141"/>
      <c r="U33" s="139">
        <v>11180.921</v>
      </c>
      <c r="V33" s="139">
        <v>0</v>
      </c>
      <c r="W33" s="139">
        <v>119377.094</v>
      </c>
      <c r="X33" s="124" t="str">
        <f>VLOOKUP(A33,[1]Consolidado!$A:$W,23,FALSE)</f>
        <v>Abogada confirmo paso de la factura a tesorería, Marcela Rojas nos atiende. Se espera recaudar a fin de mes.</v>
      </c>
      <c r="Y33" s="121"/>
      <c r="Z33" s="89"/>
      <c r="AA33" s="9"/>
      <c r="AB33" s="89"/>
      <c r="AC33" s="93"/>
      <c r="AD33" s="93"/>
      <c r="AE33" s="94"/>
      <c r="AF33" s="94"/>
      <c r="AG33" s="94"/>
      <c r="AH33" s="94"/>
      <c r="AI33" s="94"/>
      <c r="AJ33" s="94"/>
    </row>
    <row r="34" spans="1:36" s="27" customFormat="1" ht="69" customHeight="1" x14ac:dyDescent="0.25">
      <c r="A34" s="132" t="s">
        <v>183</v>
      </c>
      <c r="B34" s="133" t="s">
        <v>139</v>
      </c>
      <c r="C34" s="134" t="s">
        <v>140</v>
      </c>
      <c r="D34" s="135" t="s">
        <v>156</v>
      </c>
      <c r="E34" s="136" t="s">
        <v>157</v>
      </c>
      <c r="F34" s="137">
        <v>1961608.155</v>
      </c>
      <c r="G34" s="138">
        <v>1867939.92842</v>
      </c>
      <c r="H34" s="139"/>
      <c r="I34" s="139">
        <f>(SUM(G34:H34))</f>
        <v>1867939.92842</v>
      </c>
      <c r="J34" s="139">
        <v>67978.935087499995</v>
      </c>
      <c r="K34" s="139">
        <f>L34+M34+N34+O34</f>
        <v>1501294.7577175</v>
      </c>
      <c r="L34" s="139">
        <v>714983.948125</v>
      </c>
      <c r="M34" s="139">
        <v>124994.80094249999</v>
      </c>
      <c r="N34" s="139">
        <v>274412.56325000001</v>
      </c>
      <c r="O34" s="139">
        <v>386903.44539999997</v>
      </c>
      <c r="P34" s="139">
        <f>K34+J34</f>
        <v>1569273.6928049999</v>
      </c>
      <c r="Q34" s="139">
        <v>1935918.8635074999</v>
      </c>
      <c r="R34" s="139">
        <f>Q34-P34</f>
        <v>366645.17070250004</v>
      </c>
      <c r="S34" s="140">
        <f>F34-Q34</f>
        <v>25689.29149250011</v>
      </c>
      <c r="T34" s="141"/>
      <c r="U34" s="139">
        <v>1493710.2949999999</v>
      </c>
      <c r="V34" s="139">
        <v>373764.61942</v>
      </c>
      <c r="W34" s="139">
        <v>265454.163</v>
      </c>
      <c r="X34" s="124" t="str">
        <f>VLOOKUP(A34,[1]Consolidado!$A:$W,23,FALSE)</f>
        <v>En el mes de junio se facturará 200 millones, se solicito cruce de 130MCOP contra facturacion, el forecast se ajusta alos saldos disponibles</v>
      </c>
      <c r="Y34" s="121"/>
      <c r="Z34" s="89"/>
      <c r="AA34" s="9"/>
      <c r="AB34" s="89"/>
      <c r="AC34" s="93"/>
      <c r="AD34" s="93"/>
      <c r="AE34" s="94"/>
      <c r="AF34" s="94"/>
      <c r="AG34" s="94"/>
      <c r="AH34" s="94"/>
      <c r="AI34" s="94"/>
      <c r="AJ34" s="94"/>
    </row>
    <row r="35" spans="1:36" s="27" customFormat="1" ht="69" customHeight="1" x14ac:dyDescent="0.25">
      <c r="A35" s="132" t="s">
        <v>184</v>
      </c>
      <c r="B35" s="133" t="s">
        <v>139</v>
      </c>
      <c r="C35" s="134" t="s">
        <v>110</v>
      </c>
      <c r="D35" s="135" t="s">
        <v>143</v>
      </c>
      <c r="E35" s="136" t="s">
        <v>185</v>
      </c>
      <c r="F35" s="137">
        <v>8419259.7280000001</v>
      </c>
      <c r="G35" s="138">
        <v>7703900.9800500004</v>
      </c>
      <c r="H35" s="139"/>
      <c r="I35" s="139">
        <f>(SUM(G35:H35))</f>
        <v>7703900.9800500004</v>
      </c>
      <c r="J35" s="139">
        <v>166159.7014125</v>
      </c>
      <c r="K35" s="139">
        <f>L35+M35+N35+O35</f>
        <v>4660193.9323175</v>
      </c>
      <c r="L35" s="139">
        <v>1873473.8494499999</v>
      </c>
      <c r="M35" s="139">
        <v>327556.35893749999</v>
      </c>
      <c r="N35" s="139">
        <v>647829.64797000005</v>
      </c>
      <c r="O35" s="139">
        <v>1811334.07596</v>
      </c>
      <c r="P35" s="139">
        <f>K35+J35</f>
        <v>4826353.6337299999</v>
      </c>
      <c r="Q35" s="139">
        <v>7870060.6814625002</v>
      </c>
      <c r="R35" s="139">
        <f>Q35-P35</f>
        <v>3043707.0477325004</v>
      </c>
      <c r="S35" s="140">
        <f>F35-Q35</f>
        <v>549199.04653749987</v>
      </c>
      <c r="T35" s="141"/>
      <c r="U35" s="139">
        <v>8057717.5219999999</v>
      </c>
      <c r="V35" s="139">
        <v>-340733.90495</v>
      </c>
      <c r="W35" s="139">
        <v>578584.85</v>
      </c>
      <c r="X35" s="124" t="str">
        <f>VLOOKUP(A35,[1]Consolidado!$A:$W,23,FALSE)</f>
        <v>El proyecto reserva parte del ingreso en forma WIP negativo para cierre y liquidación que cubrirá la diferencia entre la ejecución por completar y el disponible a ejecutar.</v>
      </c>
      <c r="Y35" s="121"/>
      <c r="Z35" s="89"/>
      <c r="AA35" s="9"/>
      <c r="AB35" s="89"/>
      <c r="AC35" s="93"/>
      <c r="AD35" s="93"/>
      <c r="AE35" s="94"/>
      <c r="AF35" s="94"/>
      <c r="AG35" s="94"/>
      <c r="AH35" s="94"/>
      <c r="AI35" s="94"/>
      <c r="AJ35" s="94"/>
    </row>
    <row r="36" spans="1:36" s="27" customFormat="1" ht="69" customHeight="1" x14ac:dyDescent="0.25">
      <c r="A36" s="132" t="s">
        <v>186</v>
      </c>
      <c r="B36" s="133" t="s">
        <v>139</v>
      </c>
      <c r="C36" s="134" t="s">
        <v>140</v>
      </c>
      <c r="D36" s="135" t="s">
        <v>143</v>
      </c>
      <c r="E36" s="136" t="s">
        <v>187</v>
      </c>
      <c r="F36" s="137">
        <v>1086500</v>
      </c>
      <c r="G36" s="138">
        <v>505395.50199999998</v>
      </c>
      <c r="H36" s="139"/>
      <c r="I36" s="139">
        <f>(SUM(G36:H36))</f>
        <v>505395.50199999998</v>
      </c>
      <c r="J36" s="139">
        <v>37483.349094999998</v>
      </c>
      <c r="K36" s="139">
        <f>L36+M36+N36+O36</f>
        <v>518810.25098250003</v>
      </c>
      <c r="L36" s="139">
        <v>316653.81787500001</v>
      </c>
      <c r="M36" s="139">
        <v>103357.62155750001</v>
      </c>
      <c r="N36" s="139">
        <v>65583.288629999995</v>
      </c>
      <c r="O36" s="139">
        <v>33215.522920000003</v>
      </c>
      <c r="P36" s="139">
        <f>K36+J36</f>
        <v>556293.60007749998</v>
      </c>
      <c r="Q36" s="139">
        <v>542878.85109499993</v>
      </c>
      <c r="R36" s="139">
        <f>Q36-P36</f>
        <v>-13414.748982500052</v>
      </c>
      <c r="S36" s="140">
        <f>F36-Q36</f>
        <v>543621.14890500007</v>
      </c>
      <c r="T36" s="141"/>
      <c r="U36" s="139">
        <v>583000</v>
      </c>
      <c r="V36" s="139">
        <v>-77604.498000000007</v>
      </c>
      <c r="W36" s="139">
        <v>29150</v>
      </c>
      <c r="X36" s="124" t="str">
        <f>VLOOKUP(A36,[1]Consolidado!$A:$W,23,FALSE)</f>
        <v>El valor autorizado es 1.518,5 MCOP. Esta pendiente una posible ampliación hasta diciembre por 315 MCOP aprox. Proyecto en ejecución OK.</v>
      </c>
      <c r="Y36" s="121"/>
      <c r="Z36" s="89"/>
      <c r="AA36" s="9"/>
      <c r="AB36" s="89"/>
      <c r="AC36" s="93"/>
      <c r="AD36" s="93"/>
      <c r="AE36" s="94"/>
      <c r="AF36" s="94"/>
      <c r="AG36" s="94"/>
      <c r="AH36" s="94"/>
      <c r="AI36" s="94"/>
      <c r="AJ36" s="94"/>
    </row>
    <row r="37" spans="1:36" s="27" customFormat="1" ht="69" customHeight="1" x14ac:dyDescent="0.25">
      <c r="A37" s="132" t="s">
        <v>188</v>
      </c>
      <c r="B37" s="133" t="s">
        <v>139</v>
      </c>
      <c r="C37" s="134" t="s">
        <v>140</v>
      </c>
      <c r="D37" s="135" t="s">
        <v>143</v>
      </c>
      <c r="E37" s="136" t="s">
        <v>177</v>
      </c>
      <c r="F37" s="137">
        <v>948000</v>
      </c>
      <c r="G37" s="138">
        <v>509793.43400000001</v>
      </c>
      <c r="H37" s="139"/>
      <c r="I37" s="139">
        <f>(SUM(G37:H37))</f>
        <v>509793.43400000001</v>
      </c>
      <c r="J37" s="139">
        <v>25315.473351000001</v>
      </c>
      <c r="K37" s="139">
        <f>L37+M37+N37+O37</f>
        <v>560924.85910600005</v>
      </c>
      <c r="L37" s="139">
        <v>437716.68797999999</v>
      </c>
      <c r="M37" s="139">
        <v>67543.925526000006</v>
      </c>
      <c r="N37" s="139">
        <v>49143.173999999999</v>
      </c>
      <c r="O37" s="139">
        <v>6521.0715999999993</v>
      </c>
      <c r="P37" s="139">
        <f>K37+J37</f>
        <v>586240.33245700004</v>
      </c>
      <c r="Q37" s="139">
        <v>535108.907351</v>
      </c>
      <c r="R37" s="139">
        <f>Q37-P37</f>
        <v>-51131.425106000039</v>
      </c>
      <c r="S37" s="140">
        <f>F37-Q37</f>
        <v>412891.092649</v>
      </c>
      <c r="T37" s="141"/>
      <c r="U37" s="139">
        <v>750500</v>
      </c>
      <c r="V37" s="139">
        <v>-240706.56599999999</v>
      </c>
      <c r="W37" s="139">
        <v>86900</v>
      </c>
      <c r="X37" s="124" t="str">
        <f>VLOOKUP(A37,[1]Consolidado!$A:$W,23,FALSE)</f>
        <v xml:space="preserve">Proyecto en ejecución OK. Cartera corriente se debe revisar valor reportado </v>
      </c>
      <c r="Y37" s="121"/>
      <c r="Z37" s="89"/>
      <c r="AA37" s="9"/>
      <c r="AB37" s="89"/>
      <c r="AC37" s="93"/>
      <c r="AD37" s="93"/>
      <c r="AE37" s="94"/>
      <c r="AF37" s="94"/>
      <c r="AG37" s="94"/>
      <c r="AH37" s="94"/>
      <c r="AI37" s="94"/>
      <c r="AJ37" s="94"/>
    </row>
    <row r="38" spans="1:36" s="27" customFormat="1" ht="69" customHeight="1" x14ac:dyDescent="0.25">
      <c r="A38" s="132" t="s">
        <v>189</v>
      </c>
      <c r="B38" s="133" t="s">
        <v>139</v>
      </c>
      <c r="C38" s="134" t="s">
        <v>140</v>
      </c>
      <c r="D38" s="135" t="s">
        <v>143</v>
      </c>
      <c r="E38" s="136" t="s">
        <v>177</v>
      </c>
      <c r="F38" s="137">
        <v>767000</v>
      </c>
      <c r="G38" s="138">
        <v>433106.42499999999</v>
      </c>
      <c r="H38" s="139"/>
      <c r="I38" s="139">
        <f>(SUM(G38:H38))</f>
        <v>433106.42499999999</v>
      </c>
      <c r="J38" s="139">
        <v>20515.312637500003</v>
      </c>
      <c r="K38" s="139">
        <f>L38+M38+N38+O38</f>
        <v>356961.2025975</v>
      </c>
      <c r="L38" s="139">
        <v>259039.2677</v>
      </c>
      <c r="M38" s="139">
        <v>49643.605277500006</v>
      </c>
      <c r="N38" s="139">
        <v>37486.752999999997</v>
      </c>
      <c r="O38" s="139">
        <v>10791.57662</v>
      </c>
      <c r="P38" s="139">
        <f>K38+J38</f>
        <v>377476.515235</v>
      </c>
      <c r="Q38" s="139">
        <v>453621.73763749999</v>
      </c>
      <c r="R38" s="139">
        <f>Q38-P38</f>
        <v>76145.222402499989</v>
      </c>
      <c r="S38" s="140">
        <f>F38-Q38</f>
        <v>313378.26236250001</v>
      </c>
      <c r="T38" s="141"/>
      <c r="U38" s="139">
        <v>531000</v>
      </c>
      <c r="V38" s="139">
        <v>-97893.574999999997</v>
      </c>
      <c r="W38" s="139">
        <v>64900</v>
      </c>
      <c r="X38" s="124" t="str">
        <f>VLOOKUP(A38,[1]Consolidado!$A:$W,23,FALSE)</f>
        <v xml:space="preserve">Proyecto en ejecución OK. Cartera corriente se debe revisar valor reportado </v>
      </c>
      <c r="Y38" s="121"/>
      <c r="Z38" s="89"/>
      <c r="AA38" s="9"/>
      <c r="AB38" s="89"/>
      <c r="AC38" s="93"/>
      <c r="AD38" s="93"/>
      <c r="AE38" s="94"/>
      <c r="AF38" s="94"/>
      <c r="AG38" s="94"/>
      <c r="AH38" s="94"/>
      <c r="AI38" s="94"/>
      <c r="AJ38" s="94"/>
    </row>
    <row r="39" spans="1:36" s="27" customFormat="1" ht="69" customHeight="1" x14ac:dyDescent="0.25">
      <c r="A39" s="132" t="s">
        <v>190</v>
      </c>
      <c r="B39" s="133" t="s">
        <v>139</v>
      </c>
      <c r="C39" s="134" t="s">
        <v>135</v>
      </c>
      <c r="D39" s="135" t="s">
        <v>143</v>
      </c>
      <c r="E39" s="136" t="s">
        <v>176</v>
      </c>
      <c r="F39" s="137">
        <v>1019344.522</v>
      </c>
      <c r="G39" s="138">
        <v>600002.68365000002</v>
      </c>
      <c r="H39" s="139"/>
      <c r="I39" s="139">
        <f>(SUM(G39:H39))</f>
        <v>600002.68365000002</v>
      </c>
      <c r="J39" s="139">
        <v>0</v>
      </c>
      <c r="K39" s="139">
        <f>L39+M39+N39+O39</f>
        <v>2278029.6774479998</v>
      </c>
      <c r="L39" s="139">
        <v>1726519.0095780001</v>
      </c>
      <c r="M39" s="139">
        <v>0</v>
      </c>
      <c r="N39" s="139">
        <v>350463.36330999999</v>
      </c>
      <c r="O39" s="139">
        <v>201047.30455999999</v>
      </c>
      <c r="P39" s="139">
        <f>K39+J39</f>
        <v>2278029.6774479998</v>
      </c>
      <c r="Q39" s="139">
        <v>600002.68365000002</v>
      </c>
      <c r="R39" s="139">
        <f>Q39-P39</f>
        <v>-1678026.9937979998</v>
      </c>
      <c r="S39" s="140">
        <f>F39-Q39</f>
        <v>419341.83834999998</v>
      </c>
      <c r="T39" s="141"/>
      <c r="U39" s="139">
        <v>572312.81455000001</v>
      </c>
      <c r="V39" s="139">
        <v>-32310.1309</v>
      </c>
      <c r="W39" s="139">
        <v>0</v>
      </c>
      <c r="X39" s="124" t="str">
        <f>VLOOKUP(A39,[1]Consolidado!$A:$W,23,FALSE)</f>
        <v>Es necesario revisar la contabilidad del proyecto; el proyecto finalizó y ejecutó el 100% del valor dispobible.</v>
      </c>
      <c r="Y39" s="121"/>
      <c r="Z39" s="89"/>
      <c r="AA39" s="9"/>
      <c r="AB39" s="89"/>
      <c r="AC39" s="93"/>
      <c r="AD39" s="93"/>
      <c r="AE39" s="94"/>
      <c r="AF39" s="94"/>
      <c r="AG39" s="94"/>
      <c r="AH39" s="94"/>
      <c r="AI39" s="94"/>
      <c r="AJ39" s="94"/>
    </row>
    <row r="40" spans="1:36" s="27" customFormat="1" ht="69" customHeight="1" x14ac:dyDescent="0.25">
      <c r="A40" s="132" t="s">
        <v>191</v>
      </c>
      <c r="B40" s="133" t="s">
        <v>139</v>
      </c>
      <c r="C40" s="134" t="s">
        <v>140</v>
      </c>
      <c r="D40" s="135" t="s">
        <v>143</v>
      </c>
      <c r="E40" s="136" t="s">
        <v>177</v>
      </c>
      <c r="F40" s="137">
        <v>452290</v>
      </c>
      <c r="G40" s="138">
        <v>225144.875</v>
      </c>
      <c r="H40" s="139"/>
      <c r="I40" s="139">
        <f>(SUM(G40:H40))</f>
        <v>225144.875</v>
      </c>
      <c r="J40" s="139">
        <v>22974.437115000004</v>
      </c>
      <c r="K40" s="139">
        <f>L40+M40+N40+O40</f>
        <v>251944.17007750002</v>
      </c>
      <c r="L40" s="139">
        <v>171081.68077500002</v>
      </c>
      <c r="M40" s="139">
        <v>58935.384302500002</v>
      </c>
      <c r="N40" s="139">
        <v>20475.986000000001</v>
      </c>
      <c r="O40" s="139">
        <v>1451.1189999999999</v>
      </c>
      <c r="P40" s="139">
        <f>K40+J40</f>
        <v>274918.60719250003</v>
      </c>
      <c r="Q40" s="139">
        <v>248119.31211500001</v>
      </c>
      <c r="R40" s="139">
        <f>Q40-P40</f>
        <v>-26799.295077500021</v>
      </c>
      <c r="S40" s="140">
        <f>F40-Q40</f>
        <v>204170.68788499999</v>
      </c>
      <c r="T40" s="141"/>
      <c r="U40" s="139">
        <v>277210</v>
      </c>
      <c r="V40" s="139">
        <v>-52065.125</v>
      </c>
      <c r="W40" s="139">
        <v>32098</v>
      </c>
      <c r="X40" s="124" t="str">
        <f>VLOOKUP(A40,[1]Consolidado!$A:$W,23,FALSE)</f>
        <v xml:space="preserve">Cliente con déficit económico. El saldo de cartera tiene 60 días en mora.
Proyecto en ejecución OK. Cartera corriente se debe revisar valor reportado </v>
      </c>
      <c r="Y40" s="121"/>
      <c r="Z40" s="89"/>
      <c r="AA40" s="9"/>
      <c r="AB40" s="89"/>
      <c r="AC40" s="93"/>
      <c r="AD40" s="93"/>
      <c r="AE40" s="94"/>
      <c r="AF40" s="94"/>
      <c r="AG40" s="94"/>
      <c r="AH40" s="94"/>
      <c r="AI40" s="94"/>
      <c r="AJ40" s="94"/>
    </row>
    <row r="41" spans="1:36" s="27" customFormat="1" ht="69" customHeight="1" x14ac:dyDescent="0.25">
      <c r="A41" s="132" t="s">
        <v>192</v>
      </c>
      <c r="B41" s="133" t="s">
        <v>139</v>
      </c>
      <c r="C41" s="134" t="s">
        <v>135</v>
      </c>
      <c r="D41" s="135" t="s">
        <v>143</v>
      </c>
      <c r="E41" s="136" t="s">
        <v>193</v>
      </c>
      <c r="F41" s="137">
        <v>2495396.9640000002</v>
      </c>
      <c r="G41" s="138">
        <v>2428176.9592399998</v>
      </c>
      <c r="H41" s="139"/>
      <c r="I41" s="139">
        <f>(SUM(G41:H41))</f>
        <v>2428176.9592399998</v>
      </c>
      <c r="J41" s="139">
        <v>78784.598807500006</v>
      </c>
      <c r="K41" s="139">
        <f>L41+M41+N41+O41</f>
        <v>1402122.8364800001</v>
      </c>
      <c r="L41" s="139">
        <v>930016.24187499995</v>
      </c>
      <c r="M41" s="139">
        <v>194250.48031499999</v>
      </c>
      <c r="N41" s="139">
        <v>148561.37400000001</v>
      </c>
      <c r="O41" s="139">
        <v>129294.74029</v>
      </c>
      <c r="P41" s="139">
        <f>K41+J41</f>
        <v>1480907.4352875</v>
      </c>
      <c r="Q41" s="139">
        <v>2506961.5580475</v>
      </c>
      <c r="R41" s="139">
        <f>Q41-P41</f>
        <v>1026054.1227599999</v>
      </c>
      <c r="S41" s="140">
        <f>F41-Q41</f>
        <v>-11564.594047499821</v>
      </c>
      <c r="T41" s="141"/>
      <c r="U41" s="139">
        <v>2070380.378</v>
      </c>
      <c r="V41" s="139">
        <v>357796.58124000003</v>
      </c>
      <c r="W41" s="139">
        <v>0</v>
      </c>
      <c r="X41" s="124" t="str">
        <f>VLOOKUP(A41,[1]Consolidado!$A:$W,23,FALSE)</f>
        <v>Trabajos asignados y que no han sido recibidos por el cliente (productos en proceso)</v>
      </c>
      <c r="Y41" s="121"/>
      <c r="Z41" s="89"/>
      <c r="AA41" s="9"/>
      <c r="AB41" s="89"/>
      <c r="AC41" s="93"/>
      <c r="AD41" s="93"/>
      <c r="AE41" s="94"/>
      <c r="AF41" s="94"/>
      <c r="AG41" s="94"/>
      <c r="AH41" s="94"/>
      <c r="AI41" s="94"/>
      <c r="AJ41" s="94"/>
    </row>
    <row r="42" spans="1:36" s="27" customFormat="1" ht="69" customHeight="1" x14ac:dyDescent="0.25">
      <c r="A42" s="132" t="s">
        <v>194</v>
      </c>
      <c r="B42" s="133" t="s">
        <v>139</v>
      </c>
      <c r="C42" s="134" t="s">
        <v>135</v>
      </c>
      <c r="D42" s="135" t="s">
        <v>143</v>
      </c>
      <c r="E42" s="136" t="s">
        <v>193</v>
      </c>
      <c r="F42" s="137">
        <v>1099863.0589999999</v>
      </c>
      <c r="G42" s="138">
        <v>947499.29788999993</v>
      </c>
      <c r="H42" s="139"/>
      <c r="I42" s="139">
        <f>(SUM(G42:H42))</f>
        <v>947499.29788999993</v>
      </c>
      <c r="J42" s="139">
        <v>45972.307587499999</v>
      </c>
      <c r="K42" s="139">
        <f>L42+M42+N42+O42</f>
        <v>614421.78554750001</v>
      </c>
      <c r="L42" s="139">
        <v>434882.45132500003</v>
      </c>
      <c r="M42" s="139">
        <v>84970.210512499994</v>
      </c>
      <c r="N42" s="139">
        <v>59420.056400000001</v>
      </c>
      <c r="O42" s="139">
        <v>35149.067310000006</v>
      </c>
      <c r="P42" s="139">
        <f>K42+J42</f>
        <v>660394.09313499997</v>
      </c>
      <c r="Q42" s="139">
        <v>993471.60547749989</v>
      </c>
      <c r="R42" s="139">
        <f>Q42-P42</f>
        <v>333077.51234249992</v>
      </c>
      <c r="S42" s="140">
        <f>F42-Q42</f>
        <v>106391.4535225</v>
      </c>
      <c r="T42" s="141"/>
      <c r="U42" s="139">
        <v>815112.06392999995</v>
      </c>
      <c r="V42" s="139">
        <v>132387.23395999998</v>
      </c>
      <c r="W42" s="139">
        <v>190590.9596</v>
      </c>
      <c r="X42" s="124" t="str">
        <f>VLOOKUP(A42,[1]Consolidado!$A:$W,23,FALSE)</f>
        <v>Hay 82 MMCOP a la espera de la orden de facturación; 98 MMCOP de productos en proceso.</v>
      </c>
      <c r="Y42" s="121"/>
      <c r="Z42" s="89"/>
      <c r="AA42" s="9"/>
      <c r="AB42" s="89"/>
      <c r="AC42" s="93"/>
      <c r="AD42" s="93"/>
      <c r="AE42" s="94"/>
      <c r="AF42" s="94"/>
      <c r="AG42" s="94"/>
      <c r="AH42" s="94"/>
      <c r="AI42" s="94"/>
      <c r="AJ42" s="94"/>
    </row>
    <row r="43" spans="1:36" s="27" customFormat="1" ht="69" customHeight="1" x14ac:dyDescent="0.25">
      <c r="A43" s="132" t="s">
        <v>195</v>
      </c>
      <c r="B43" s="133" t="s">
        <v>139</v>
      </c>
      <c r="C43" s="134" t="s">
        <v>147</v>
      </c>
      <c r="D43" s="135" t="s">
        <v>143</v>
      </c>
      <c r="E43" s="136" t="s">
        <v>176</v>
      </c>
      <c r="F43" s="137">
        <v>0</v>
      </c>
      <c r="G43" s="138">
        <v>1203441.3501200001</v>
      </c>
      <c r="H43" s="139"/>
      <c r="I43" s="139">
        <f>(SUM(G43:H43))</f>
        <v>1203441.3501200001</v>
      </c>
      <c r="J43" s="139">
        <v>14141.467119999999</v>
      </c>
      <c r="K43" s="139">
        <f>L43+M43+N43+O43</f>
        <v>1428717.9152575</v>
      </c>
      <c r="L43" s="139">
        <v>706116.75199999998</v>
      </c>
      <c r="M43" s="139">
        <v>856.57894750000003</v>
      </c>
      <c r="N43" s="139">
        <v>-15920</v>
      </c>
      <c r="O43" s="139">
        <v>737664.58431000006</v>
      </c>
      <c r="P43" s="139">
        <f>K43+J43</f>
        <v>1442859.3823774999</v>
      </c>
      <c r="Q43" s="139">
        <v>1217582.81724</v>
      </c>
      <c r="R43" s="139">
        <f>Q43-P43</f>
        <v>-225276.56513749994</v>
      </c>
      <c r="S43" s="140">
        <f>F43-Q43</f>
        <v>-1217582.81724</v>
      </c>
      <c r="T43" s="141"/>
      <c r="U43" s="139">
        <v>1264410.81332</v>
      </c>
      <c r="V43" s="139">
        <v>8.0000000000000004E-4</v>
      </c>
      <c r="W43" s="139">
        <v>-2.0000000000000001E-4</v>
      </c>
      <c r="X43" s="124" t="str">
        <f>VLOOKUP(A43,[1]Consolidado!$A:$W,23,FALSE)</f>
        <v>Administra: SEDIC.</v>
      </c>
      <c r="Y43" s="121"/>
      <c r="Z43" s="89"/>
      <c r="AA43" s="9"/>
      <c r="AB43" s="89"/>
      <c r="AC43" s="93"/>
      <c r="AD43" s="93"/>
      <c r="AE43" s="94"/>
      <c r="AF43" s="94"/>
      <c r="AG43" s="94"/>
      <c r="AH43" s="94"/>
      <c r="AI43" s="94"/>
      <c r="AJ43" s="94"/>
    </row>
    <row r="44" spans="1:36" s="27" customFormat="1" ht="69" customHeight="1" x14ac:dyDescent="0.25">
      <c r="A44" s="132" t="s">
        <v>196</v>
      </c>
      <c r="B44" s="133" t="s">
        <v>139</v>
      </c>
      <c r="C44" s="134" t="s">
        <v>147</v>
      </c>
      <c r="D44" s="135" t="s">
        <v>143</v>
      </c>
      <c r="E44" s="136" t="s">
        <v>164</v>
      </c>
      <c r="F44" s="137">
        <v>0</v>
      </c>
      <c r="G44" s="138">
        <v>275371.07400000002</v>
      </c>
      <c r="H44" s="139"/>
      <c r="I44" s="139">
        <f>(SUM(G44:H44))</f>
        <v>275371.07400000002</v>
      </c>
      <c r="J44" s="139">
        <v>0</v>
      </c>
      <c r="K44" s="139">
        <f>L44+M44+N44+O44</f>
        <v>76008.146630000003</v>
      </c>
      <c r="L44" s="139">
        <v>54818.618799999997</v>
      </c>
      <c r="M44" s="139">
        <v>0</v>
      </c>
      <c r="N44" s="139">
        <v>384.78659999999996</v>
      </c>
      <c r="O44" s="139">
        <v>20804.74123</v>
      </c>
      <c r="P44" s="139">
        <f>K44+J44</f>
        <v>76008.146630000003</v>
      </c>
      <c r="Q44" s="139">
        <v>275371.07400000002</v>
      </c>
      <c r="R44" s="139">
        <f>Q44-P44</f>
        <v>199362.92737000002</v>
      </c>
      <c r="S44" s="140">
        <f>F44-Q44</f>
        <v>-275371.07400000002</v>
      </c>
      <c r="T44" s="141"/>
      <c r="U44" s="139">
        <v>96184.58</v>
      </c>
      <c r="V44" s="139">
        <v>199753.33900000001</v>
      </c>
      <c r="W44" s="139">
        <v>0</v>
      </c>
      <c r="X44" s="124" t="str">
        <f>VLOOKUP(A44,[1]Consolidado!$A:$W,23,FALSE)</f>
        <v>Esta ejecución pertenece al proyecto San Lorenzo PY1030; es necesario ajustar en contabilidad.</v>
      </c>
      <c r="Y44" s="121"/>
      <c r="Z44" s="89"/>
      <c r="AA44" s="9"/>
      <c r="AB44" s="89"/>
      <c r="AC44" s="93"/>
      <c r="AD44" s="93"/>
      <c r="AE44" s="94"/>
      <c r="AF44" s="94"/>
      <c r="AG44" s="94"/>
      <c r="AH44" s="94"/>
      <c r="AI44" s="94"/>
      <c r="AJ44" s="94"/>
    </row>
    <row r="45" spans="1:36" s="27" customFormat="1" ht="69" customHeight="1" x14ac:dyDescent="0.25">
      <c r="A45" s="132" t="s">
        <v>197</v>
      </c>
      <c r="B45" s="133" t="s">
        <v>139</v>
      </c>
      <c r="C45" s="134" t="s">
        <v>110</v>
      </c>
      <c r="D45" s="135" t="s">
        <v>143</v>
      </c>
      <c r="E45" s="136" t="s">
        <v>198</v>
      </c>
      <c r="F45" s="137">
        <v>1083860.027</v>
      </c>
      <c r="G45" s="138">
        <v>702004.74102999992</v>
      </c>
      <c r="H45" s="139"/>
      <c r="I45" s="139">
        <f>(SUM(G45:H45))</f>
        <v>702004.74102999992</v>
      </c>
      <c r="J45" s="139">
        <v>1373.0709999999999</v>
      </c>
      <c r="K45" s="139">
        <f>L45+M45+N45+O45</f>
        <v>388552.14223</v>
      </c>
      <c r="L45" s="139">
        <v>264394.06154999998</v>
      </c>
      <c r="M45" s="139">
        <v>6701.2150000000001</v>
      </c>
      <c r="N45" s="139">
        <v>67431.02145</v>
      </c>
      <c r="O45" s="139">
        <v>50025.844229999995</v>
      </c>
      <c r="P45" s="139">
        <f>K45+J45</f>
        <v>389925.21322999999</v>
      </c>
      <c r="Q45" s="139">
        <v>703377.81202999991</v>
      </c>
      <c r="R45" s="139">
        <f>Q45-P45</f>
        <v>313452.59879999992</v>
      </c>
      <c r="S45" s="140">
        <f>F45-Q45</f>
        <v>380482.21497000009</v>
      </c>
      <c r="T45" s="141"/>
      <c r="U45" s="139">
        <v>1072355.3877999999</v>
      </c>
      <c r="V45" s="139">
        <v>5384.2472900000002</v>
      </c>
      <c r="W45" s="139">
        <v>0</v>
      </c>
      <c r="X45" s="124" t="str">
        <f>VLOOKUP(A45,[1]Consolidado!$A:$W,23,FALSE)</f>
        <v>Parte de la ejecución de este proyecto está registrada en Helisa, por lo cual el disponible real es mucho más bajo. El WIP se facturará al cierre del proyecto en julio.</v>
      </c>
      <c r="Y45" s="121"/>
      <c r="Z45" s="89"/>
      <c r="AA45" s="9"/>
      <c r="AB45" s="89"/>
      <c r="AC45" s="93"/>
      <c r="AD45" s="93"/>
      <c r="AE45" s="94"/>
      <c r="AF45" s="94"/>
      <c r="AG45" s="94"/>
      <c r="AH45" s="94"/>
      <c r="AI45" s="94"/>
      <c r="AJ45" s="94"/>
    </row>
    <row r="46" spans="1:36" s="27" customFormat="1" ht="69" customHeight="1" x14ac:dyDescent="0.25">
      <c r="A46" s="132" t="s">
        <v>199</v>
      </c>
      <c r="B46" s="133" t="s">
        <v>139</v>
      </c>
      <c r="C46" s="134" t="s">
        <v>140</v>
      </c>
      <c r="D46" s="135" t="s">
        <v>143</v>
      </c>
      <c r="E46" s="136" t="s">
        <v>200</v>
      </c>
      <c r="F46" s="137">
        <v>3779580</v>
      </c>
      <c r="G46" s="138">
        <v>504633.44500000001</v>
      </c>
      <c r="H46" s="139"/>
      <c r="I46" s="139">
        <f>(SUM(G46:H46))</f>
        <v>504633.44500000001</v>
      </c>
      <c r="J46" s="139">
        <v>51275.341437000003</v>
      </c>
      <c r="K46" s="139">
        <f>L46+M46+N46+O46</f>
        <v>416618.90259000001</v>
      </c>
      <c r="L46" s="139">
        <v>241607.77223999999</v>
      </c>
      <c r="M46" s="139">
        <v>107502.25935000001</v>
      </c>
      <c r="N46" s="139">
        <v>34000</v>
      </c>
      <c r="O46" s="139">
        <v>33508.870999999999</v>
      </c>
      <c r="P46" s="139">
        <f>K46+J46</f>
        <v>467894.24402700004</v>
      </c>
      <c r="Q46" s="139">
        <v>555908.78643700003</v>
      </c>
      <c r="R46" s="139">
        <f>Q46-P46</f>
        <v>88014.542409999995</v>
      </c>
      <c r="S46" s="140">
        <f>F46-Q46</f>
        <v>3223671.2135629999</v>
      </c>
      <c r="T46" s="141"/>
      <c r="U46" s="139">
        <v>719920</v>
      </c>
      <c r="V46" s="139">
        <v>-215286.55499999999</v>
      </c>
      <c r="W46" s="139">
        <v>0</v>
      </c>
      <c r="X46" s="124" t="str">
        <f>VLOOKUP(A46,[1]Consolidado!$A:$W,23,FALSE)</f>
        <v xml:space="preserve">Proyecto en ejecución OK. Cartera corriente se debe revisar valor reportado </v>
      </c>
      <c r="Y46" s="121"/>
      <c r="Z46" s="89"/>
      <c r="AA46" s="9"/>
      <c r="AB46" s="89"/>
      <c r="AC46" s="93"/>
      <c r="AD46" s="93"/>
      <c r="AE46" s="94"/>
      <c r="AF46" s="94"/>
      <c r="AG46" s="94"/>
      <c r="AH46" s="94"/>
      <c r="AI46" s="94"/>
      <c r="AJ46" s="94"/>
    </row>
    <row r="47" spans="1:36" s="27" customFormat="1" ht="69" customHeight="1" x14ac:dyDescent="0.25">
      <c r="A47" s="132" t="s">
        <v>201</v>
      </c>
      <c r="B47" s="133" t="s">
        <v>139</v>
      </c>
      <c r="C47" s="134" t="s">
        <v>135</v>
      </c>
      <c r="D47" s="135" t="s">
        <v>143</v>
      </c>
      <c r="E47" s="136" t="s">
        <v>202</v>
      </c>
      <c r="F47" s="137">
        <v>3140306.4350000001</v>
      </c>
      <c r="G47" s="138">
        <v>778286.27500000002</v>
      </c>
      <c r="H47" s="139"/>
      <c r="I47" s="139">
        <f>(SUM(G47:H47))</f>
        <v>778286.27500000002</v>
      </c>
      <c r="J47" s="139">
        <v>191470.7855273</v>
      </c>
      <c r="K47" s="139">
        <f>L47+M47+N47+O47</f>
        <v>997138.97421179991</v>
      </c>
      <c r="L47" s="139">
        <v>391346.08306999999</v>
      </c>
      <c r="M47" s="139">
        <v>435715.60402179993</v>
      </c>
      <c r="N47" s="139">
        <v>20998.699000000001</v>
      </c>
      <c r="O47" s="139">
        <v>149078.58812</v>
      </c>
      <c r="P47" s="139">
        <f>K47+J47</f>
        <v>1188609.7597391</v>
      </c>
      <c r="Q47" s="139">
        <v>969757.0605273</v>
      </c>
      <c r="R47" s="139">
        <f>Q47-P47</f>
        <v>-218852.69921180001</v>
      </c>
      <c r="S47" s="140">
        <f>F47-Q47</f>
        <v>2170549.3744727001</v>
      </c>
      <c r="T47" s="141"/>
      <c r="U47" s="139">
        <v>863704.18299999996</v>
      </c>
      <c r="V47" s="139">
        <v>-85417.907999999996</v>
      </c>
      <c r="W47" s="139">
        <v>513898.81400000001</v>
      </c>
      <c r="X47" s="124" t="str">
        <f>VLOOKUP(A47,[1]Consolidado!$A:$W,23,FALSE)</f>
        <v>WIP corriente, valor a cruzar contra facturación de mayo por 204 MMCOP</v>
      </c>
      <c r="Y47" s="121"/>
      <c r="Z47" s="89"/>
      <c r="AA47" s="9"/>
      <c r="AB47" s="89"/>
      <c r="AC47" s="93"/>
      <c r="AD47" s="93"/>
      <c r="AE47" s="94"/>
      <c r="AF47" s="94"/>
      <c r="AG47" s="94"/>
      <c r="AH47" s="94"/>
      <c r="AI47" s="94"/>
      <c r="AJ47" s="94"/>
    </row>
    <row r="48" spans="1:36" s="27" customFormat="1" ht="69" customHeight="1" x14ac:dyDescent="0.25">
      <c r="A48" s="132" t="s">
        <v>203</v>
      </c>
      <c r="B48" s="133" t="s">
        <v>139</v>
      </c>
      <c r="C48" s="134" t="s">
        <v>147</v>
      </c>
      <c r="D48" s="135" t="s">
        <v>111</v>
      </c>
      <c r="E48" s="136" t="s">
        <v>204</v>
      </c>
      <c r="F48" s="137">
        <v>0</v>
      </c>
      <c r="G48" s="138">
        <v>0</v>
      </c>
      <c r="H48" s="139"/>
      <c r="I48" s="139">
        <f>(SUM(G48:H48))</f>
        <v>0</v>
      </c>
      <c r="J48" s="139">
        <v>0</v>
      </c>
      <c r="K48" s="139">
        <f>L48+M48+N48+O48</f>
        <v>114.206</v>
      </c>
      <c r="L48" s="139">
        <v>0</v>
      </c>
      <c r="M48" s="139">
        <v>0</v>
      </c>
      <c r="N48" s="139">
        <v>0</v>
      </c>
      <c r="O48" s="139">
        <v>114.206</v>
      </c>
      <c r="P48" s="139">
        <f>K48+J48</f>
        <v>114.206</v>
      </c>
      <c r="Q48" s="139">
        <v>0</v>
      </c>
      <c r="R48" s="139">
        <f>Q48-P48</f>
        <v>-114.206</v>
      </c>
      <c r="S48" s="140">
        <f>F48-Q48</f>
        <v>0</v>
      </c>
      <c r="T48" s="141"/>
      <c r="U48" s="139">
        <v>0</v>
      </c>
      <c r="V48" s="139">
        <v>0</v>
      </c>
      <c r="W48" s="139">
        <v>0</v>
      </c>
      <c r="X48" s="124" t="str">
        <f>VLOOKUP(A48,[1]Consolidado!$A:$W,23,FALSE)</f>
        <v>PY terminado.</v>
      </c>
      <c r="Y48" s="121"/>
      <c r="Z48" s="89"/>
      <c r="AA48" s="9"/>
      <c r="AB48" s="89"/>
      <c r="AC48" s="93"/>
      <c r="AD48" s="93"/>
      <c r="AE48" s="94"/>
      <c r="AF48" s="94"/>
      <c r="AG48" s="94"/>
      <c r="AH48" s="94"/>
      <c r="AI48" s="94"/>
      <c r="AJ48" s="94"/>
    </row>
    <row r="49" spans="1:36" s="27" customFormat="1" ht="69" customHeight="1" x14ac:dyDescent="0.25">
      <c r="A49" s="132" t="s">
        <v>205</v>
      </c>
      <c r="B49" s="133" t="s">
        <v>139</v>
      </c>
      <c r="C49" s="134" t="s">
        <v>140</v>
      </c>
      <c r="D49" s="135" t="s">
        <v>181</v>
      </c>
      <c r="E49" s="136" t="s">
        <v>206</v>
      </c>
      <c r="F49" s="137">
        <v>1055337.5067999999</v>
      </c>
      <c r="G49" s="138">
        <v>1055143.2268000001</v>
      </c>
      <c r="H49" s="139"/>
      <c r="I49" s="139">
        <f>(SUM(G49:H49))</f>
        <v>1055143.2268000001</v>
      </c>
      <c r="J49" s="139">
        <v>5009.3037472000005</v>
      </c>
      <c r="K49" s="139">
        <f>L49+M49+N49+O49</f>
        <v>650374.554474</v>
      </c>
      <c r="L49" s="139">
        <v>525699.16338599997</v>
      </c>
      <c r="M49" s="139">
        <v>14789.372968000001</v>
      </c>
      <c r="N49" s="139">
        <v>49444.973999999995</v>
      </c>
      <c r="O49" s="139">
        <v>60441.044119999977</v>
      </c>
      <c r="P49" s="139">
        <f>K49+J49</f>
        <v>655383.85822120006</v>
      </c>
      <c r="Q49" s="139">
        <v>1060152.5305472</v>
      </c>
      <c r="R49" s="139">
        <f>Q49-P49</f>
        <v>404768.67232599994</v>
      </c>
      <c r="S49" s="140">
        <f>F49-Q49</f>
        <v>-4815.0237472001463</v>
      </c>
      <c r="T49" s="141"/>
      <c r="U49" s="139">
        <v>787706.97590000008</v>
      </c>
      <c r="V49" s="139">
        <v>211826.08910000001</v>
      </c>
      <c r="W49" s="139">
        <v>95040.090500000006</v>
      </c>
      <c r="X49" s="124" t="str">
        <f>VLOOKUP(A49,[1]Consolidado!$A:$W,23,FALSE)</f>
        <v>Adm: INGEOCIM.
Reunión con Camilo Naged  primera semana de junio.</v>
      </c>
      <c r="Y49" s="121"/>
      <c r="Z49" s="89"/>
      <c r="AA49" s="9"/>
      <c r="AB49" s="89"/>
      <c r="AC49" s="93"/>
      <c r="AD49" s="93"/>
      <c r="AE49" s="94"/>
      <c r="AF49" s="94"/>
      <c r="AG49" s="94"/>
      <c r="AH49" s="94"/>
      <c r="AI49" s="94"/>
      <c r="AJ49" s="94"/>
    </row>
    <row r="50" spans="1:36" s="27" customFormat="1" ht="69" customHeight="1" x14ac:dyDescent="0.25">
      <c r="A50" s="132" t="s">
        <v>207</v>
      </c>
      <c r="B50" s="133" t="s">
        <v>139</v>
      </c>
      <c r="C50" s="134" t="s">
        <v>140</v>
      </c>
      <c r="D50" s="135" t="s">
        <v>181</v>
      </c>
      <c r="E50" s="136" t="s">
        <v>182</v>
      </c>
      <c r="F50" s="137">
        <v>52002.862999999998</v>
      </c>
      <c r="G50" s="138">
        <v>0</v>
      </c>
      <c r="H50" s="139"/>
      <c r="I50" s="139">
        <f>(SUM(G50:H50))</f>
        <v>0</v>
      </c>
      <c r="J50" s="139">
        <v>0</v>
      </c>
      <c r="K50" s="139">
        <f>L50+M50+N50+O50</f>
        <v>1143.99631</v>
      </c>
      <c r="L50" s="139">
        <v>677.87976000000003</v>
      </c>
      <c r="M50" s="139">
        <v>0</v>
      </c>
      <c r="N50" s="139">
        <v>145.82499999999999</v>
      </c>
      <c r="O50" s="139">
        <v>320.29154999999997</v>
      </c>
      <c r="P50" s="139">
        <f>K50+J50</f>
        <v>1143.99631</v>
      </c>
      <c r="Q50" s="139">
        <v>0</v>
      </c>
      <c r="R50" s="139">
        <f>Q50-P50</f>
        <v>-1143.99631</v>
      </c>
      <c r="S50" s="140">
        <f>F50-Q50</f>
        <v>52002.862999999998</v>
      </c>
      <c r="T50" s="141"/>
      <c r="U50" s="139">
        <v>0</v>
      </c>
      <c r="V50" s="139">
        <v>0</v>
      </c>
      <c r="W50" s="139">
        <v>0</v>
      </c>
      <c r="X50" s="124" t="str">
        <f>VLOOKUP(A50,[1]Consolidado!$A:$W,23,FALSE)</f>
        <v>No información.</v>
      </c>
      <c r="Y50" s="121"/>
      <c r="Z50" s="89"/>
      <c r="AA50" s="9"/>
      <c r="AB50" s="89"/>
      <c r="AC50" s="93"/>
      <c r="AD50" s="93"/>
      <c r="AE50" s="94"/>
      <c r="AF50" s="94"/>
      <c r="AG50" s="94"/>
      <c r="AH50" s="94"/>
      <c r="AI50" s="94"/>
      <c r="AJ50" s="94"/>
    </row>
    <row r="51" spans="1:36" s="27" customFormat="1" ht="69" customHeight="1" x14ac:dyDescent="0.25">
      <c r="A51" s="132" t="s">
        <v>208</v>
      </c>
      <c r="B51" s="133" t="s">
        <v>139</v>
      </c>
      <c r="C51" s="134" t="s">
        <v>140</v>
      </c>
      <c r="D51" s="135" t="s">
        <v>181</v>
      </c>
      <c r="E51" s="136" t="s">
        <v>209</v>
      </c>
      <c r="F51" s="137">
        <v>99044.558999999994</v>
      </c>
      <c r="G51" s="138">
        <v>0</v>
      </c>
      <c r="H51" s="139"/>
      <c r="I51" s="139">
        <f>(SUM(G51:H51))</f>
        <v>0</v>
      </c>
      <c r="J51" s="139">
        <v>0</v>
      </c>
      <c r="K51" s="139">
        <f>L51+M51+N51+O51</f>
        <v>4470.0501599999998</v>
      </c>
      <c r="L51" s="139">
        <v>4470.0501599999998</v>
      </c>
      <c r="M51" s="139">
        <v>0</v>
      </c>
      <c r="N51" s="139">
        <v>0</v>
      </c>
      <c r="O51" s="139">
        <v>0</v>
      </c>
      <c r="P51" s="139">
        <f>K51+J51</f>
        <v>4470.0501599999998</v>
      </c>
      <c r="Q51" s="139">
        <v>0</v>
      </c>
      <c r="R51" s="139">
        <f>Q51-P51</f>
        <v>-4470.0501599999998</v>
      </c>
      <c r="S51" s="140">
        <f>F51-Q51</f>
        <v>99044.558999999994</v>
      </c>
      <c r="T51" s="141"/>
      <c r="U51" s="139">
        <v>0</v>
      </c>
      <c r="V51" s="139">
        <v>60851.311999999998</v>
      </c>
      <c r="W51" s="139">
        <v>0</v>
      </c>
      <c r="X51" s="124" t="str">
        <f>VLOOKUP(A51,[1]Consolidado!$A:$W,23,FALSE)</f>
        <v>Adm WSP
Bajar Vr Autorizado.  OJO WIP de más de 580 días.</v>
      </c>
      <c r="Y51" s="121"/>
      <c r="Z51" s="89"/>
      <c r="AA51" s="9"/>
      <c r="AB51" s="89"/>
      <c r="AC51" s="93"/>
      <c r="AD51" s="93"/>
      <c r="AE51" s="94"/>
      <c r="AF51" s="94"/>
      <c r="AG51" s="94"/>
      <c r="AH51" s="94"/>
      <c r="AI51" s="94"/>
      <c r="AJ51" s="94"/>
    </row>
    <row r="52" spans="1:36" s="27" customFormat="1" ht="69" customHeight="1" x14ac:dyDescent="0.25">
      <c r="A52" s="132" t="s">
        <v>210</v>
      </c>
      <c r="B52" s="133" t="s">
        <v>139</v>
      </c>
      <c r="C52" s="134" t="s">
        <v>140</v>
      </c>
      <c r="D52" s="135" t="s">
        <v>181</v>
      </c>
      <c r="E52" s="136" t="s">
        <v>209</v>
      </c>
      <c r="F52" s="137">
        <v>2450</v>
      </c>
      <c r="G52" s="138">
        <v>-21273.238499999999</v>
      </c>
      <c r="H52" s="139"/>
      <c r="I52" s="139">
        <f>(SUM(G52:H52))</f>
        <v>-21273.238499999999</v>
      </c>
      <c r="J52" s="139">
        <v>0</v>
      </c>
      <c r="K52" s="139">
        <f>L52+M52+N52+O52</f>
        <v>9847.3283700000011</v>
      </c>
      <c r="L52" s="139">
        <v>8577.6189599999998</v>
      </c>
      <c r="M52" s="139">
        <v>0</v>
      </c>
      <c r="N52" s="139">
        <v>142.78899999999999</v>
      </c>
      <c r="O52" s="139">
        <v>1126.9204099999999</v>
      </c>
      <c r="P52" s="139">
        <f>K52+J52</f>
        <v>9847.3283700000011</v>
      </c>
      <c r="Q52" s="139">
        <v>-21273.238499999999</v>
      </c>
      <c r="R52" s="139">
        <f>Q52-P52</f>
        <v>-31120.566870000002</v>
      </c>
      <c r="S52" s="140">
        <f>F52-Q52</f>
        <v>23723.238499999999</v>
      </c>
      <c r="T52" s="141"/>
      <c r="U52" s="139">
        <v>0</v>
      </c>
      <c r="V52" s="139">
        <v>2450.0001499999998</v>
      </c>
      <c r="W52" s="139">
        <v>0</v>
      </c>
      <c r="X52" s="124" t="str">
        <f>VLOOKUP(A52,[1]Consolidado!$A:$W,23,FALSE)</f>
        <v>Adm WSP
Bajar Vr Autorizado.  OJO WIP de más de 580 días.</v>
      </c>
      <c r="Y52" s="121"/>
      <c r="Z52" s="89"/>
      <c r="AA52" s="9"/>
      <c r="AB52" s="89"/>
      <c r="AC52" s="93"/>
      <c r="AD52" s="93"/>
      <c r="AE52" s="94"/>
      <c r="AF52" s="94"/>
      <c r="AG52" s="94"/>
      <c r="AH52" s="94"/>
      <c r="AI52" s="94"/>
      <c r="AJ52" s="94"/>
    </row>
    <row r="53" spans="1:36" s="27" customFormat="1" ht="69" customHeight="1" x14ac:dyDescent="0.25">
      <c r="A53" s="132" t="s">
        <v>211</v>
      </c>
      <c r="B53" s="133" t="s">
        <v>139</v>
      </c>
      <c r="C53" s="134" t="s">
        <v>140</v>
      </c>
      <c r="D53" s="135" t="s">
        <v>181</v>
      </c>
      <c r="E53" s="136" t="s">
        <v>209</v>
      </c>
      <c r="F53" s="137">
        <v>133140.23499999999</v>
      </c>
      <c r="G53" s="138">
        <v>77677.152530000007</v>
      </c>
      <c r="H53" s="139"/>
      <c r="I53" s="139">
        <f>(SUM(G53:H53))</f>
        <v>77677.152530000007</v>
      </c>
      <c r="J53" s="139">
        <v>0</v>
      </c>
      <c r="K53" s="139">
        <f>L53+M53+N53+O53</f>
        <v>10310.980374999999</v>
      </c>
      <c r="L53" s="139">
        <v>3618.2691749999999</v>
      </c>
      <c r="M53" s="139">
        <v>0</v>
      </c>
      <c r="N53" s="139">
        <v>107.46092999999999</v>
      </c>
      <c r="O53" s="139">
        <v>6585.2502699999995</v>
      </c>
      <c r="P53" s="139">
        <f>K53+J53</f>
        <v>10310.980374999999</v>
      </c>
      <c r="Q53" s="139">
        <v>77677.152530000007</v>
      </c>
      <c r="R53" s="139">
        <f>Q53-P53</f>
        <v>67366.172155000007</v>
      </c>
      <c r="S53" s="140">
        <f>F53-Q53</f>
        <v>55463.082469999979</v>
      </c>
      <c r="T53" s="141"/>
      <c r="U53" s="139">
        <v>0</v>
      </c>
      <c r="V53" s="139">
        <v>140000</v>
      </c>
      <c r="W53" s="139">
        <v>0</v>
      </c>
      <c r="X53" s="124" t="str">
        <f>VLOOKUP(A53,[1]Consolidado!$A:$W,23,FALSE)</f>
        <v>Adm: WSP
IDU calle 100 en liquidación - se espera acta de liquidación quede aprobada en julio y se pueda facturar.</v>
      </c>
      <c r="Y53" s="121"/>
      <c r="Z53" s="89"/>
      <c r="AA53" s="9"/>
      <c r="AB53" s="89"/>
      <c r="AC53" s="93"/>
      <c r="AD53" s="93"/>
      <c r="AE53" s="94"/>
      <c r="AF53" s="94"/>
      <c r="AG53" s="94"/>
      <c r="AH53" s="94"/>
      <c r="AI53" s="94"/>
      <c r="AJ53" s="94"/>
    </row>
    <row r="54" spans="1:36" s="27" customFormat="1" ht="69" customHeight="1" x14ac:dyDescent="0.25">
      <c r="A54" s="132" t="s">
        <v>212</v>
      </c>
      <c r="B54" s="133" t="s">
        <v>139</v>
      </c>
      <c r="C54" s="134" t="s">
        <v>140</v>
      </c>
      <c r="D54" s="135" t="s">
        <v>181</v>
      </c>
      <c r="E54" s="136" t="s">
        <v>209</v>
      </c>
      <c r="F54" s="137">
        <v>315763.83100000001</v>
      </c>
      <c r="G54" s="138">
        <v>114446.247</v>
      </c>
      <c r="H54" s="139"/>
      <c r="I54" s="139">
        <f>(SUM(G54:H54))</f>
        <v>114446.247</v>
      </c>
      <c r="J54" s="139">
        <v>0</v>
      </c>
      <c r="K54" s="139">
        <f>L54+M54+N54+O54</f>
        <v>59316.090393600003</v>
      </c>
      <c r="L54" s="139">
        <v>47207.921843600001</v>
      </c>
      <c r="M54" s="139">
        <v>0</v>
      </c>
      <c r="N54" s="139">
        <v>4083.4740000000002</v>
      </c>
      <c r="O54" s="139">
        <v>8024.6945500000002</v>
      </c>
      <c r="P54" s="139">
        <f>K54+J54</f>
        <v>59316.090393600003</v>
      </c>
      <c r="Q54" s="139">
        <v>114446.247</v>
      </c>
      <c r="R54" s="139">
        <f>Q54-P54</f>
        <v>55130.1566064</v>
      </c>
      <c r="S54" s="140">
        <f>F54-Q54</f>
        <v>201317.584</v>
      </c>
      <c r="T54" s="141"/>
      <c r="U54" s="139">
        <v>89313.504000000001</v>
      </c>
      <c r="V54" s="139">
        <v>32462.536499999998</v>
      </c>
      <c r="W54" s="139">
        <v>696</v>
      </c>
      <c r="X54" s="124" t="str">
        <f>VLOOKUP(A54,[1]Consolidado!$A:$W,23,FALSE)</f>
        <v>Adm: WSP
Se factura en éste mes 32MCOP.</v>
      </c>
      <c r="Y54" s="121"/>
      <c r="Z54" s="89"/>
      <c r="AA54" s="9"/>
      <c r="AB54" s="89"/>
      <c r="AC54" s="93"/>
      <c r="AD54" s="93"/>
      <c r="AE54" s="94"/>
      <c r="AF54" s="94"/>
      <c r="AG54" s="94"/>
      <c r="AH54" s="94"/>
      <c r="AI54" s="94"/>
      <c r="AJ54" s="94"/>
    </row>
    <row r="55" spans="1:36" s="27" customFormat="1" ht="69" customHeight="1" x14ac:dyDescent="0.25">
      <c r="A55" s="132" t="s">
        <v>213</v>
      </c>
      <c r="B55" s="133" t="s">
        <v>139</v>
      </c>
      <c r="C55" s="134" t="s">
        <v>140</v>
      </c>
      <c r="D55" s="135" t="s">
        <v>111</v>
      </c>
      <c r="E55" s="136" t="s">
        <v>141</v>
      </c>
      <c r="F55" s="137">
        <v>347996.37099999998</v>
      </c>
      <c r="G55" s="138">
        <v>119013.30197</v>
      </c>
      <c r="H55" s="139"/>
      <c r="I55" s="139">
        <f>(SUM(G55:H55))</f>
        <v>119013.30197</v>
      </c>
      <c r="J55" s="139">
        <v>0</v>
      </c>
      <c r="K55" s="139">
        <f>L55+M55+N55+O55</f>
        <v>242017.00335499999</v>
      </c>
      <c r="L55" s="139">
        <v>98172.261604999992</v>
      </c>
      <c r="M55" s="139">
        <v>0</v>
      </c>
      <c r="N55" s="139">
        <v>58900.459000000003</v>
      </c>
      <c r="O55" s="139">
        <v>84944.282749999998</v>
      </c>
      <c r="P55" s="139">
        <f>K55+J55</f>
        <v>242017.00335499999</v>
      </c>
      <c r="Q55" s="139">
        <v>119013.30197</v>
      </c>
      <c r="R55" s="139">
        <f>Q55-P55</f>
        <v>-123003.70138499999</v>
      </c>
      <c r="S55" s="140">
        <f>F55-Q55</f>
        <v>228983.06902999998</v>
      </c>
      <c r="T55" s="141"/>
      <c r="U55" s="139">
        <v>92925.229120000004</v>
      </c>
      <c r="V55" s="139">
        <v>37669.221340000004</v>
      </c>
      <c r="W55" s="139">
        <v>3</v>
      </c>
      <c r="X55" s="124" t="str">
        <f>VLOOKUP(A55,[1]Consolidado!$A:$W,23,FALSE)</f>
        <v>Proyecto en liquidación - se termina proyecto el 28 de junio/16, se entregaron todos los productos de la Etapa I (oct/15).</v>
      </c>
      <c r="Y55" s="121"/>
      <c r="Z55" s="89"/>
      <c r="AA55" s="9"/>
      <c r="AB55" s="89"/>
      <c r="AC55" s="93"/>
      <c r="AD55" s="93"/>
      <c r="AE55" s="94"/>
      <c r="AF55" s="94"/>
      <c r="AG55" s="94"/>
      <c r="AH55" s="94"/>
      <c r="AI55" s="94"/>
      <c r="AJ55" s="94"/>
    </row>
    <row r="56" spans="1:36" s="27" customFormat="1" ht="69" customHeight="1" x14ac:dyDescent="0.25">
      <c r="A56" s="132" t="s">
        <v>214</v>
      </c>
      <c r="B56" s="133" t="s">
        <v>139</v>
      </c>
      <c r="C56" s="134" t="s">
        <v>140</v>
      </c>
      <c r="D56" s="135" t="s">
        <v>156</v>
      </c>
      <c r="E56" s="136" t="s">
        <v>215</v>
      </c>
      <c r="F56" s="137">
        <v>10702.42</v>
      </c>
      <c r="G56" s="138">
        <v>9112.3070000000007</v>
      </c>
      <c r="H56" s="139"/>
      <c r="I56" s="139">
        <f>(SUM(G56:H56))</f>
        <v>9112.3070000000007</v>
      </c>
      <c r="J56" s="139">
        <v>0</v>
      </c>
      <c r="K56" s="139">
        <f>L56+M56+N56+O56</f>
        <v>-27945.556990000005</v>
      </c>
      <c r="L56" s="139">
        <v>-99912.225850000003</v>
      </c>
      <c r="M56" s="139">
        <v>0</v>
      </c>
      <c r="N56" s="139">
        <v>60590.326999999997</v>
      </c>
      <c r="O56" s="139">
        <v>11376.341859999999</v>
      </c>
      <c r="P56" s="139">
        <f>K56+J56</f>
        <v>-27945.556990000005</v>
      </c>
      <c r="Q56" s="139">
        <v>9112.3070000000007</v>
      </c>
      <c r="R56" s="139">
        <f>Q56-P56</f>
        <v>37057.863990000005</v>
      </c>
      <c r="S56" s="140">
        <f>F56-Q56</f>
        <v>1590.1129999999994</v>
      </c>
      <c r="T56" s="141"/>
      <c r="U56" s="139">
        <v>0</v>
      </c>
      <c r="V56" s="139">
        <v>-160838.416</v>
      </c>
      <c r="W56" s="139">
        <v>0</v>
      </c>
      <c r="X56" s="124" t="str">
        <f>VLOOKUP(A56,[1]Consolidado!$A:$W,23,FALSE)</f>
        <v>No información.</v>
      </c>
      <c r="Y56" s="121"/>
      <c r="Z56" s="89"/>
      <c r="AA56" s="9"/>
      <c r="AB56" s="89"/>
      <c r="AC56" s="93"/>
      <c r="AD56" s="93"/>
      <c r="AE56" s="94"/>
      <c r="AF56" s="94"/>
      <c r="AG56" s="94"/>
      <c r="AH56" s="94"/>
      <c r="AI56" s="94"/>
      <c r="AJ56" s="94"/>
    </row>
    <row r="57" spans="1:36" s="27" customFormat="1" ht="69" customHeight="1" x14ac:dyDescent="0.25">
      <c r="A57" s="132" t="s">
        <v>216</v>
      </c>
      <c r="B57" s="133" t="s">
        <v>139</v>
      </c>
      <c r="C57" s="134" t="s">
        <v>140</v>
      </c>
      <c r="D57" s="135" t="s">
        <v>156</v>
      </c>
      <c r="E57" s="136" t="s">
        <v>215</v>
      </c>
      <c r="F57" s="137">
        <v>16000</v>
      </c>
      <c r="G57" s="138">
        <v>0</v>
      </c>
      <c r="H57" s="139"/>
      <c r="I57" s="139">
        <f>(SUM(G57:H57))</f>
        <v>0</v>
      </c>
      <c r="J57" s="139">
        <v>0</v>
      </c>
      <c r="K57" s="139">
        <f>L57+M57+N57+O57</f>
        <v>16</v>
      </c>
      <c r="L57" s="139">
        <v>0</v>
      </c>
      <c r="M57" s="139">
        <v>0</v>
      </c>
      <c r="N57" s="139">
        <v>0</v>
      </c>
      <c r="O57" s="139">
        <v>16</v>
      </c>
      <c r="P57" s="139">
        <f>K57+J57</f>
        <v>16</v>
      </c>
      <c r="Q57" s="139">
        <v>0</v>
      </c>
      <c r="R57" s="139">
        <f>Q57-P57</f>
        <v>-16</v>
      </c>
      <c r="S57" s="140">
        <f>F57-Q57</f>
        <v>16000</v>
      </c>
      <c r="T57" s="141"/>
      <c r="U57" s="139">
        <v>0</v>
      </c>
      <c r="V57" s="139">
        <v>58000</v>
      </c>
      <c r="W57" s="139">
        <v>0</v>
      </c>
      <c r="X57" s="124" t="str">
        <f>VLOOKUP(A57,[1]Consolidado!$A:$W,23,FALSE)</f>
        <v>No información.</v>
      </c>
      <c r="Y57" s="121"/>
      <c r="Z57" s="89"/>
      <c r="AA57" s="9"/>
      <c r="AB57" s="89"/>
      <c r="AC57" s="93"/>
      <c r="AD57" s="93"/>
      <c r="AE57" s="94"/>
      <c r="AF57" s="94"/>
      <c r="AG57" s="94"/>
      <c r="AH57" s="94"/>
      <c r="AI57" s="94"/>
      <c r="AJ57" s="94"/>
    </row>
    <row r="58" spans="1:36" s="27" customFormat="1" ht="69" customHeight="1" x14ac:dyDescent="0.25">
      <c r="A58" s="132" t="s">
        <v>217</v>
      </c>
      <c r="B58" s="133" t="s">
        <v>139</v>
      </c>
      <c r="C58" s="134" t="s">
        <v>140</v>
      </c>
      <c r="D58" s="135" t="s">
        <v>181</v>
      </c>
      <c r="E58" s="136" t="s">
        <v>209</v>
      </c>
      <c r="F58" s="137">
        <v>3054617.05</v>
      </c>
      <c r="G58" s="138">
        <v>3024921.41</v>
      </c>
      <c r="H58" s="139"/>
      <c r="I58" s="139">
        <f>(SUM(G58:H58))</f>
        <v>3024921.41</v>
      </c>
      <c r="J58" s="139">
        <v>7978.7584919999999</v>
      </c>
      <c r="K58" s="139">
        <f>L58+M58+N58+O58</f>
        <v>2729041.0977642005</v>
      </c>
      <c r="L58" s="139">
        <v>94502.907378000033</v>
      </c>
      <c r="M58" s="139">
        <v>22850.168926200004</v>
      </c>
      <c r="N58" s="139">
        <v>2862680.4015900004</v>
      </c>
      <c r="O58" s="139">
        <v>-250992.38013000001</v>
      </c>
      <c r="P58" s="139">
        <f>K58+J58</f>
        <v>2737019.8562562005</v>
      </c>
      <c r="Q58" s="139">
        <v>3032900.1684920001</v>
      </c>
      <c r="R58" s="139">
        <f>Q58-P58</f>
        <v>295880.31223579962</v>
      </c>
      <c r="S58" s="140">
        <f>F58-Q58</f>
        <v>21716.881507999729</v>
      </c>
      <c r="T58" s="141"/>
      <c r="U58" s="139">
        <v>2267412.8160000001</v>
      </c>
      <c r="V58" s="139">
        <v>816811.67599999998</v>
      </c>
      <c r="W58" s="139">
        <v>1E-3</v>
      </c>
      <c r="X58" s="124" t="str">
        <f>VLOOKUP(A58,[1]Consolidado!$A:$W,23,FALSE)</f>
        <v>Se cobrara en junio $567.204.234 y el saldo correspondiente a la Etapa II, en septiembre 2016. Este proyecto tiene un anticipo para cruzar por 800MCOP.</v>
      </c>
      <c r="Y58" s="121"/>
      <c r="Z58" s="89"/>
      <c r="AA58" s="9"/>
      <c r="AB58" s="89"/>
      <c r="AC58" s="93"/>
      <c r="AD58" s="93"/>
      <c r="AE58" s="94"/>
      <c r="AF58" s="94"/>
      <c r="AG58" s="94"/>
      <c r="AH58" s="94"/>
      <c r="AI58" s="94"/>
      <c r="AJ58" s="94"/>
    </row>
    <row r="59" spans="1:36" s="27" customFormat="1" ht="69" customHeight="1" x14ac:dyDescent="0.25">
      <c r="A59" s="132" t="s">
        <v>459</v>
      </c>
      <c r="B59" s="133" t="s">
        <v>139</v>
      </c>
      <c r="C59" s="134" t="s">
        <v>147</v>
      </c>
      <c r="D59" s="135" t="s">
        <v>111</v>
      </c>
      <c r="E59" s="136" t="s">
        <v>218</v>
      </c>
      <c r="F59" s="137">
        <v>1821311.2109999999</v>
      </c>
      <c r="G59" s="138">
        <v>1514388.97</v>
      </c>
      <c r="H59" s="139"/>
      <c r="I59" s="139">
        <f>(SUM(G59:H59))</f>
        <v>1514388.97</v>
      </c>
      <c r="J59" s="139">
        <v>84890.221151700011</v>
      </c>
      <c r="K59" s="139">
        <f>L59+M59+N59+O59</f>
        <v>1494510.0406146999</v>
      </c>
      <c r="L59" s="139">
        <v>1094472.0822419999</v>
      </c>
      <c r="M59" s="139">
        <v>206926.3335027</v>
      </c>
      <c r="N59" s="139">
        <v>26348.345649999999</v>
      </c>
      <c r="O59" s="139">
        <v>166763.27922</v>
      </c>
      <c r="P59" s="139">
        <f>K59+J59</f>
        <v>1579400.2617664</v>
      </c>
      <c r="Q59" s="139">
        <v>1599279.1911517</v>
      </c>
      <c r="R59" s="139">
        <f>Q59-P59</f>
        <v>19878.929385300027</v>
      </c>
      <c r="S59" s="140">
        <f>F59-Q59</f>
        <v>222032.01984829991</v>
      </c>
      <c r="T59" s="141"/>
      <c r="U59" s="139">
        <v>1502683.9889200001</v>
      </c>
      <c r="V59" s="139">
        <v>11704.98108</v>
      </c>
      <c r="W59" s="139">
        <v>83299.385999999999</v>
      </c>
      <c r="X59" s="124" t="e">
        <f>VLOOKUP(A59,[1]Consolidado!$A:$W,23,FALSE)</f>
        <v>#N/A</v>
      </c>
      <c r="Y59" s="121"/>
      <c r="Z59" s="89"/>
      <c r="AA59" s="9"/>
      <c r="AB59" s="89"/>
      <c r="AC59" s="93"/>
      <c r="AD59" s="93"/>
      <c r="AE59" s="94"/>
      <c r="AF59" s="94"/>
      <c r="AG59" s="94"/>
      <c r="AH59" s="94"/>
      <c r="AI59" s="94"/>
      <c r="AJ59" s="94"/>
    </row>
    <row r="60" spans="1:36" s="27" customFormat="1" ht="69" customHeight="1" x14ac:dyDescent="0.25">
      <c r="A60" s="132" t="s">
        <v>219</v>
      </c>
      <c r="B60" s="133" t="s">
        <v>139</v>
      </c>
      <c r="C60" s="134" t="s">
        <v>110</v>
      </c>
      <c r="D60" s="135" t="s">
        <v>111</v>
      </c>
      <c r="E60" s="136" t="s">
        <v>112</v>
      </c>
      <c r="F60" s="137">
        <v>697186.93799999997</v>
      </c>
      <c r="G60" s="138">
        <v>570330.15399999998</v>
      </c>
      <c r="H60" s="139"/>
      <c r="I60" s="139">
        <f>(SUM(G60:H60))</f>
        <v>570330.15399999998</v>
      </c>
      <c r="J60" s="139">
        <v>0</v>
      </c>
      <c r="K60" s="139">
        <f>L60+M60+N60+O60</f>
        <v>300996.78486999997</v>
      </c>
      <c r="L60" s="139">
        <v>174375.50876</v>
      </c>
      <c r="M60" s="139">
        <v>0</v>
      </c>
      <c r="N60" s="139">
        <v>17577.277979999999</v>
      </c>
      <c r="O60" s="139">
        <v>109043.99812999999</v>
      </c>
      <c r="P60" s="139">
        <f>K60+J60</f>
        <v>300996.78486999997</v>
      </c>
      <c r="Q60" s="139">
        <v>570330.15399999998</v>
      </c>
      <c r="R60" s="139">
        <f>Q60-P60</f>
        <v>269333.36913000001</v>
      </c>
      <c r="S60" s="140">
        <f>F60-Q60</f>
        <v>126856.78399999999</v>
      </c>
      <c r="T60" s="141"/>
      <c r="U60" s="139">
        <v>553186.93700000003</v>
      </c>
      <c r="V60" s="139">
        <v>109999.99990000001</v>
      </c>
      <c r="W60" s="139">
        <v>118044.893</v>
      </c>
      <c r="X60" s="124" t="str">
        <f>VLOOKUP(A60,[1]Consolidado!$A:$W,23,FALSE)</f>
        <v>Ejecutado Acumulado may-16 $ 671.986.631
Se factura Junio/16 110 MCOP</v>
      </c>
      <c r="Y60" s="121"/>
      <c r="Z60" s="89"/>
      <c r="AA60" s="9"/>
      <c r="AB60" s="89"/>
      <c r="AC60" s="93"/>
      <c r="AD60" s="93"/>
      <c r="AE60" s="94"/>
      <c r="AF60" s="94"/>
      <c r="AG60" s="94"/>
      <c r="AH60" s="94"/>
      <c r="AI60" s="94"/>
      <c r="AJ60" s="94"/>
    </row>
    <row r="61" spans="1:36" s="27" customFormat="1" ht="69" customHeight="1" x14ac:dyDescent="0.25">
      <c r="A61" s="132" t="s">
        <v>220</v>
      </c>
      <c r="B61" s="133" t="s">
        <v>139</v>
      </c>
      <c r="C61" s="134" t="s">
        <v>221</v>
      </c>
      <c r="D61" s="135" t="s">
        <v>156</v>
      </c>
      <c r="E61" s="136" t="s">
        <v>222</v>
      </c>
      <c r="F61" s="137">
        <v>0</v>
      </c>
      <c r="G61" s="138">
        <v>2486709.9735700004</v>
      </c>
      <c r="H61" s="139"/>
      <c r="I61" s="139">
        <f>(SUM(G61:H61))</f>
        <v>2486709.9735700004</v>
      </c>
      <c r="J61" s="139">
        <v>4458.1877189999996</v>
      </c>
      <c r="K61" s="139">
        <f>L61+M61+N61+O61</f>
        <v>119540.711018</v>
      </c>
      <c r="L61" s="139">
        <v>103145.704</v>
      </c>
      <c r="M61" s="139">
        <v>16395.007018</v>
      </c>
      <c r="N61" s="139">
        <v>0</v>
      </c>
      <c r="O61" s="139">
        <v>0</v>
      </c>
      <c r="P61" s="139">
        <f>K61+J61</f>
        <v>123998.898737</v>
      </c>
      <c r="Q61" s="139">
        <v>2491168.1612890004</v>
      </c>
      <c r="R61" s="139">
        <f>Q61-P61</f>
        <v>2367169.2625520006</v>
      </c>
      <c r="S61" s="140">
        <f>F61-Q61</f>
        <v>-2491168.1612890004</v>
      </c>
      <c r="T61" s="141"/>
      <c r="U61" s="139">
        <v>2577997.9073699997</v>
      </c>
      <c r="V61" s="139">
        <v>0</v>
      </c>
      <c r="W61" s="139">
        <v>333756.86488999997</v>
      </c>
      <c r="X61" s="124" t="str">
        <f>VLOOKUP(A61,[1]Consolidado!$A:$W,23,FALSE)</f>
        <v>No información.</v>
      </c>
      <c r="Y61" s="121"/>
      <c r="Z61" s="89"/>
      <c r="AA61" s="9"/>
      <c r="AB61" s="89"/>
      <c r="AC61" s="93"/>
      <c r="AD61" s="93"/>
      <c r="AE61" s="94"/>
      <c r="AF61" s="94"/>
      <c r="AG61" s="94"/>
      <c r="AH61" s="94"/>
      <c r="AI61" s="94"/>
      <c r="AJ61" s="94"/>
    </row>
    <row r="62" spans="1:36" s="27" customFormat="1" ht="69" customHeight="1" x14ac:dyDescent="0.25">
      <c r="A62" s="132" t="s">
        <v>223</v>
      </c>
      <c r="B62" s="133" t="s">
        <v>139</v>
      </c>
      <c r="C62" s="134" t="s">
        <v>140</v>
      </c>
      <c r="D62" s="135" t="s">
        <v>181</v>
      </c>
      <c r="E62" s="136" t="s">
        <v>209</v>
      </c>
      <c r="F62" s="137">
        <v>537162.75</v>
      </c>
      <c r="G62" s="138">
        <v>314586.03700000001</v>
      </c>
      <c r="H62" s="139"/>
      <c r="I62" s="139">
        <f>(SUM(G62:H62))</f>
        <v>314586.03700000001</v>
      </c>
      <c r="J62" s="139">
        <v>0</v>
      </c>
      <c r="K62" s="139">
        <f>L62+M62+N62+O62</f>
        <v>322828.306973</v>
      </c>
      <c r="L62" s="139">
        <v>0</v>
      </c>
      <c r="M62" s="139">
        <v>0</v>
      </c>
      <c r="N62" s="139">
        <v>310642.30797299999</v>
      </c>
      <c r="O62" s="139">
        <v>12185.999</v>
      </c>
      <c r="P62" s="139">
        <f>K62+J62</f>
        <v>322828.306973</v>
      </c>
      <c r="Q62" s="139">
        <v>314586.03700000001</v>
      </c>
      <c r="R62" s="139">
        <f>Q62-P62</f>
        <v>-8242.2699729999877</v>
      </c>
      <c r="S62" s="140">
        <f>F62-Q62</f>
        <v>222576.71299999999</v>
      </c>
      <c r="T62" s="141"/>
      <c r="U62" s="139">
        <v>0</v>
      </c>
      <c r="V62" s="139">
        <v>314586.03700000001</v>
      </c>
      <c r="W62" s="139">
        <v>0</v>
      </c>
      <c r="X62" s="124" t="str">
        <f>VLOOKUP(A62,[1]Consolidado!$A:$W,23,FALSE)</f>
        <v>Se espera aprobación interventoría de trabajos ejecutados para cobrar en junio 2016.</v>
      </c>
      <c r="Y62" s="121"/>
      <c r="Z62" s="89"/>
      <c r="AA62" s="9"/>
      <c r="AB62" s="89"/>
      <c r="AC62" s="93"/>
      <c r="AD62" s="93"/>
      <c r="AE62" s="94"/>
      <c r="AF62" s="94"/>
      <c r="AG62" s="94"/>
      <c r="AH62" s="94"/>
      <c r="AI62" s="94"/>
      <c r="AJ62" s="94"/>
    </row>
    <row r="63" spans="1:36" s="27" customFormat="1" ht="69" customHeight="1" x14ac:dyDescent="0.25">
      <c r="A63" s="132" t="s">
        <v>224</v>
      </c>
      <c r="B63" s="133" t="s">
        <v>139</v>
      </c>
      <c r="C63" s="134" t="s">
        <v>140</v>
      </c>
      <c r="D63" s="135" t="s">
        <v>136</v>
      </c>
      <c r="E63" s="136" t="s">
        <v>225</v>
      </c>
      <c r="F63" s="137">
        <v>253260</v>
      </c>
      <c r="G63" s="138">
        <v>123594.99099999999</v>
      </c>
      <c r="H63" s="139"/>
      <c r="I63" s="139">
        <f>(SUM(G63:H63))</f>
        <v>123594.99099999999</v>
      </c>
      <c r="J63" s="139">
        <v>16882.326667500001</v>
      </c>
      <c r="K63" s="139">
        <f>L63+M63+N63+O63</f>
        <v>94174.75811000001</v>
      </c>
      <c r="L63" s="139">
        <v>35920.010575</v>
      </c>
      <c r="M63" s="139">
        <v>31532.505935000001</v>
      </c>
      <c r="N63" s="139">
        <v>22325.000400000001</v>
      </c>
      <c r="O63" s="139">
        <v>4397.2412000000004</v>
      </c>
      <c r="P63" s="139">
        <f>K63+J63</f>
        <v>111057.08477750001</v>
      </c>
      <c r="Q63" s="139">
        <v>140477.3176675</v>
      </c>
      <c r="R63" s="139">
        <f>Q63-P63</f>
        <v>29420.232889999985</v>
      </c>
      <c r="S63" s="140">
        <f>F63-Q63</f>
        <v>112782.6823325</v>
      </c>
      <c r="T63" s="141"/>
      <c r="U63" s="139">
        <v>0</v>
      </c>
      <c r="V63" s="139">
        <v>123594.99099999999</v>
      </c>
      <c r="W63" s="139">
        <v>0</v>
      </c>
      <c r="X63" s="124" t="str">
        <f>VLOOKUP(A63,[1]Consolidado!$A:$W,23,FALSE)</f>
        <v>USTA: Demora en entrega de información por parte del cliente, generó retrasos en inicio del proyecto el cual se programó para el mes de mayo, se estima facturar en agosto de 2016.</v>
      </c>
      <c r="Y63" s="121"/>
      <c r="Z63" s="89"/>
      <c r="AA63" s="9"/>
      <c r="AB63" s="89"/>
      <c r="AC63" s="93"/>
      <c r="AD63" s="93"/>
      <c r="AE63" s="94"/>
      <c r="AF63" s="94"/>
      <c r="AG63" s="94"/>
      <c r="AH63" s="94"/>
      <c r="AI63" s="94"/>
      <c r="AJ63" s="94"/>
    </row>
    <row r="64" spans="1:36" s="27" customFormat="1" ht="69" customHeight="1" x14ac:dyDescent="0.25">
      <c r="A64" s="132" t="s">
        <v>226</v>
      </c>
      <c r="B64" s="133" t="s">
        <v>139</v>
      </c>
      <c r="C64" s="134" t="s">
        <v>140</v>
      </c>
      <c r="D64" s="135" t="s">
        <v>136</v>
      </c>
      <c r="E64" s="136" t="s">
        <v>225</v>
      </c>
      <c r="F64" s="137">
        <v>183396.36</v>
      </c>
      <c r="G64" s="138">
        <v>107738.05785</v>
      </c>
      <c r="H64" s="139"/>
      <c r="I64" s="139">
        <f>(SUM(G64:H64))</f>
        <v>107738.05785</v>
      </c>
      <c r="J64" s="139">
        <v>540.28887750000001</v>
      </c>
      <c r="K64" s="139">
        <f>L64+M64+N64+O64</f>
        <v>243376.3314275</v>
      </c>
      <c r="L64" s="139">
        <v>199652.33975000001</v>
      </c>
      <c r="M64" s="139">
        <v>540.35087750000002</v>
      </c>
      <c r="N64" s="139">
        <v>3700</v>
      </c>
      <c r="O64" s="139">
        <v>39483.640800000001</v>
      </c>
      <c r="P64" s="139">
        <f>K64+J64</f>
        <v>243916.62030499999</v>
      </c>
      <c r="Q64" s="139">
        <v>108278.3467275</v>
      </c>
      <c r="R64" s="139">
        <f>Q64-P64</f>
        <v>-135638.27357749999</v>
      </c>
      <c r="S64" s="140">
        <f>F64-Q64</f>
        <v>75118.013272499986</v>
      </c>
      <c r="T64" s="141"/>
      <c r="U64" s="139">
        <v>77143.203200000004</v>
      </c>
      <c r="V64" s="139">
        <v>20066.367699999999</v>
      </c>
      <c r="W64" s="139">
        <v>-25844.750499999998</v>
      </c>
      <c r="X64" s="124" t="str">
        <f>VLOOKUP(A64,[1]Consolidado!$A:$W,23,FALSE)</f>
        <v xml:space="preserve">Adm: WSP Somos 100%
OJO: Valor excedido al autorizado. Reversar WIP?
</v>
      </c>
      <c r="Y64" s="121"/>
      <c r="Z64" s="89"/>
      <c r="AA64" s="9"/>
      <c r="AB64" s="89"/>
      <c r="AC64" s="93"/>
      <c r="AD64" s="93"/>
      <c r="AE64" s="94"/>
      <c r="AF64" s="94"/>
      <c r="AG64" s="94"/>
      <c r="AH64" s="94"/>
      <c r="AI64" s="94"/>
      <c r="AJ64" s="94"/>
    </row>
    <row r="65" spans="1:36" s="27" customFormat="1" ht="69" customHeight="1" x14ac:dyDescent="0.25">
      <c r="A65" s="132" t="s">
        <v>227</v>
      </c>
      <c r="B65" s="133" t="s">
        <v>139</v>
      </c>
      <c r="C65" s="134" t="s">
        <v>135</v>
      </c>
      <c r="D65" s="135" t="s">
        <v>143</v>
      </c>
      <c r="E65" s="136" t="s">
        <v>228</v>
      </c>
      <c r="F65" s="137">
        <v>1469358.825</v>
      </c>
      <c r="G65" s="138">
        <v>1388590.942</v>
      </c>
      <c r="H65" s="139"/>
      <c r="I65" s="139">
        <f>(SUM(G65:H65))</f>
        <v>1388590.942</v>
      </c>
      <c r="J65" s="139">
        <v>8517.89048</v>
      </c>
      <c r="K65" s="139">
        <f>L65+M65+N65+O65</f>
        <v>1388096.5539475</v>
      </c>
      <c r="L65" s="139">
        <v>743427.32994999993</v>
      </c>
      <c r="M65" s="139">
        <v>52167.806307499995</v>
      </c>
      <c r="N65" s="139">
        <v>324352.98300000001</v>
      </c>
      <c r="O65" s="139">
        <v>268148.43469000002</v>
      </c>
      <c r="P65" s="139">
        <f>K65+J65</f>
        <v>1396614.4444275</v>
      </c>
      <c r="Q65" s="139">
        <v>1397108.8324800001</v>
      </c>
      <c r="R65" s="139">
        <f>Q65-P65</f>
        <v>494.38805250008591</v>
      </c>
      <c r="S65" s="140">
        <f>F65-Q65</f>
        <v>72249.992519999854</v>
      </c>
      <c r="T65" s="141"/>
      <c r="U65" s="139">
        <v>1280358.8259999999</v>
      </c>
      <c r="V65" s="139">
        <v>108232.11600000001</v>
      </c>
      <c r="W65" s="139">
        <v>0</v>
      </c>
      <c r="X65" s="124" t="str">
        <f>VLOOKUP(A65,[1]Consolidado!$A:$W,23,FALSE)</f>
        <v>El WIP se facturará en julio. En reclamación 139,4 MCOP (Medio Ambiente 35 MCOP y Diseño 104,4) - poco factible el reconocimiento de lo reclamado por Medio Ambiente</v>
      </c>
      <c r="Y65" s="121"/>
      <c r="Z65" s="89"/>
      <c r="AA65" s="9"/>
      <c r="AB65" s="89"/>
      <c r="AC65" s="93"/>
      <c r="AD65" s="93"/>
      <c r="AE65" s="94"/>
      <c r="AF65" s="94"/>
      <c r="AG65" s="94"/>
      <c r="AH65" s="94"/>
      <c r="AI65" s="94"/>
      <c r="AJ65" s="94"/>
    </row>
    <row r="66" spans="1:36" s="27" customFormat="1" ht="69" customHeight="1" x14ac:dyDescent="0.25">
      <c r="A66" s="132" t="s">
        <v>229</v>
      </c>
      <c r="B66" s="133" t="s">
        <v>139</v>
      </c>
      <c r="C66" s="134" t="s">
        <v>135</v>
      </c>
      <c r="D66" s="135" t="s">
        <v>143</v>
      </c>
      <c r="E66" s="136" t="s">
        <v>228</v>
      </c>
      <c r="F66" s="137">
        <v>1999195.2</v>
      </c>
      <c r="G66" s="138">
        <v>1984852.2790000001</v>
      </c>
      <c r="H66" s="139"/>
      <c r="I66" s="139">
        <f>(SUM(G66:H66))</f>
        <v>1984852.2790000001</v>
      </c>
      <c r="J66" s="139">
        <v>81673.963000000003</v>
      </c>
      <c r="K66" s="139">
        <f>L66+M66+N66+O66</f>
        <v>1874234.7739224997</v>
      </c>
      <c r="L66" s="139">
        <v>879763.304275</v>
      </c>
      <c r="M66" s="139">
        <v>150632.43066750001</v>
      </c>
      <c r="N66" s="139">
        <v>553430.47899999993</v>
      </c>
      <c r="O66" s="139">
        <v>290408.55998000002</v>
      </c>
      <c r="P66" s="139">
        <f>K66+J66</f>
        <v>1955908.7369224997</v>
      </c>
      <c r="Q66" s="139">
        <v>2066526.2420000001</v>
      </c>
      <c r="R66" s="139">
        <f>Q66-P66</f>
        <v>110617.50507750036</v>
      </c>
      <c r="S66" s="140">
        <f>F66-Q66</f>
        <v>-67331.042000000132</v>
      </c>
      <c r="T66" s="141"/>
      <c r="U66" s="139">
        <v>1349595.2</v>
      </c>
      <c r="V66" s="139">
        <v>635257.07900000003</v>
      </c>
      <c r="W66" s="139">
        <v>0</v>
      </c>
      <c r="X66" s="124" t="str">
        <f>VLOOKUP(A66,[1]Consolidado!$A:$W,23,FALSE)</f>
        <v>En julio se facturará el valor amparado por contrato. el WIP de 82,2 MMCOP se facturarán en agosto.  Hay en reclamación hay 132 MCOP - 52MCOP M. Ambiente y 82MCOP por Diseño</v>
      </c>
      <c r="Y66" s="121"/>
      <c r="Z66" s="89"/>
      <c r="AA66" s="9"/>
      <c r="AB66" s="89"/>
      <c r="AC66" s="93"/>
      <c r="AD66" s="93"/>
      <c r="AE66" s="94"/>
      <c r="AF66" s="94"/>
      <c r="AG66" s="94"/>
      <c r="AH66" s="94"/>
      <c r="AI66" s="94"/>
      <c r="AJ66" s="94"/>
    </row>
    <row r="67" spans="1:36" s="27" customFormat="1" ht="69" customHeight="1" x14ac:dyDescent="0.25">
      <c r="A67" s="132" t="s">
        <v>230</v>
      </c>
      <c r="B67" s="133" t="s">
        <v>139</v>
      </c>
      <c r="C67" s="134" t="s">
        <v>135</v>
      </c>
      <c r="D67" s="135" t="s">
        <v>143</v>
      </c>
      <c r="E67" s="136" t="s">
        <v>228</v>
      </c>
      <c r="F67" s="137">
        <v>1291913.125</v>
      </c>
      <c r="G67" s="138">
        <v>1419599.07287</v>
      </c>
      <c r="H67" s="139"/>
      <c r="I67" s="139">
        <f>(SUM(G67:H67))</f>
        <v>1419599.07287</v>
      </c>
      <c r="J67" s="139">
        <v>46825.059317499996</v>
      </c>
      <c r="K67" s="139">
        <f>L67+M67+N67+O67</f>
        <v>1836537.6202374999</v>
      </c>
      <c r="L67" s="139">
        <v>945731.35429999989</v>
      </c>
      <c r="M67" s="139">
        <v>96831.744357500007</v>
      </c>
      <c r="N67" s="139">
        <v>507191.58779999998</v>
      </c>
      <c r="O67" s="139">
        <v>286782.93377999996</v>
      </c>
      <c r="P67" s="139">
        <f>K67+J67</f>
        <v>1883362.679555</v>
      </c>
      <c r="Q67" s="139">
        <v>1466424.1321875001</v>
      </c>
      <c r="R67" s="139">
        <f>Q67-P67</f>
        <v>-416938.54736749991</v>
      </c>
      <c r="S67" s="140">
        <f>F67-Q67</f>
        <v>-174511.00718750013</v>
      </c>
      <c r="T67" s="141"/>
      <c r="U67" s="139">
        <v>1071416.375</v>
      </c>
      <c r="V67" s="139">
        <v>348182.69786999997</v>
      </c>
      <c r="W67" s="139">
        <v>0</v>
      </c>
      <c r="X67" s="124" t="str">
        <f>VLOOKUP(A67,[1]Consolidado!$A:$W,23,FALSE)</f>
        <v>De la sobre ejecución hay 116 MCOP en reclamación por actividades de Medio Ambiente y 11 por actividades de Diseño. Lo predial está en desarrollo.</v>
      </c>
      <c r="Y67" s="121"/>
      <c r="Z67" s="89"/>
      <c r="AA67" s="9"/>
      <c r="AB67" s="89"/>
      <c r="AC67" s="93"/>
      <c r="AD67" s="93"/>
      <c r="AE67" s="94"/>
      <c r="AF67" s="94"/>
      <c r="AG67" s="94"/>
      <c r="AH67" s="94"/>
      <c r="AI67" s="94"/>
      <c r="AJ67" s="94"/>
    </row>
    <row r="68" spans="1:36" s="27" customFormat="1" ht="69" customHeight="1" x14ac:dyDescent="0.25">
      <c r="A68" s="132" t="s">
        <v>231</v>
      </c>
      <c r="B68" s="133" t="s">
        <v>139</v>
      </c>
      <c r="C68" s="134" t="s">
        <v>135</v>
      </c>
      <c r="D68" s="135" t="s">
        <v>143</v>
      </c>
      <c r="E68" s="136" t="s">
        <v>228</v>
      </c>
      <c r="F68" s="137">
        <v>1500569</v>
      </c>
      <c r="G68" s="138">
        <v>1549620.4</v>
      </c>
      <c r="H68" s="139"/>
      <c r="I68" s="139">
        <f>(SUM(G68:H68))</f>
        <v>1549620.4</v>
      </c>
      <c r="J68" s="139">
        <v>98567.565670000011</v>
      </c>
      <c r="K68" s="139">
        <f>L68+M68+N68+O68</f>
        <v>2854668.7841525003</v>
      </c>
      <c r="L68" s="139">
        <v>1658300.9578500001</v>
      </c>
      <c r="M68" s="139">
        <v>194796.29316250002</v>
      </c>
      <c r="N68" s="139">
        <v>565670.18825999997</v>
      </c>
      <c r="O68" s="139">
        <v>435901.34487999999</v>
      </c>
      <c r="P68" s="139">
        <f>K68+J68</f>
        <v>2953236.3498225003</v>
      </c>
      <c r="Q68" s="139">
        <v>1648187.9656699998</v>
      </c>
      <c r="R68" s="139">
        <f>Q68-P68</f>
        <v>-1305048.3841525004</v>
      </c>
      <c r="S68" s="140">
        <f>F68-Q68</f>
        <v>-147618.96566999983</v>
      </c>
      <c r="T68" s="141"/>
      <c r="U68" s="139">
        <v>1272569</v>
      </c>
      <c r="V68" s="139">
        <v>277051.40000000002</v>
      </c>
      <c r="W68" s="139">
        <v>0</v>
      </c>
      <c r="X68" s="124" t="str">
        <f>VLOOKUP(A68,[1]Consolidado!$A:$W,23,FALSE)</f>
        <v>Hay 49 MCOP en proceso de reclamación por actividades del componente predial.</v>
      </c>
      <c r="Y68" s="121"/>
      <c r="Z68" s="89"/>
      <c r="AA68" s="9"/>
      <c r="AB68" s="89"/>
      <c r="AC68" s="93"/>
      <c r="AD68" s="93"/>
      <c r="AE68" s="94"/>
      <c r="AF68" s="94"/>
      <c r="AG68" s="94"/>
      <c r="AH68" s="94"/>
      <c r="AI68" s="94"/>
      <c r="AJ68" s="94"/>
    </row>
    <row r="69" spans="1:36" s="27" customFormat="1" ht="69" customHeight="1" x14ac:dyDescent="0.25">
      <c r="A69" s="132" t="s">
        <v>232</v>
      </c>
      <c r="B69" s="133" t="s">
        <v>139</v>
      </c>
      <c r="C69" s="134" t="s">
        <v>140</v>
      </c>
      <c r="D69" s="135" t="s">
        <v>181</v>
      </c>
      <c r="E69" s="136" t="s">
        <v>182</v>
      </c>
      <c r="F69" s="137">
        <v>215076</v>
      </c>
      <c r="G69" s="138">
        <v>215076</v>
      </c>
      <c r="H69" s="139"/>
      <c r="I69" s="139">
        <f>(SUM(G69:H69))</f>
        <v>215076</v>
      </c>
      <c r="J69" s="139">
        <v>11660</v>
      </c>
      <c r="K69" s="139">
        <f>L69+M69+N69+O69</f>
        <v>3776.6986513000011</v>
      </c>
      <c r="L69" s="139">
        <v>12218.331651300001</v>
      </c>
      <c r="M69" s="139">
        <v>0</v>
      </c>
      <c r="N69" s="139">
        <v>57984</v>
      </c>
      <c r="O69" s="139">
        <v>-66425.633000000002</v>
      </c>
      <c r="P69" s="139">
        <f>K69+J69</f>
        <v>15436.698651300001</v>
      </c>
      <c r="Q69" s="139">
        <v>226736</v>
      </c>
      <c r="R69" s="139">
        <f>Q69-P69</f>
        <v>211299.30134870001</v>
      </c>
      <c r="S69" s="140">
        <f>F69-Q69</f>
        <v>-11660</v>
      </c>
      <c r="T69" s="141"/>
      <c r="U69" s="139">
        <v>215076</v>
      </c>
      <c r="V69" s="139">
        <v>0</v>
      </c>
      <c r="W69" s="139">
        <v>0</v>
      </c>
      <c r="X69" s="124" t="str">
        <f>VLOOKUP(A69,[1]Consolidado!$A:$W,23,FALSE)</f>
        <v>No información.</v>
      </c>
      <c r="Y69" s="121"/>
      <c r="Z69" s="89"/>
      <c r="AA69" s="9"/>
      <c r="AB69" s="89"/>
      <c r="AC69" s="93"/>
      <c r="AD69" s="93"/>
      <c r="AE69" s="94"/>
      <c r="AF69" s="94"/>
      <c r="AG69" s="94"/>
      <c r="AH69" s="94"/>
      <c r="AI69" s="94"/>
      <c r="AJ69" s="94"/>
    </row>
    <row r="70" spans="1:36" s="27" customFormat="1" ht="69" customHeight="1" x14ac:dyDescent="0.25">
      <c r="A70" s="132" t="s">
        <v>233</v>
      </c>
      <c r="B70" s="133" t="s">
        <v>139</v>
      </c>
      <c r="C70" s="134" t="s">
        <v>110</v>
      </c>
      <c r="D70" s="135" t="s">
        <v>181</v>
      </c>
      <c r="E70" s="136" t="s">
        <v>234</v>
      </c>
      <c r="F70" s="137">
        <v>271215.15600000002</v>
      </c>
      <c r="G70" s="138">
        <v>248122.351</v>
      </c>
      <c r="H70" s="139"/>
      <c r="I70" s="139">
        <f>(SUM(G70:H70))</f>
        <v>248122.351</v>
      </c>
      <c r="J70" s="139">
        <v>12181.5600175</v>
      </c>
      <c r="K70" s="139">
        <f>L70+M70+N70+O70</f>
        <v>229807.25392000002</v>
      </c>
      <c r="L70" s="139">
        <v>122024.0331</v>
      </c>
      <c r="M70" s="139">
        <v>40076.706200000001</v>
      </c>
      <c r="N70" s="139">
        <v>35146.405999999995</v>
      </c>
      <c r="O70" s="139">
        <v>32560.108620000003</v>
      </c>
      <c r="P70" s="139">
        <f>K70+J70</f>
        <v>241988.8139375</v>
      </c>
      <c r="Q70" s="139">
        <v>260303.91101749998</v>
      </c>
      <c r="R70" s="139">
        <f>Q70-P70</f>
        <v>18315.097079999978</v>
      </c>
      <c r="S70" s="140">
        <f>F70-Q70</f>
        <v>10911.244982500037</v>
      </c>
      <c r="T70" s="141"/>
      <c r="U70" s="139">
        <v>248122.351</v>
      </c>
      <c r="V70" s="139">
        <v>0</v>
      </c>
      <c r="W70" s="139">
        <v>52961.392</v>
      </c>
      <c r="X70" s="124" t="str">
        <f>VLOOKUP(A70,[1]Consolidado!$A:$W,23,FALSE)</f>
        <v>No información.</v>
      </c>
      <c r="Y70" s="121"/>
      <c r="Z70" s="89"/>
      <c r="AA70" s="9"/>
      <c r="AB70" s="89"/>
      <c r="AC70" s="93"/>
      <c r="AD70" s="93"/>
      <c r="AE70" s="94"/>
      <c r="AF70" s="94"/>
      <c r="AG70" s="94"/>
      <c r="AH70" s="94"/>
      <c r="AI70" s="94"/>
      <c r="AJ70" s="94"/>
    </row>
    <row r="71" spans="1:36" s="27" customFormat="1" ht="69" customHeight="1" x14ac:dyDescent="0.25">
      <c r="A71" s="132" t="s">
        <v>235</v>
      </c>
      <c r="B71" s="133" t="s">
        <v>139</v>
      </c>
      <c r="C71" s="134" t="s">
        <v>140</v>
      </c>
      <c r="D71" s="135" t="s">
        <v>156</v>
      </c>
      <c r="E71" s="136" t="s">
        <v>236</v>
      </c>
      <c r="F71" s="137">
        <v>957138.98300000001</v>
      </c>
      <c r="G71" s="138">
        <v>931592.08025</v>
      </c>
      <c r="H71" s="139"/>
      <c r="I71" s="139">
        <f>(SUM(G71:H71))</f>
        <v>931592.08025</v>
      </c>
      <c r="J71" s="139">
        <v>-9323.9100007500001</v>
      </c>
      <c r="K71" s="139">
        <f>L71+M71+N71+O71</f>
        <v>1097028.73522225</v>
      </c>
      <c r="L71" s="139">
        <v>552173.38742499996</v>
      </c>
      <c r="M71" s="139">
        <v>100883.97823725</v>
      </c>
      <c r="N71" s="139">
        <v>175618.677</v>
      </c>
      <c r="O71" s="139">
        <v>268352.69256</v>
      </c>
      <c r="P71" s="139">
        <f>K71+J71</f>
        <v>1087704.8252214999</v>
      </c>
      <c r="Q71" s="139">
        <v>922268.17024925002</v>
      </c>
      <c r="R71" s="139">
        <f>Q71-P71</f>
        <v>-165436.65497224987</v>
      </c>
      <c r="S71" s="140">
        <f>F71-Q71</f>
        <v>34870.812750749988</v>
      </c>
      <c r="T71" s="141"/>
      <c r="U71" s="139">
        <v>957138.98300000001</v>
      </c>
      <c r="V71" s="139">
        <v>-25546.902750000001</v>
      </c>
      <c r="W71" s="139">
        <v>0</v>
      </c>
      <c r="X71" s="124" t="str">
        <f>VLOOKUP(A71,[1]Consolidado!$A:$W,23,FALSE)</f>
        <v>No información.</v>
      </c>
      <c r="Y71" s="121"/>
      <c r="Z71" s="89"/>
      <c r="AA71" s="9"/>
      <c r="AB71" s="89"/>
      <c r="AC71" s="93"/>
      <c r="AD71" s="93"/>
      <c r="AE71" s="94"/>
      <c r="AF71" s="94"/>
      <c r="AG71" s="94"/>
      <c r="AH71" s="94"/>
      <c r="AI71" s="94"/>
      <c r="AJ71" s="94"/>
    </row>
    <row r="72" spans="1:36" s="27" customFormat="1" ht="69" customHeight="1" x14ac:dyDescent="0.25">
      <c r="A72" s="132" t="s">
        <v>237</v>
      </c>
      <c r="B72" s="133" t="s">
        <v>139</v>
      </c>
      <c r="C72" s="134" t="s">
        <v>140</v>
      </c>
      <c r="D72" s="135" t="s">
        <v>238</v>
      </c>
      <c r="E72" s="136" t="s">
        <v>239</v>
      </c>
      <c r="F72" s="137">
        <v>1856964.4410000001</v>
      </c>
      <c r="G72" s="138">
        <v>1277348.6477399999</v>
      </c>
      <c r="H72" s="139"/>
      <c r="I72" s="139">
        <f>(SUM(G72:H72))</f>
        <v>1277348.6477399999</v>
      </c>
      <c r="J72" s="139">
        <v>44420.433005999999</v>
      </c>
      <c r="K72" s="139">
        <f>L72+M72+N72+O72</f>
        <v>862734.44335000007</v>
      </c>
      <c r="L72" s="139">
        <v>456314.95118000003</v>
      </c>
      <c r="M72" s="139">
        <v>75554.579310000001</v>
      </c>
      <c r="N72" s="139">
        <v>279747.63500000001</v>
      </c>
      <c r="O72" s="139">
        <v>51117.277860000002</v>
      </c>
      <c r="P72" s="139">
        <f>K72+J72</f>
        <v>907154.87635600008</v>
      </c>
      <c r="Q72" s="139">
        <v>1321769.0807459999</v>
      </c>
      <c r="R72" s="139">
        <f>Q72-P72</f>
        <v>414614.20438999985</v>
      </c>
      <c r="S72" s="140">
        <f>F72-Q72</f>
        <v>535195.36025400017</v>
      </c>
      <c r="T72" s="141"/>
      <c r="U72" s="139">
        <v>1377195.9080000001</v>
      </c>
      <c r="V72" s="139">
        <v>-99847.26026000001</v>
      </c>
      <c r="W72" s="139">
        <v>0</v>
      </c>
      <c r="X72" s="124" t="str">
        <f>VLOOKUP(A72,[1]Consolidado!$A:$W,23,FALSE)</f>
        <v>No información.</v>
      </c>
      <c r="Y72" s="121"/>
      <c r="Z72" s="89"/>
      <c r="AA72" s="9"/>
      <c r="AB72" s="89"/>
      <c r="AC72" s="93"/>
      <c r="AD72" s="93"/>
      <c r="AE72" s="94"/>
      <c r="AF72" s="94"/>
      <c r="AG72" s="94"/>
      <c r="AH72" s="94"/>
      <c r="AI72" s="94"/>
      <c r="AJ72" s="94"/>
    </row>
    <row r="73" spans="1:36" s="27" customFormat="1" ht="69" customHeight="1" x14ac:dyDescent="0.25">
      <c r="A73" s="132" t="s">
        <v>240</v>
      </c>
      <c r="B73" s="133" t="s">
        <v>139</v>
      </c>
      <c r="C73" s="134" t="s">
        <v>135</v>
      </c>
      <c r="D73" s="135" t="s">
        <v>181</v>
      </c>
      <c r="E73" s="136" t="s">
        <v>241</v>
      </c>
      <c r="F73" s="137">
        <v>413019</v>
      </c>
      <c r="G73" s="138">
        <v>413019</v>
      </c>
      <c r="H73" s="139"/>
      <c r="I73" s="139">
        <f>(SUM(G73:H73))</f>
        <v>413019</v>
      </c>
      <c r="J73" s="139">
        <v>0</v>
      </c>
      <c r="K73" s="139">
        <f>L73+M73+N73+O73</f>
        <v>114337.2451</v>
      </c>
      <c r="L73" s="139">
        <v>114337.2451</v>
      </c>
      <c r="M73" s="139">
        <v>0</v>
      </c>
      <c r="N73" s="139">
        <v>0</v>
      </c>
      <c r="O73" s="139">
        <v>0</v>
      </c>
      <c r="P73" s="139">
        <f>K73+J73</f>
        <v>114337.2451</v>
      </c>
      <c r="Q73" s="139">
        <v>413019</v>
      </c>
      <c r="R73" s="139">
        <f>Q73-P73</f>
        <v>298681.7549</v>
      </c>
      <c r="S73" s="140">
        <f>F73-Q73</f>
        <v>0</v>
      </c>
      <c r="T73" s="141"/>
      <c r="U73" s="139">
        <v>413019</v>
      </c>
      <c r="V73" s="139">
        <v>0</v>
      </c>
      <c r="W73" s="139">
        <v>0</v>
      </c>
      <c r="X73" s="124" t="str">
        <f>VLOOKUP(A73,[1]Consolidado!$A:$W,23,FALSE)</f>
        <v>No información.</v>
      </c>
      <c r="Y73" s="121"/>
      <c r="Z73" s="89"/>
      <c r="AA73" s="9"/>
      <c r="AB73" s="89"/>
      <c r="AC73" s="93"/>
      <c r="AD73" s="93"/>
      <c r="AE73" s="94"/>
      <c r="AF73" s="94"/>
      <c r="AG73" s="94"/>
      <c r="AH73" s="94"/>
      <c r="AI73" s="94"/>
      <c r="AJ73" s="94"/>
    </row>
    <row r="74" spans="1:36" s="27" customFormat="1" ht="69" customHeight="1" x14ac:dyDescent="0.25">
      <c r="A74" s="132" t="s">
        <v>242</v>
      </c>
      <c r="B74" s="133" t="s">
        <v>139</v>
      </c>
      <c r="C74" s="134" t="s">
        <v>110</v>
      </c>
      <c r="D74" s="135" t="s">
        <v>181</v>
      </c>
      <c r="E74" s="136" t="s">
        <v>234</v>
      </c>
      <c r="F74" s="137">
        <v>341342.8</v>
      </c>
      <c r="G74" s="138">
        <v>341342.8</v>
      </c>
      <c r="H74" s="139"/>
      <c r="I74" s="139">
        <f>(SUM(G74:H74))</f>
        <v>341342.8</v>
      </c>
      <c r="J74" s="139">
        <v>242.2</v>
      </c>
      <c r="K74" s="139">
        <f>L74+M74+N74+O74</f>
        <v>55640.909910400027</v>
      </c>
      <c r="L74" s="139">
        <v>-112318.20708959999</v>
      </c>
      <c r="M74" s="139">
        <v>0</v>
      </c>
      <c r="N74" s="139">
        <v>217447.57200000001</v>
      </c>
      <c r="O74" s="139">
        <v>-49488.454999999994</v>
      </c>
      <c r="P74" s="139">
        <f>K74+J74</f>
        <v>55883.109910400024</v>
      </c>
      <c r="Q74" s="139">
        <v>341585</v>
      </c>
      <c r="R74" s="139">
        <f>Q74-P74</f>
        <v>285701.8900896</v>
      </c>
      <c r="S74" s="140">
        <f>F74-Q74</f>
        <v>-242.20000000001164</v>
      </c>
      <c r="T74" s="141"/>
      <c r="U74" s="139">
        <v>119469.728</v>
      </c>
      <c r="V74" s="139">
        <v>221873.07199999999</v>
      </c>
      <c r="W74" s="139">
        <v>0</v>
      </c>
      <c r="X74" s="124" t="str">
        <f>VLOOKUP(A74,[1]Consolidado!$A:$W,23,FALSE)</f>
        <v>Puente Rio Micay en mayo se facturó el 90% y 10% restante en junio</v>
      </c>
      <c r="Y74" s="121"/>
      <c r="Z74" s="89"/>
      <c r="AA74" s="9"/>
      <c r="AB74" s="89"/>
      <c r="AC74" s="93"/>
      <c r="AD74" s="93"/>
      <c r="AE74" s="94"/>
      <c r="AF74" s="94"/>
      <c r="AG74" s="94"/>
      <c r="AH74" s="94"/>
      <c r="AI74" s="94"/>
      <c r="AJ74" s="94"/>
    </row>
    <row r="75" spans="1:36" s="27" customFormat="1" ht="69" customHeight="1" x14ac:dyDescent="0.25">
      <c r="A75" s="132" t="s">
        <v>243</v>
      </c>
      <c r="B75" s="133" t="s">
        <v>139</v>
      </c>
      <c r="C75" s="134" t="s">
        <v>135</v>
      </c>
      <c r="D75" s="135" t="s">
        <v>136</v>
      </c>
      <c r="E75" s="136" t="s">
        <v>244</v>
      </c>
      <c r="F75" s="137">
        <v>428363.01799999998</v>
      </c>
      <c r="G75" s="138">
        <v>332133.26207999996</v>
      </c>
      <c r="H75" s="139"/>
      <c r="I75" s="139">
        <f>(SUM(G75:H75))</f>
        <v>332133.26207999996</v>
      </c>
      <c r="J75" s="139">
        <v>28218.446581399996</v>
      </c>
      <c r="K75" s="139">
        <f>L75+M75+N75+O75</f>
        <v>341113.66627769999</v>
      </c>
      <c r="L75" s="139">
        <v>230652.14222999997</v>
      </c>
      <c r="M75" s="139">
        <v>76613.126727700001</v>
      </c>
      <c r="N75" s="139">
        <v>5000</v>
      </c>
      <c r="O75" s="139">
        <v>28848.39732</v>
      </c>
      <c r="P75" s="139">
        <f>K75+J75</f>
        <v>369332.11285909999</v>
      </c>
      <c r="Q75" s="139">
        <v>360351.70866139996</v>
      </c>
      <c r="R75" s="139">
        <f>Q75-P75</f>
        <v>-8980.4041977000306</v>
      </c>
      <c r="S75" s="140">
        <f>F75-Q75</f>
        <v>68011.309338600026</v>
      </c>
      <c r="T75" s="141"/>
      <c r="U75" s="139">
        <v>220782.58319</v>
      </c>
      <c r="V75" s="139">
        <v>111350.67889</v>
      </c>
      <c r="W75" s="139">
        <v>18740.882089999999</v>
      </c>
      <c r="X75" s="124" t="str">
        <f>VLOOKUP(A75,[1]Consolidado!$A:$W,23,FALSE)</f>
        <v>Se facturara la primera semana de junio.</v>
      </c>
      <c r="Y75" s="121"/>
      <c r="Z75" s="89"/>
      <c r="AA75" s="9"/>
      <c r="AB75" s="89"/>
      <c r="AC75" s="93"/>
      <c r="AD75" s="93"/>
      <c r="AE75" s="94"/>
      <c r="AF75" s="94"/>
      <c r="AG75" s="94"/>
      <c r="AH75" s="94"/>
      <c r="AI75" s="94"/>
      <c r="AJ75" s="94"/>
    </row>
    <row r="76" spans="1:36" s="27" customFormat="1" ht="69" customHeight="1" x14ac:dyDescent="0.25">
      <c r="A76" s="132" t="s">
        <v>245</v>
      </c>
      <c r="B76" s="133" t="s">
        <v>139</v>
      </c>
      <c r="C76" s="134" t="s">
        <v>140</v>
      </c>
      <c r="D76" s="135" t="s">
        <v>111</v>
      </c>
      <c r="E76" s="136" t="s">
        <v>246</v>
      </c>
      <c r="F76" s="137">
        <v>39586.087999999996</v>
      </c>
      <c r="G76" s="138">
        <v>15388.087</v>
      </c>
      <c r="H76" s="139"/>
      <c r="I76" s="139">
        <f>(SUM(G76:H76))</f>
        <v>15388.087</v>
      </c>
      <c r="J76" s="139">
        <v>3017.4635252500007</v>
      </c>
      <c r="K76" s="139">
        <f>L76+M76+N76+O76</f>
        <v>13281.521375140001</v>
      </c>
      <c r="L76" s="139">
        <v>7436.9536911000005</v>
      </c>
      <c r="M76" s="139">
        <v>3580.0976840400008</v>
      </c>
      <c r="N76" s="139">
        <v>400</v>
      </c>
      <c r="O76" s="139">
        <v>1864.47</v>
      </c>
      <c r="P76" s="139">
        <f>K76+J76</f>
        <v>16298.984900390002</v>
      </c>
      <c r="Q76" s="139">
        <v>18405.550525250001</v>
      </c>
      <c r="R76" s="139">
        <f>Q76-P76</f>
        <v>2106.5656248599989</v>
      </c>
      <c r="S76" s="140">
        <f>F76-Q76</f>
        <v>21180.537474749995</v>
      </c>
      <c r="T76" s="141"/>
      <c r="U76" s="139">
        <v>12061.824500000001</v>
      </c>
      <c r="V76" s="139">
        <v>3326.2624999999998</v>
      </c>
      <c r="W76" s="139">
        <v>3756.0524999999998</v>
      </c>
      <c r="X76" s="124" t="str">
        <f>VLOOKUP(A76,[1]Consolidado!$A:$W,23,FALSE)</f>
        <v>Adm: WSP
OK, Reversion de WIP.Fase I $ 8 MCOP Cerrada, Fase II 31 MCOP inicia 27 de Junio de 2016.</v>
      </c>
      <c r="Y76" s="121"/>
      <c r="Z76" s="89"/>
      <c r="AA76" s="9"/>
      <c r="AB76" s="89"/>
      <c r="AC76" s="93"/>
      <c r="AD76" s="93"/>
      <c r="AE76" s="94"/>
      <c r="AF76" s="94"/>
      <c r="AG76" s="94"/>
      <c r="AH76" s="94"/>
      <c r="AI76" s="94"/>
      <c r="AJ76" s="94"/>
    </row>
    <row r="77" spans="1:36" s="27" customFormat="1" ht="69" customHeight="1" x14ac:dyDescent="0.25">
      <c r="A77" s="132" t="s">
        <v>247</v>
      </c>
      <c r="B77" s="133" t="s">
        <v>139</v>
      </c>
      <c r="C77" s="134" t="s">
        <v>110</v>
      </c>
      <c r="D77" s="135" t="s">
        <v>111</v>
      </c>
      <c r="E77" s="136" t="s">
        <v>112</v>
      </c>
      <c r="F77" s="137">
        <v>127660.875</v>
      </c>
      <c r="G77" s="138">
        <v>93019.485000000001</v>
      </c>
      <c r="H77" s="139"/>
      <c r="I77" s="139">
        <f>(SUM(G77:H77))</f>
        <v>93019.485000000001</v>
      </c>
      <c r="J77" s="139">
        <v>34.799999999999997</v>
      </c>
      <c r="K77" s="139">
        <f>L77+M77+N77+O77</f>
        <v>78566.29896</v>
      </c>
      <c r="L77" s="139">
        <v>39920.343959999998</v>
      </c>
      <c r="M77" s="139">
        <v>0</v>
      </c>
      <c r="N77" s="139">
        <v>25200</v>
      </c>
      <c r="O77" s="139">
        <v>13445.955</v>
      </c>
      <c r="P77" s="139">
        <f>K77+J77</f>
        <v>78601.098960000003</v>
      </c>
      <c r="Q77" s="139">
        <v>93054.285000000003</v>
      </c>
      <c r="R77" s="139">
        <f>Q77-P77</f>
        <v>14453.186040000001</v>
      </c>
      <c r="S77" s="140">
        <f>F77-Q77</f>
        <v>34606.589999999997</v>
      </c>
      <c r="T77" s="141"/>
      <c r="U77" s="139">
        <v>51064.350340000005</v>
      </c>
      <c r="V77" s="139">
        <v>41955.134659999996</v>
      </c>
      <c r="W77" s="139">
        <v>0</v>
      </c>
      <c r="X77" s="124" t="str">
        <f>VLOOKUP(A77,[1]Consolidado!$A:$W,23,FALSE)</f>
        <v>Ejecutado Acumulado may-16 $ 93.019.485
Se Factura 64MCOP en Ago/16 y 13MCOP en oct/16</v>
      </c>
      <c r="Y77" s="121"/>
      <c r="Z77" s="89"/>
      <c r="AA77" s="9"/>
      <c r="AB77" s="89"/>
      <c r="AC77" s="93"/>
      <c r="AD77" s="93"/>
      <c r="AE77" s="94"/>
      <c r="AF77" s="94"/>
      <c r="AG77" s="94"/>
      <c r="AH77" s="94"/>
      <c r="AI77" s="94"/>
      <c r="AJ77" s="94"/>
    </row>
    <row r="78" spans="1:36" s="27" customFormat="1" ht="69" customHeight="1" x14ac:dyDescent="0.25">
      <c r="A78" s="132" t="s">
        <v>248</v>
      </c>
      <c r="B78" s="133" t="s">
        <v>139</v>
      </c>
      <c r="C78" s="134" t="s">
        <v>140</v>
      </c>
      <c r="D78" s="135" t="s">
        <v>143</v>
      </c>
      <c r="E78" s="136" t="s">
        <v>159</v>
      </c>
      <c r="F78" s="137">
        <v>612800</v>
      </c>
      <c r="G78" s="138">
        <v>122738.1675</v>
      </c>
      <c r="H78" s="139"/>
      <c r="I78" s="139">
        <f>(SUM(G78:H78))</f>
        <v>122738.1675</v>
      </c>
      <c r="J78" s="139">
        <v>3306.7634975000001</v>
      </c>
      <c r="K78" s="139">
        <f>L78+M78+N78+O78</f>
        <v>76975.490787499992</v>
      </c>
      <c r="L78" s="139">
        <v>41296.547500000001</v>
      </c>
      <c r="M78" s="139">
        <v>17469.126287499999</v>
      </c>
      <c r="N78" s="139">
        <v>0</v>
      </c>
      <c r="O78" s="139">
        <v>18209.816999999999</v>
      </c>
      <c r="P78" s="139">
        <f>K78+J78</f>
        <v>80282.254284999988</v>
      </c>
      <c r="Q78" s="139">
        <v>126044.93099749999</v>
      </c>
      <c r="R78" s="139">
        <f>Q78-P78</f>
        <v>45762.676712500004</v>
      </c>
      <c r="S78" s="140">
        <f>F78-Q78</f>
        <v>486755.06900250004</v>
      </c>
      <c r="T78" s="141"/>
      <c r="U78" s="139">
        <v>210650</v>
      </c>
      <c r="V78" s="139">
        <v>-87911.832500000004</v>
      </c>
      <c r="W78" s="139">
        <v>20107.5</v>
      </c>
      <c r="X78" s="124" t="str">
        <f>VLOOKUP(A78,[1]Consolidado!$A:$W,23,FALSE)</f>
        <v xml:space="preserve">Proyecto en ejecución OK. Cartera corriente se debe revisar valor reportado </v>
      </c>
      <c r="Y78" s="121"/>
      <c r="Z78" s="89"/>
      <c r="AA78" s="9"/>
      <c r="AB78" s="89"/>
      <c r="AC78" s="93"/>
      <c r="AD78" s="93"/>
      <c r="AE78" s="94"/>
      <c r="AF78" s="94"/>
      <c r="AG78" s="94"/>
      <c r="AH78" s="94"/>
      <c r="AI78" s="94"/>
      <c r="AJ78" s="94"/>
    </row>
    <row r="79" spans="1:36" s="27" customFormat="1" ht="69" customHeight="1" x14ac:dyDescent="0.25">
      <c r="A79" s="132" t="s">
        <v>249</v>
      </c>
      <c r="B79" s="133" t="s">
        <v>139</v>
      </c>
      <c r="C79" s="134" t="s">
        <v>147</v>
      </c>
      <c r="D79" s="135" t="s">
        <v>143</v>
      </c>
      <c r="E79" s="136" t="s">
        <v>250</v>
      </c>
      <c r="F79" s="137">
        <v>1173817.55</v>
      </c>
      <c r="G79" s="138">
        <v>928951.95900000003</v>
      </c>
      <c r="H79" s="139"/>
      <c r="I79" s="139">
        <f>(SUM(G79:H79))</f>
        <v>928951.95900000003</v>
      </c>
      <c r="J79" s="139">
        <v>104902.07420960002</v>
      </c>
      <c r="K79" s="139">
        <f>L79+M79+N79+O79</f>
        <v>965228.19455999997</v>
      </c>
      <c r="L79" s="139">
        <v>534446.89753399999</v>
      </c>
      <c r="M79" s="139">
        <v>255299.29684600004</v>
      </c>
      <c r="N79" s="139">
        <v>46547.019939999998</v>
      </c>
      <c r="O79" s="139">
        <v>128934.98023999999</v>
      </c>
      <c r="P79" s="139">
        <f>K79+J79</f>
        <v>1070130.2687696</v>
      </c>
      <c r="Q79" s="139">
        <v>1033854.0332096</v>
      </c>
      <c r="R79" s="139">
        <f>Q79-P79</f>
        <v>-36276.235559999943</v>
      </c>
      <c r="S79" s="140">
        <f>F79-Q79</f>
        <v>139963.51679040003</v>
      </c>
      <c r="T79" s="141"/>
      <c r="U79" s="139">
        <v>1044327.66386</v>
      </c>
      <c r="V79" s="139">
        <v>-115375.70486</v>
      </c>
      <c r="W79" s="139">
        <v>116122.67615</v>
      </c>
      <c r="X79" s="124" t="str">
        <f>VLOOKUP(A79,[1]Consolidado!$A:$W,23,FALSE)</f>
        <v>El proyecto ejecutrará el 100% del valor contratado. El WIP negativo tiene por objeto cubrir costos de cierre y liquidación. Se espera ampliación en valor por 587MCOP</v>
      </c>
      <c r="Y79" s="121"/>
      <c r="Z79" s="89"/>
      <c r="AA79" s="9"/>
      <c r="AB79" s="89"/>
      <c r="AC79" s="93"/>
      <c r="AD79" s="93"/>
      <c r="AE79" s="94"/>
      <c r="AF79" s="94"/>
      <c r="AG79" s="94"/>
      <c r="AH79" s="94"/>
      <c r="AI79" s="94"/>
      <c r="AJ79" s="94"/>
    </row>
    <row r="80" spans="1:36" s="27" customFormat="1" ht="69" customHeight="1" x14ac:dyDescent="0.25">
      <c r="A80" s="132" t="s">
        <v>251</v>
      </c>
      <c r="B80" s="133" t="s">
        <v>139</v>
      </c>
      <c r="C80" s="134" t="s">
        <v>140</v>
      </c>
      <c r="D80" s="135" t="s">
        <v>136</v>
      </c>
      <c r="E80" s="136" t="s">
        <v>225</v>
      </c>
      <c r="F80" s="137">
        <v>581982.18700000003</v>
      </c>
      <c r="G80" s="138">
        <v>437138.88299999997</v>
      </c>
      <c r="H80" s="139"/>
      <c r="I80" s="139">
        <f>(SUM(G80:H80))</f>
        <v>437138.88299999997</v>
      </c>
      <c r="J80" s="139">
        <v>3070.5591525000004</v>
      </c>
      <c r="K80" s="139">
        <f>L80+M80+N80+O80</f>
        <v>136927.44700549997</v>
      </c>
      <c r="L80" s="139">
        <v>33062.966099999998</v>
      </c>
      <c r="M80" s="139">
        <v>8757.5233174999994</v>
      </c>
      <c r="N80" s="139">
        <v>102360</v>
      </c>
      <c r="O80" s="139">
        <v>-7253.0424120000007</v>
      </c>
      <c r="P80" s="139">
        <f>K80+J80</f>
        <v>139998.00615799997</v>
      </c>
      <c r="Q80" s="139">
        <v>440209.44215249998</v>
      </c>
      <c r="R80" s="139">
        <f>Q80-P80</f>
        <v>300211.4359945</v>
      </c>
      <c r="S80" s="140">
        <f>F80-Q80</f>
        <v>141772.74484750006</v>
      </c>
      <c r="T80" s="141"/>
      <c r="U80" s="139">
        <v>232792.875</v>
      </c>
      <c r="V80" s="139">
        <v>204346.008</v>
      </c>
      <c r="W80" s="139">
        <v>0</v>
      </c>
      <c r="X80" s="124" t="str">
        <f>VLOOKUP(A80,[1]Consolidado!$A:$W,23,FALSE)</f>
        <v>ET CAN: Se facturara en julio $116COP, se estima un adicional para el mes de septiembre</v>
      </c>
      <c r="Y80" s="121"/>
      <c r="Z80" s="89"/>
      <c r="AA80" s="9"/>
      <c r="AB80" s="89"/>
      <c r="AC80" s="93"/>
      <c r="AD80" s="93"/>
      <c r="AE80" s="94"/>
      <c r="AF80" s="94"/>
      <c r="AG80" s="94"/>
      <c r="AH80" s="94"/>
      <c r="AI80" s="94"/>
      <c r="AJ80" s="94"/>
    </row>
    <row r="81" spans="1:36" s="27" customFormat="1" ht="69" customHeight="1" x14ac:dyDescent="0.25">
      <c r="A81" s="132" t="s">
        <v>252</v>
      </c>
      <c r="B81" s="133" t="s">
        <v>139</v>
      </c>
      <c r="C81" s="134" t="s">
        <v>140</v>
      </c>
      <c r="D81" s="135" t="s">
        <v>143</v>
      </c>
      <c r="E81" s="136" t="s">
        <v>168</v>
      </c>
      <c r="F81" s="137">
        <v>358043.95500000002</v>
      </c>
      <c r="G81" s="138">
        <v>212473.10899000001</v>
      </c>
      <c r="H81" s="139"/>
      <c r="I81" s="139">
        <f>(SUM(G81:H81))</f>
        <v>212473.10899000001</v>
      </c>
      <c r="J81" s="139">
        <v>10076.670296</v>
      </c>
      <c r="K81" s="139">
        <f>L81+M81+N81+O81</f>
        <v>148742.34056799999</v>
      </c>
      <c r="L81" s="139">
        <v>107739.78262</v>
      </c>
      <c r="M81" s="139">
        <v>29026.334948</v>
      </c>
      <c r="N81" s="139">
        <v>1187.538</v>
      </c>
      <c r="O81" s="139">
        <v>10788.684999999999</v>
      </c>
      <c r="P81" s="139">
        <f>K81+J81</f>
        <v>158819.01086399998</v>
      </c>
      <c r="Q81" s="139">
        <v>222549.779286</v>
      </c>
      <c r="R81" s="139">
        <f>Q81-P81</f>
        <v>63730.768422000023</v>
      </c>
      <c r="S81" s="140">
        <f>F81-Q81</f>
        <v>135494.17571400001</v>
      </c>
      <c r="T81" s="141"/>
      <c r="U81" s="139">
        <v>244020.70300000001</v>
      </c>
      <c r="V81" s="139">
        <v>-31547.594010000001</v>
      </c>
      <c r="W81" s="139">
        <v>38747.112000000001</v>
      </c>
      <c r="X81" s="124" t="str">
        <f>VLOOKUP(A81,[1]Consolidado!$A:$W,23,FALSE)</f>
        <v xml:space="preserve">Proyecto en ejecución OK. Cartera corriente se debe revisar valor reportado </v>
      </c>
      <c r="Y81" s="121"/>
      <c r="Z81" s="89"/>
      <c r="AA81" s="9"/>
      <c r="AB81" s="89"/>
      <c r="AC81" s="93"/>
      <c r="AD81" s="93"/>
      <c r="AE81" s="94"/>
      <c r="AF81" s="94"/>
      <c r="AG81" s="94"/>
      <c r="AH81" s="94"/>
      <c r="AI81" s="94"/>
      <c r="AJ81" s="94"/>
    </row>
    <row r="82" spans="1:36" s="27" customFormat="1" ht="69" customHeight="1" x14ac:dyDescent="0.25">
      <c r="A82" s="132" t="s">
        <v>253</v>
      </c>
      <c r="B82" s="133" t="s">
        <v>139</v>
      </c>
      <c r="C82" s="134" t="s">
        <v>140</v>
      </c>
      <c r="D82" s="135" t="s">
        <v>156</v>
      </c>
      <c r="E82" s="136" t="s">
        <v>236</v>
      </c>
      <c r="F82" s="137">
        <v>356258.598</v>
      </c>
      <c r="G82" s="138">
        <v>356258.59824999998</v>
      </c>
      <c r="H82" s="139"/>
      <c r="I82" s="139">
        <f>(SUM(G82:H82))</f>
        <v>356258.59824999998</v>
      </c>
      <c r="J82" s="139">
        <v>0</v>
      </c>
      <c r="K82" s="139">
        <f>L82+M82+N82+O82</f>
        <v>292998.66281750001</v>
      </c>
      <c r="L82" s="139">
        <v>176192.9978175</v>
      </c>
      <c r="M82" s="139">
        <v>0</v>
      </c>
      <c r="N82" s="139">
        <v>77172.320999999996</v>
      </c>
      <c r="O82" s="139">
        <v>39633.343999999997</v>
      </c>
      <c r="P82" s="139">
        <f>K82+J82</f>
        <v>292998.66281750001</v>
      </c>
      <c r="Q82" s="139">
        <v>356258.59824999998</v>
      </c>
      <c r="R82" s="139">
        <f>Q82-P82</f>
        <v>63259.935432499973</v>
      </c>
      <c r="S82" s="140">
        <f>F82-Q82</f>
        <v>-2.4999998277053237E-4</v>
      </c>
      <c r="T82" s="141"/>
      <c r="U82" s="139">
        <v>353391.6</v>
      </c>
      <c r="V82" s="139">
        <v>2866.9982500000001</v>
      </c>
      <c r="W82" s="139">
        <v>0</v>
      </c>
      <c r="X82" s="124" t="str">
        <f>VLOOKUP(A82,[1]Consolidado!$A:$W,23,FALSE)</f>
        <v>Se facturó en mayo 73MCOP. El saldo no ejecutado por modalidad de contrato (T&amp;M) se reverso para el cierre de abril.</v>
      </c>
      <c r="Y82" s="121"/>
      <c r="Z82" s="89"/>
      <c r="AA82" s="9"/>
      <c r="AB82" s="89"/>
      <c r="AC82" s="93"/>
      <c r="AD82" s="93"/>
      <c r="AE82" s="94"/>
      <c r="AF82" s="94"/>
      <c r="AG82" s="94"/>
      <c r="AH82" s="94"/>
      <c r="AI82" s="94"/>
      <c r="AJ82" s="94"/>
    </row>
    <row r="83" spans="1:36" s="27" customFormat="1" ht="69" customHeight="1" x14ac:dyDescent="0.25">
      <c r="A83" s="132" t="s">
        <v>254</v>
      </c>
      <c r="B83" s="133" t="s">
        <v>139</v>
      </c>
      <c r="C83" s="134" t="s">
        <v>110</v>
      </c>
      <c r="D83" s="135" t="s">
        <v>111</v>
      </c>
      <c r="E83" s="136" t="s">
        <v>112</v>
      </c>
      <c r="F83" s="137">
        <v>605453</v>
      </c>
      <c r="G83" s="138">
        <v>311480.88899999997</v>
      </c>
      <c r="H83" s="139"/>
      <c r="I83" s="139">
        <f>(SUM(G83:H83))</f>
        <v>311480.88899999997</v>
      </c>
      <c r="J83" s="139">
        <v>30938.873006059999</v>
      </c>
      <c r="K83" s="139">
        <f>L83+M83+N83+O83</f>
        <v>258576.36271464001</v>
      </c>
      <c r="L83" s="139">
        <v>136568.7038934</v>
      </c>
      <c r="M83" s="139">
        <v>80011.576491240005</v>
      </c>
      <c r="N83" s="139">
        <v>2630</v>
      </c>
      <c r="O83" s="139">
        <v>39366.082329999997</v>
      </c>
      <c r="P83" s="139">
        <f>K83+J83</f>
        <v>289515.2357207</v>
      </c>
      <c r="Q83" s="139">
        <v>342419.76200605999</v>
      </c>
      <c r="R83" s="139">
        <f>Q83-P83</f>
        <v>52904.526285359985</v>
      </c>
      <c r="S83" s="140">
        <f>F83-Q83</f>
        <v>263033.23799394001</v>
      </c>
      <c r="T83" s="141"/>
      <c r="U83" s="139">
        <v>146728.62950000001</v>
      </c>
      <c r="V83" s="139">
        <v>264752.25949999999</v>
      </c>
      <c r="W83" s="139">
        <v>197978.00049999999</v>
      </c>
      <c r="X83" s="124" t="str">
        <f>VLOOKUP(A83,[1]Consolidado!$A:$W,23,FALSE)</f>
        <v>Adm: WSP Ejecutado Acumulado abr-16 $ 245.931.266
Girar 100MCOP desde el consorcio.WIP correspondiente a avance de obra que se facturará en la medida que el contratista avance.</v>
      </c>
      <c r="Y83" s="121"/>
      <c r="Z83" s="89"/>
      <c r="AA83" s="9"/>
      <c r="AB83" s="89"/>
      <c r="AC83" s="93"/>
      <c r="AD83" s="93"/>
      <c r="AE83" s="94"/>
      <c r="AF83" s="94"/>
      <c r="AG83" s="94"/>
      <c r="AH83" s="94"/>
      <c r="AI83" s="94"/>
      <c r="AJ83" s="94"/>
    </row>
    <row r="84" spans="1:36" s="27" customFormat="1" ht="69" customHeight="1" x14ac:dyDescent="0.25">
      <c r="A84" s="132" t="s">
        <v>255</v>
      </c>
      <c r="B84" s="133" t="s">
        <v>139</v>
      </c>
      <c r="C84" s="134" t="s">
        <v>135</v>
      </c>
      <c r="D84" s="135" t="s">
        <v>143</v>
      </c>
      <c r="E84" s="136" t="s">
        <v>144</v>
      </c>
      <c r="F84" s="137">
        <v>335344.82799999998</v>
      </c>
      <c r="G84" s="138">
        <v>285640.07500000001</v>
      </c>
      <c r="H84" s="139"/>
      <c r="I84" s="139">
        <f>(SUM(G84:H84))</f>
        <v>285640.07500000001</v>
      </c>
      <c r="J84" s="139">
        <v>32976.060700000002</v>
      </c>
      <c r="K84" s="139">
        <f>L84+M84+N84+O84</f>
        <v>436903.19245029998</v>
      </c>
      <c r="L84" s="139">
        <v>279858.55353099998</v>
      </c>
      <c r="M84" s="139">
        <v>87310.750479299983</v>
      </c>
      <c r="N84" s="139">
        <v>59092.148000000001</v>
      </c>
      <c r="O84" s="139">
        <v>10641.74044</v>
      </c>
      <c r="P84" s="139">
        <f>K84+J84</f>
        <v>469879.25315030001</v>
      </c>
      <c r="Q84" s="139">
        <v>318616.13569999998</v>
      </c>
      <c r="R84" s="139">
        <f>Q84-P84</f>
        <v>-151263.11745030002</v>
      </c>
      <c r="S84" s="140">
        <f>F84-Q84</f>
        <v>16728.692299999995</v>
      </c>
      <c r="T84" s="141"/>
      <c r="U84" s="139">
        <v>275000.00099999999</v>
      </c>
      <c r="V84" s="139">
        <v>10640.073999999997</v>
      </c>
      <c r="W84" s="139">
        <v>130111.853</v>
      </c>
      <c r="X84" s="124" t="str">
        <f>VLOOKUP(A84,[1]Consolidado!$A:$W,23,FALSE)</f>
        <v>Se espera facturar 92,13 MCOP en junio; el restante (otros 92,13 MCOP) se facturarán contra entregable en julio.</v>
      </c>
      <c r="Y84" s="121"/>
      <c r="Z84" s="89"/>
      <c r="AA84" s="9"/>
      <c r="AB84" s="89"/>
      <c r="AC84" s="93"/>
      <c r="AD84" s="93"/>
      <c r="AE84" s="94"/>
      <c r="AF84" s="94"/>
      <c r="AG84" s="94"/>
      <c r="AH84" s="94"/>
      <c r="AI84" s="94"/>
      <c r="AJ84" s="94"/>
    </row>
    <row r="85" spans="1:36" s="27" customFormat="1" ht="69" customHeight="1" x14ac:dyDescent="0.25">
      <c r="A85" s="132" t="s">
        <v>256</v>
      </c>
      <c r="B85" s="133" t="s">
        <v>139</v>
      </c>
      <c r="C85" s="134" t="s">
        <v>140</v>
      </c>
      <c r="D85" s="135" t="s">
        <v>143</v>
      </c>
      <c r="E85" s="136" t="s">
        <v>257</v>
      </c>
      <c r="F85" s="137">
        <v>1255500</v>
      </c>
      <c r="G85" s="138">
        <v>322661.20400000003</v>
      </c>
      <c r="H85" s="139"/>
      <c r="I85" s="139">
        <f>(SUM(G85:H85))</f>
        <v>322661.20400000003</v>
      </c>
      <c r="J85" s="139">
        <v>36358.429476000005</v>
      </c>
      <c r="K85" s="139">
        <f>L85+M85+N85+O85</f>
        <v>235095.297078</v>
      </c>
      <c r="L85" s="139">
        <v>117718.80921000001</v>
      </c>
      <c r="M85" s="139">
        <v>87124.043868000008</v>
      </c>
      <c r="N85" s="139">
        <v>30000</v>
      </c>
      <c r="O85" s="139">
        <v>252.44399999999999</v>
      </c>
      <c r="P85" s="139">
        <f>K85+J85</f>
        <v>271453.72655399999</v>
      </c>
      <c r="Q85" s="139">
        <v>359019.63347600005</v>
      </c>
      <c r="R85" s="139">
        <f>Q85-P85</f>
        <v>87565.906922000053</v>
      </c>
      <c r="S85" s="140">
        <f>F85-Q85</f>
        <v>896480.36652399995</v>
      </c>
      <c r="T85" s="141"/>
      <c r="U85" s="139">
        <v>488250</v>
      </c>
      <c r="V85" s="139">
        <v>-165588.796</v>
      </c>
      <c r="W85" s="139">
        <v>0</v>
      </c>
      <c r="X85" s="124" t="str">
        <f>VLOOKUP(A85,[1]Consolidado!$A:$W,23,FALSE)</f>
        <v xml:space="preserve">Proyecto en ejecución OK. Cartera corriente se debe revisar valor reportado </v>
      </c>
      <c r="Y85" s="121"/>
      <c r="Z85" s="89"/>
      <c r="AA85" s="9"/>
      <c r="AB85" s="89"/>
      <c r="AC85" s="93"/>
      <c r="AD85" s="93"/>
      <c r="AE85" s="94"/>
      <c r="AF85" s="94"/>
      <c r="AG85" s="94"/>
      <c r="AH85" s="94"/>
      <c r="AI85" s="94"/>
      <c r="AJ85" s="94"/>
    </row>
    <row r="86" spans="1:36" s="27" customFormat="1" ht="69" customHeight="1" x14ac:dyDescent="0.25">
      <c r="A86" s="132" t="s">
        <v>258</v>
      </c>
      <c r="B86" s="133" t="s">
        <v>139</v>
      </c>
      <c r="C86" s="134" t="s">
        <v>140</v>
      </c>
      <c r="D86" s="135" t="s">
        <v>111</v>
      </c>
      <c r="E86" s="136" t="s">
        <v>141</v>
      </c>
      <c r="F86" s="137">
        <v>724945.39099999995</v>
      </c>
      <c r="G86" s="138">
        <v>343528.45900000003</v>
      </c>
      <c r="H86" s="139"/>
      <c r="I86" s="139">
        <f>(SUM(G86:H86))</f>
        <v>343528.45900000003</v>
      </c>
      <c r="J86" s="139">
        <v>15014.668175999999</v>
      </c>
      <c r="K86" s="139">
        <f>L86+M86+N86+O86</f>
        <v>231444.8235081</v>
      </c>
      <c r="L86" s="139">
        <v>146757.4149525</v>
      </c>
      <c r="M86" s="139">
        <v>22543.629585600003</v>
      </c>
      <c r="N86" s="139">
        <v>2191</v>
      </c>
      <c r="O86" s="139">
        <v>59952.778969999999</v>
      </c>
      <c r="P86" s="139">
        <f>K86+J86</f>
        <v>246459.49168410001</v>
      </c>
      <c r="Q86" s="139">
        <v>358543.12717600004</v>
      </c>
      <c r="R86" s="139">
        <f>Q86-P86</f>
        <v>112083.63549190003</v>
      </c>
      <c r="S86" s="140">
        <f>F86-Q86</f>
        <v>366402.26382399991</v>
      </c>
      <c r="T86" s="141"/>
      <c r="U86" s="139">
        <v>214828.33549999999</v>
      </c>
      <c r="V86" s="139">
        <v>267528.48499999999</v>
      </c>
      <c r="W86" s="139">
        <v>0</v>
      </c>
      <c r="X86" s="124" t="str">
        <f>VLOOKUP(A86,[1]Consolidado!$A:$W,23,FALSE)</f>
        <v>Ejecutado Acumulado May-16 $ 680.725.733
En proceso de legalización Otrosí para proceder a facturar y calcular costo por completar con base al valor negociado de adición.</v>
      </c>
      <c r="Y86" s="121"/>
      <c r="Z86" s="89"/>
      <c r="AA86" s="9"/>
      <c r="AB86" s="89"/>
      <c r="AC86" s="93"/>
      <c r="AD86" s="93"/>
      <c r="AE86" s="94"/>
      <c r="AF86" s="94"/>
      <c r="AG86" s="94"/>
      <c r="AH86" s="94"/>
      <c r="AI86" s="94"/>
      <c r="AJ86" s="94"/>
    </row>
    <row r="87" spans="1:36" s="27" customFormat="1" ht="69" customHeight="1" x14ac:dyDescent="0.25">
      <c r="A87" s="132" t="s">
        <v>259</v>
      </c>
      <c r="B87" s="133" t="s">
        <v>139</v>
      </c>
      <c r="C87" s="134" t="s">
        <v>140</v>
      </c>
      <c r="D87" s="135" t="s">
        <v>111</v>
      </c>
      <c r="E87" s="136" t="s">
        <v>260</v>
      </c>
      <c r="F87" s="137">
        <v>3152533.3760000002</v>
      </c>
      <c r="G87" s="138">
        <v>959427.33649999998</v>
      </c>
      <c r="H87" s="139"/>
      <c r="I87" s="139">
        <f>(SUM(G87:H87))</f>
        <v>959427.33649999998</v>
      </c>
      <c r="J87" s="139">
        <v>49927.559187999999</v>
      </c>
      <c r="K87" s="139">
        <f>L87+M87+N87+O87</f>
        <v>464896.63821839995</v>
      </c>
      <c r="L87" s="139">
        <v>298621.08436799998</v>
      </c>
      <c r="M87" s="139">
        <v>64799.017190399994</v>
      </c>
      <c r="N87" s="139">
        <v>6351.2</v>
      </c>
      <c r="O87" s="139">
        <v>95125.336660000001</v>
      </c>
      <c r="P87" s="139">
        <f>K87+J87</f>
        <v>514824.19740639994</v>
      </c>
      <c r="Q87" s="139">
        <v>1009354.895688</v>
      </c>
      <c r="R87" s="139">
        <f>Q87-P87</f>
        <v>494530.69828160008</v>
      </c>
      <c r="S87" s="140">
        <f>F87-Q87</f>
        <v>2143178.480312</v>
      </c>
      <c r="T87" s="141"/>
      <c r="U87" s="139">
        <v>713213.22</v>
      </c>
      <c r="V87" s="139">
        <v>398712.84600000002</v>
      </c>
      <c r="W87" s="139">
        <v>0</v>
      </c>
      <c r="X87" s="124" t="str">
        <f>VLOOKUP(A87,[1]Consolidado!$A:$W,23,FALSE)</f>
        <v>Ejecutado Acumulado a May-16 $ 958.204.501
Ejecución para completar $ 2.144.328.875
Se factura tercera semana de junio/16  577 MCOP</v>
      </c>
      <c r="Y87" s="121"/>
      <c r="Z87" s="89"/>
      <c r="AA87" s="9"/>
      <c r="AB87" s="89"/>
      <c r="AC87" s="93"/>
      <c r="AD87" s="93"/>
      <c r="AE87" s="94"/>
      <c r="AF87" s="94"/>
      <c r="AG87" s="94"/>
      <c r="AH87" s="94"/>
      <c r="AI87" s="94"/>
      <c r="AJ87" s="94"/>
    </row>
    <row r="88" spans="1:36" s="27" customFormat="1" ht="69" customHeight="1" x14ac:dyDescent="0.25">
      <c r="A88" s="132" t="s">
        <v>261</v>
      </c>
      <c r="B88" s="133" t="s">
        <v>139</v>
      </c>
      <c r="C88" s="134" t="s">
        <v>140</v>
      </c>
      <c r="D88" s="135" t="s">
        <v>111</v>
      </c>
      <c r="E88" s="136" t="s">
        <v>262</v>
      </c>
      <c r="F88" s="137">
        <v>4421324.6050000004</v>
      </c>
      <c r="G88" s="138">
        <v>2990651.0320000001</v>
      </c>
      <c r="H88" s="139"/>
      <c r="I88" s="139">
        <f>(SUM(G88:H88))</f>
        <v>2990651.0320000001</v>
      </c>
      <c r="J88" s="139">
        <v>65365.662139200002</v>
      </c>
      <c r="K88" s="139">
        <f>L88+M88+N88+O88</f>
        <v>683285.91987320001</v>
      </c>
      <c r="L88" s="139">
        <v>268488.45808800001</v>
      </c>
      <c r="M88" s="139">
        <v>115664.8417752</v>
      </c>
      <c r="N88" s="139">
        <v>2191</v>
      </c>
      <c r="O88" s="139">
        <v>296941.62001000001</v>
      </c>
      <c r="P88" s="139">
        <f>K88+J88</f>
        <v>748651.58201240003</v>
      </c>
      <c r="Q88" s="139">
        <v>3056016.6941392003</v>
      </c>
      <c r="R88" s="139">
        <f>Q88-P88</f>
        <v>2307365.1121268002</v>
      </c>
      <c r="S88" s="140">
        <f>F88-Q88</f>
        <v>1365307.9108608002</v>
      </c>
      <c r="T88" s="141"/>
      <c r="U88" s="139">
        <v>917994.28726000001</v>
      </c>
      <c r="V88" s="139">
        <v>2072656.7447399998</v>
      </c>
      <c r="W88" s="139">
        <v>495525.50429000001</v>
      </c>
      <c r="X88" s="124" t="str">
        <f>VLOOKUP(A88,[1]Consolidado!$A:$W,23,FALSE)</f>
        <v>Ejecutado Acumulado Abr-16 $ 2.813.466.361
Se provisiona WIP del contrato base por $630 MCOP dividido en 7 meses iniciando May-16 con $90 MCOP.
WIP 2070 MCOP</v>
      </c>
      <c r="Y88" s="121"/>
      <c r="Z88" s="89"/>
      <c r="AA88" s="9"/>
      <c r="AB88" s="89"/>
      <c r="AC88" s="93"/>
      <c r="AD88" s="93"/>
      <c r="AE88" s="94"/>
      <c r="AF88" s="94"/>
      <c r="AG88" s="94"/>
      <c r="AH88" s="94"/>
      <c r="AI88" s="94"/>
      <c r="AJ88" s="94"/>
    </row>
    <row r="89" spans="1:36" s="27" customFormat="1" ht="69" customHeight="1" x14ac:dyDescent="0.25">
      <c r="A89" s="132" t="s">
        <v>263</v>
      </c>
      <c r="B89" s="133" t="s">
        <v>139</v>
      </c>
      <c r="C89" s="134" t="s">
        <v>140</v>
      </c>
      <c r="D89" s="135" t="s">
        <v>264</v>
      </c>
      <c r="E89" s="136" t="s">
        <v>236</v>
      </c>
      <c r="F89" s="137">
        <v>1584028.9879999999</v>
      </c>
      <c r="G89" s="138">
        <v>1384728.4891900001</v>
      </c>
      <c r="H89" s="139"/>
      <c r="I89" s="139">
        <f>(SUM(G89:H89))</f>
        <v>1384728.4891900001</v>
      </c>
      <c r="J89" s="139">
        <v>0</v>
      </c>
      <c r="K89" s="139">
        <f>L89+M89+N89+O89</f>
        <v>41656.440790000001</v>
      </c>
      <c r="L89" s="139">
        <v>39725.769</v>
      </c>
      <c r="M89" s="139">
        <v>0</v>
      </c>
      <c r="N89" s="139">
        <v>0</v>
      </c>
      <c r="O89" s="139">
        <v>1930.6717900000001</v>
      </c>
      <c r="P89" s="139">
        <f>K89+J89</f>
        <v>41656.440790000001</v>
      </c>
      <c r="Q89" s="139">
        <v>1352254.4621900001</v>
      </c>
      <c r="R89" s="139">
        <f>Q89-P89</f>
        <v>1310598.0214000002</v>
      </c>
      <c r="S89" s="140">
        <f>F89-Q89</f>
        <v>231774.52580999979</v>
      </c>
      <c r="T89" s="141"/>
      <c r="U89" s="139">
        <v>1384741.2993699999</v>
      </c>
      <c r="V89" s="139">
        <v>-12.810180000000001</v>
      </c>
      <c r="W89" s="139">
        <v>68864.201000000001</v>
      </c>
      <c r="X89" s="124" t="str">
        <f>VLOOKUP(A89,[1]Consolidado!$A:$W,23,FALSE)</f>
        <v>No información.</v>
      </c>
      <c r="Y89" s="121"/>
      <c r="Z89" s="89"/>
      <c r="AA89" s="9"/>
      <c r="AB89" s="89"/>
      <c r="AC89" s="93"/>
      <c r="AD89" s="93"/>
      <c r="AE89" s="94"/>
      <c r="AF89" s="94"/>
      <c r="AG89" s="94"/>
      <c r="AH89" s="94"/>
      <c r="AI89" s="94"/>
      <c r="AJ89" s="94"/>
    </row>
    <row r="90" spans="1:36" s="27" customFormat="1" ht="69" customHeight="1" x14ac:dyDescent="0.25">
      <c r="A90" s="132" t="s">
        <v>265</v>
      </c>
      <c r="B90" s="133" t="s">
        <v>139</v>
      </c>
      <c r="C90" s="134" t="s">
        <v>140</v>
      </c>
      <c r="D90" s="135" t="s">
        <v>264</v>
      </c>
      <c r="E90" s="136" t="s">
        <v>215</v>
      </c>
      <c r="F90" s="137">
        <v>5250779.0219999999</v>
      </c>
      <c r="G90" s="138">
        <v>5092878.7230000002</v>
      </c>
      <c r="H90" s="139"/>
      <c r="I90" s="139">
        <f>(SUM(G90:H90))</f>
        <v>5092878.7230000002</v>
      </c>
      <c r="J90" s="139">
        <v>2896.9939999999997</v>
      </c>
      <c r="K90" s="139">
        <f>L90+M90+N90+O90</f>
        <v>5808129.2158950008</v>
      </c>
      <c r="L90" s="139">
        <v>5487283.6678950004</v>
      </c>
      <c r="M90" s="139">
        <v>0</v>
      </c>
      <c r="N90" s="139">
        <v>0</v>
      </c>
      <c r="O90" s="139">
        <v>320845.54800000001</v>
      </c>
      <c r="P90" s="139">
        <f>K90+J90</f>
        <v>5811026.2098950008</v>
      </c>
      <c r="Q90" s="139">
        <v>5095775.7170000002</v>
      </c>
      <c r="R90" s="139">
        <f>Q90-P90</f>
        <v>-715250.49289500061</v>
      </c>
      <c r="S90" s="140">
        <f>F90-Q90</f>
        <v>155003.3049999997</v>
      </c>
      <c r="T90" s="141"/>
      <c r="U90" s="139">
        <v>5058779.0219999999</v>
      </c>
      <c r="V90" s="139">
        <v>0</v>
      </c>
      <c r="W90" s="139">
        <v>60747.194000000003</v>
      </c>
      <c r="X90" s="124" t="str">
        <f>VLOOKUP(A90,[1]Consolidado!$A:$W,23,FALSE)</f>
        <v>Adm: JV..</v>
      </c>
      <c r="Y90" s="121"/>
      <c r="Z90" s="89"/>
      <c r="AA90" s="9"/>
      <c r="AB90" s="89"/>
      <c r="AC90" s="93"/>
      <c r="AD90" s="93"/>
      <c r="AE90" s="94"/>
      <c r="AF90" s="94"/>
      <c r="AG90" s="94"/>
      <c r="AH90" s="94"/>
      <c r="AI90" s="94"/>
      <c r="AJ90" s="94"/>
    </row>
    <row r="91" spans="1:36" s="27" customFormat="1" ht="69" customHeight="1" x14ac:dyDescent="0.25">
      <c r="A91" s="132" t="s">
        <v>266</v>
      </c>
      <c r="B91" s="133" t="s">
        <v>139</v>
      </c>
      <c r="C91" s="134" t="s">
        <v>140</v>
      </c>
      <c r="D91" s="135" t="s">
        <v>264</v>
      </c>
      <c r="E91" s="136" t="s">
        <v>236</v>
      </c>
      <c r="F91" s="137">
        <v>0</v>
      </c>
      <c r="G91" s="138">
        <v>12751.752</v>
      </c>
      <c r="H91" s="139"/>
      <c r="I91" s="139">
        <f>(SUM(G91:H91))</f>
        <v>12751.752</v>
      </c>
      <c r="J91" s="139">
        <v>0</v>
      </c>
      <c r="K91" s="139">
        <f>L91+M91+N91+O91</f>
        <v>-72460.498925000007</v>
      </c>
      <c r="L91" s="139">
        <v>-19049.645925000001</v>
      </c>
      <c r="M91" s="139">
        <v>0</v>
      </c>
      <c r="N91" s="139">
        <v>600</v>
      </c>
      <c r="O91" s="139">
        <v>-54010.853000000003</v>
      </c>
      <c r="P91" s="139">
        <f>K91+J91</f>
        <v>-72460.498925000007</v>
      </c>
      <c r="Q91" s="139">
        <v>12751.752</v>
      </c>
      <c r="R91" s="139">
        <f>Q91-P91</f>
        <v>85212.250925</v>
      </c>
      <c r="S91" s="140">
        <f>F91-Q91</f>
        <v>-12751.752</v>
      </c>
      <c r="T91" s="141"/>
      <c r="U91" s="139">
        <v>0</v>
      </c>
      <c r="V91" s="139">
        <v>0</v>
      </c>
      <c r="W91" s="139">
        <v>0</v>
      </c>
      <c r="X91" s="124" t="str">
        <f>VLOOKUP(A91,[1]Consolidado!$A:$W,23,FALSE)</f>
        <v>No información.</v>
      </c>
      <c r="Y91" s="121"/>
      <c r="Z91" s="89"/>
      <c r="AA91" s="9"/>
      <c r="AB91" s="89"/>
      <c r="AC91" s="93"/>
      <c r="AD91" s="93"/>
      <c r="AE91" s="94"/>
      <c r="AF91" s="94"/>
      <c r="AG91" s="94"/>
      <c r="AH91" s="94"/>
      <c r="AI91" s="94"/>
      <c r="AJ91" s="94"/>
    </row>
    <row r="92" spans="1:36" s="27" customFormat="1" ht="69" customHeight="1" x14ac:dyDescent="0.25">
      <c r="A92" s="132" t="s">
        <v>267</v>
      </c>
      <c r="B92" s="133" t="s">
        <v>139</v>
      </c>
      <c r="C92" s="134" t="s">
        <v>140</v>
      </c>
      <c r="D92" s="135" t="s">
        <v>264</v>
      </c>
      <c r="E92" s="136" t="s">
        <v>215</v>
      </c>
      <c r="F92" s="137">
        <v>16530931.934</v>
      </c>
      <c r="G92" s="138">
        <v>12647582.490389999</v>
      </c>
      <c r="H92" s="139"/>
      <c r="I92" s="139">
        <f>(SUM(G92:H92))</f>
        <v>12647582.490389999</v>
      </c>
      <c r="J92" s="139">
        <v>134879.02499999999</v>
      </c>
      <c r="K92" s="139">
        <f>L92+M92+N92+O92</f>
        <v>11672060.790231999</v>
      </c>
      <c r="L92" s="139">
        <v>9008466.6676620003</v>
      </c>
      <c r="M92" s="139">
        <v>0</v>
      </c>
      <c r="N92" s="139">
        <v>11529.87</v>
      </c>
      <c r="O92" s="139">
        <v>2652064.25257</v>
      </c>
      <c r="P92" s="139">
        <f>K92+J92</f>
        <v>11806939.815231999</v>
      </c>
      <c r="Q92" s="139">
        <v>12782461.515389999</v>
      </c>
      <c r="R92" s="139">
        <f>Q92-P92</f>
        <v>975521.70015799999</v>
      </c>
      <c r="S92" s="140">
        <f>F92-Q92</f>
        <v>3748470.418610001</v>
      </c>
      <c r="T92" s="141"/>
      <c r="U92" s="139">
        <v>11900921.731000001</v>
      </c>
      <c r="V92" s="139">
        <v>721726.06799999997</v>
      </c>
      <c r="W92" s="139">
        <v>666344.0085</v>
      </c>
      <c r="X92" s="124" t="str">
        <f>VLOOKUP(A92,[1]Consolidado!$A:$W,23,FALSE)</f>
        <v>Adm: JV. Solicitar liberar a los consorciados 500MCOP.</v>
      </c>
      <c r="Y92" s="121"/>
      <c r="Z92" s="89"/>
      <c r="AA92" s="9"/>
      <c r="AB92" s="89"/>
      <c r="AC92" s="93"/>
      <c r="AD92" s="93"/>
      <c r="AE92" s="94"/>
      <c r="AF92" s="94"/>
      <c r="AG92" s="94"/>
      <c r="AH92" s="94"/>
      <c r="AI92" s="94"/>
      <c r="AJ92" s="94"/>
    </row>
    <row r="93" spans="1:36" s="27" customFormat="1" ht="69" customHeight="1" x14ac:dyDescent="0.25">
      <c r="A93" s="132" t="s">
        <v>268</v>
      </c>
      <c r="B93" s="133" t="s">
        <v>139</v>
      </c>
      <c r="C93" s="134" t="s">
        <v>140</v>
      </c>
      <c r="D93" s="135" t="s">
        <v>143</v>
      </c>
      <c r="E93" s="136" t="s">
        <v>150</v>
      </c>
      <c r="F93" s="137">
        <v>6000000</v>
      </c>
      <c r="G93" s="138">
        <v>5803762.0289500002</v>
      </c>
      <c r="H93" s="139"/>
      <c r="I93" s="139">
        <f>(SUM(G93:H93))</f>
        <v>5803762.0289500002</v>
      </c>
      <c r="J93" s="139">
        <v>175657.750784</v>
      </c>
      <c r="K93" s="139">
        <f>L93+M93+N93+O93</f>
        <v>3860096.9048327599</v>
      </c>
      <c r="L93" s="139">
        <v>412496.98836880003</v>
      </c>
      <c r="M93" s="139">
        <v>171505.62647396</v>
      </c>
      <c r="N93" s="139">
        <v>2378091.2236199998</v>
      </c>
      <c r="O93" s="139">
        <v>898003.0663699999</v>
      </c>
      <c r="P93" s="139">
        <f>K93+J93</f>
        <v>4035754.6556167598</v>
      </c>
      <c r="Q93" s="139">
        <v>5979419.7797340006</v>
      </c>
      <c r="R93" s="139">
        <f>Q93-P93</f>
        <v>1943665.1241172408</v>
      </c>
      <c r="S93" s="140">
        <f>F93-Q93</f>
        <v>20580.220265999436</v>
      </c>
      <c r="T93" s="141"/>
      <c r="U93" s="139">
        <v>5379385.3905500006</v>
      </c>
      <c r="V93" s="139">
        <v>338244.45030000003</v>
      </c>
      <c r="W93" s="139">
        <v>133964.71350000001</v>
      </c>
      <c r="X93" s="124" t="str">
        <f>VLOOKUP(A93,[1]Consolidado!$A:$W,23,FALSE)</f>
        <v>Adm: WSP
Recaudo de 250MCOP=&gt;Fue aprobado por parte de la EEB el Plan de Facturacion del Proyecto para su etapa de cierre. Se facturaron en el mes de Mayo $ 460 MCOP</v>
      </c>
      <c r="Y93" s="121"/>
      <c r="Z93" s="89"/>
      <c r="AA93" s="9"/>
      <c r="AB93" s="89"/>
      <c r="AC93" s="93"/>
      <c r="AD93" s="93"/>
      <c r="AE93" s="94"/>
      <c r="AF93" s="94"/>
      <c r="AG93" s="94"/>
      <c r="AH93" s="94"/>
      <c r="AI93" s="94"/>
      <c r="AJ93" s="94"/>
    </row>
    <row r="94" spans="1:36" s="27" customFormat="1" ht="69" customHeight="1" x14ac:dyDescent="0.25">
      <c r="A94" s="132" t="s">
        <v>269</v>
      </c>
      <c r="B94" s="133" t="s">
        <v>139</v>
      </c>
      <c r="C94" s="134" t="s">
        <v>140</v>
      </c>
      <c r="D94" s="135" t="s">
        <v>181</v>
      </c>
      <c r="E94" s="136" t="s">
        <v>270</v>
      </c>
      <c r="F94" s="137">
        <v>0</v>
      </c>
      <c r="G94" s="138">
        <v>-158244</v>
      </c>
      <c r="H94" s="139"/>
      <c r="I94" s="139">
        <f>(SUM(G94:H94))</f>
        <v>-158244</v>
      </c>
      <c r="J94" s="139">
        <v>6.5590000000000002</v>
      </c>
      <c r="K94" s="139">
        <f>L94+M94+N94+O94</f>
        <v>-11276.370999999999</v>
      </c>
      <c r="L94" s="139">
        <v>0</v>
      </c>
      <c r="M94" s="139">
        <v>0</v>
      </c>
      <c r="N94" s="139">
        <v>0</v>
      </c>
      <c r="O94" s="139">
        <v>-11276.370999999999</v>
      </c>
      <c r="P94" s="139">
        <f>K94+J94</f>
        <v>-11269.812</v>
      </c>
      <c r="Q94" s="139">
        <v>-158237.44099999999</v>
      </c>
      <c r="R94" s="139">
        <f>Q94-P94</f>
        <v>-146967.62899999999</v>
      </c>
      <c r="S94" s="140">
        <f>F94-Q94</f>
        <v>158237.44099999999</v>
      </c>
      <c r="T94" s="141"/>
      <c r="U94" s="139">
        <v>0</v>
      </c>
      <c r="V94" s="139">
        <v>390117.08399999997</v>
      </c>
      <c r="W94" s="139">
        <v>0</v>
      </c>
      <c r="X94" s="124" t="str">
        <f>VLOOKUP(A94,[1]Consolidado!$A:$W,23,FALSE)</f>
        <v>Adm: EDL
Proyecto en consorcio con EDL. Reunión con el ing. Herman Montenegro y Enrique Dávila en dos semanas.</v>
      </c>
      <c r="Y94" s="121"/>
      <c r="Z94" s="89"/>
      <c r="AA94" s="9"/>
      <c r="AB94" s="89"/>
      <c r="AC94" s="93"/>
      <c r="AD94" s="93"/>
      <c r="AE94" s="94"/>
      <c r="AF94" s="94"/>
      <c r="AG94" s="94"/>
      <c r="AH94" s="94"/>
      <c r="AI94" s="94"/>
      <c r="AJ94" s="94"/>
    </row>
    <row r="95" spans="1:36" s="27" customFormat="1" ht="69" customHeight="1" x14ac:dyDescent="0.25">
      <c r="A95" s="132" t="s">
        <v>271</v>
      </c>
      <c r="B95" s="133" t="s">
        <v>139</v>
      </c>
      <c r="C95" s="134" t="s">
        <v>140</v>
      </c>
      <c r="D95" s="135" t="s">
        <v>181</v>
      </c>
      <c r="E95" s="136" t="s">
        <v>206</v>
      </c>
      <c r="F95" s="137">
        <v>972291.33299999998</v>
      </c>
      <c r="G95" s="138">
        <v>972006.46499999997</v>
      </c>
      <c r="H95" s="139"/>
      <c r="I95" s="139">
        <f>(SUM(G95:H95))</f>
        <v>972006.46499999997</v>
      </c>
      <c r="J95" s="139">
        <v>0</v>
      </c>
      <c r="K95" s="139">
        <f>L95+M95+N95+O95</f>
        <v>548.05601999999999</v>
      </c>
      <c r="L95" s="139">
        <v>548.05601999999999</v>
      </c>
      <c r="M95" s="139">
        <v>0</v>
      </c>
      <c r="N95" s="139">
        <v>0</v>
      </c>
      <c r="O95" s="139">
        <v>0</v>
      </c>
      <c r="P95" s="139">
        <f>K95+J95</f>
        <v>548.05601999999999</v>
      </c>
      <c r="Q95" s="139">
        <v>972006.46499999997</v>
      </c>
      <c r="R95" s="139">
        <f>Q95-P95</f>
        <v>971458.40897999995</v>
      </c>
      <c r="S95" s="140">
        <f>F95-Q95</f>
        <v>284.86800000001676</v>
      </c>
      <c r="T95" s="141"/>
      <c r="U95" s="139">
        <v>933399.68</v>
      </c>
      <c r="V95" s="139">
        <v>38606.785000000003</v>
      </c>
      <c r="W95" s="139">
        <v>0</v>
      </c>
      <c r="X95" s="124" t="str">
        <f>VLOOKUP(A95,[1]Consolidado!$A:$W,23,FALSE)</f>
        <v>No información.</v>
      </c>
      <c r="Y95" s="121"/>
      <c r="Z95" s="89"/>
      <c r="AA95" s="9"/>
      <c r="AB95" s="89"/>
      <c r="AC95" s="93"/>
      <c r="AD95" s="93"/>
      <c r="AE95" s="94"/>
      <c r="AF95" s="94"/>
      <c r="AG95" s="94"/>
      <c r="AH95" s="94"/>
      <c r="AI95" s="94"/>
      <c r="AJ95" s="94"/>
    </row>
    <row r="96" spans="1:36" s="27" customFormat="1" ht="69" customHeight="1" x14ac:dyDescent="0.25">
      <c r="A96" s="132" t="s">
        <v>272</v>
      </c>
      <c r="B96" s="133" t="s">
        <v>139</v>
      </c>
      <c r="C96" s="134" t="s">
        <v>140</v>
      </c>
      <c r="D96" s="135" t="s">
        <v>181</v>
      </c>
      <c r="E96" s="136" t="s">
        <v>273</v>
      </c>
      <c r="F96" s="137">
        <v>4831646.5480000004</v>
      </c>
      <c r="G96" s="138">
        <v>2018283.7448699998</v>
      </c>
      <c r="H96" s="139"/>
      <c r="I96" s="139">
        <f>(SUM(G96:H96))</f>
        <v>2018283.7448699998</v>
      </c>
      <c r="J96" s="139">
        <v>12205.379000000001</v>
      </c>
      <c r="K96" s="139">
        <f>L96+M96+N96+O96</f>
        <v>409257.49605000002</v>
      </c>
      <c r="L96" s="139">
        <v>90955.598429999998</v>
      </c>
      <c r="M96" s="139">
        <v>0</v>
      </c>
      <c r="N96" s="139">
        <v>154997.217</v>
      </c>
      <c r="O96" s="139">
        <v>163304.68062</v>
      </c>
      <c r="P96" s="139">
        <f>K96+J96</f>
        <v>421462.87505000003</v>
      </c>
      <c r="Q96" s="139">
        <v>2030489.1238699998</v>
      </c>
      <c r="R96" s="139">
        <f>Q96-P96</f>
        <v>1609026.2488199999</v>
      </c>
      <c r="S96" s="140">
        <f>F96-Q96</f>
        <v>2801157.4241300006</v>
      </c>
      <c r="T96" s="141"/>
      <c r="U96" s="139">
        <v>2056166.2974200002</v>
      </c>
      <c r="V96" s="139">
        <v>-37882.55255</v>
      </c>
      <c r="W96" s="139">
        <v>187581.57199999999</v>
      </c>
      <c r="X96" s="124" t="str">
        <f>VLOOKUP(A96,[1]Consolidado!$A:$W,23,FALSE)</f>
        <v>Demora en aprobación informes mensuales para facturación por parte del FONDO ADAPTACION e INVIAS.</v>
      </c>
      <c r="Y96" s="121"/>
      <c r="Z96" s="89"/>
      <c r="AA96" s="9"/>
      <c r="AB96" s="89"/>
      <c r="AC96" s="93"/>
      <c r="AD96" s="93"/>
      <c r="AE96" s="94"/>
      <c r="AF96" s="94"/>
      <c r="AG96" s="94"/>
      <c r="AH96" s="94"/>
      <c r="AI96" s="94"/>
      <c r="AJ96" s="94"/>
    </row>
    <row r="97" spans="1:36" s="27" customFormat="1" ht="69" customHeight="1" x14ac:dyDescent="0.25">
      <c r="A97" s="132" t="s">
        <v>274</v>
      </c>
      <c r="B97" s="133" t="s">
        <v>139</v>
      </c>
      <c r="C97" s="134" t="s">
        <v>140</v>
      </c>
      <c r="D97" s="135" t="s">
        <v>111</v>
      </c>
      <c r="E97" s="136" t="s">
        <v>141</v>
      </c>
      <c r="F97" s="137">
        <v>1287001.7390000001</v>
      </c>
      <c r="G97" s="138">
        <v>1131533.571</v>
      </c>
      <c r="H97" s="139"/>
      <c r="I97" s="139">
        <f>(SUM(G97:H97))</f>
        <v>1131533.571</v>
      </c>
      <c r="J97" s="139">
        <v>773.971</v>
      </c>
      <c r="K97" s="139">
        <f>L97+M97+N97+O97</f>
        <v>655206.04693760001</v>
      </c>
      <c r="L97" s="139">
        <v>651102.63514799997</v>
      </c>
      <c r="M97" s="139">
        <v>482.47578959999998</v>
      </c>
      <c r="N97" s="139">
        <v>0</v>
      </c>
      <c r="O97" s="139">
        <v>3620.9360000000001</v>
      </c>
      <c r="P97" s="139">
        <f>K97+J97</f>
        <v>655980.01793760003</v>
      </c>
      <c r="Q97" s="139">
        <v>1132307.5419999999</v>
      </c>
      <c r="R97" s="139">
        <f>Q97-P97</f>
        <v>476327.52406239987</v>
      </c>
      <c r="S97" s="140">
        <f>F97-Q97</f>
        <v>154694.19700000016</v>
      </c>
      <c r="T97" s="141"/>
      <c r="U97" s="139">
        <v>691369.08550000004</v>
      </c>
      <c r="V97" s="139">
        <v>51842.678</v>
      </c>
      <c r="W97" s="139">
        <v>1311738.5689999999</v>
      </c>
      <c r="X97" s="124" t="str">
        <f>VLOOKUP(A97,[1]Consolidado!$A:$W,23,FALSE)</f>
        <v>Adm: JV.
Ejecutado Acumulado May-16 $ 1.194.286.991
Se facturará en en junio 25 MCOP</v>
      </c>
      <c r="Y97" s="121"/>
      <c r="Z97" s="89"/>
      <c r="AA97" s="9"/>
      <c r="AB97" s="89"/>
      <c r="AC97" s="93"/>
      <c r="AD97" s="93"/>
      <c r="AE97" s="94"/>
      <c r="AF97" s="94"/>
      <c r="AG97" s="94"/>
      <c r="AH97" s="94"/>
      <c r="AI97" s="94"/>
      <c r="AJ97" s="94"/>
    </row>
    <row r="98" spans="1:36" s="27" customFormat="1" ht="69" customHeight="1" x14ac:dyDescent="0.25">
      <c r="A98" s="132" t="s">
        <v>275</v>
      </c>
      <c r="B98" s="133" t="s">
        <v>139</v>
      </c>
      <c r="C98" s="134" t="s">
        <v>140</v>
      </c>
      <c r="D98" s="135" t="s">
        <v>181</v>
      </c>
      <c r="E98" s="136" t="s">
        <v>273</v>
      </c>
      <c r="F98" s="137">
        <v>5027335</v>
      </c>
      <c r="G98" s="138">
        <v>2981721.3845000002</v>
      </c>
      <c r="H98" s="139"/>
      <c r="I98" s="139">
        <f>(SUM(G98:H98))</f>
        <v>2981721.3845000002</v>
      </c>
      <c r="J98" s="139">
        <v>107564.514</v>
      </c>
      <c r="K98" s="139">
        <f>L98+M98+N98+O98</f>
        <v>2084334.2943599999</v>
      </c>
      <c r="L98" s="139">
        <v>1096257.3964200001</v>
      </c>
      <c r="M98" s="139">
        <v>0</v>
      </c>
      <c r="N98" s="139">
        <v>27644.422999999999</v>
      </c>
      <c r="O98" s="139">
        <v>960432.47493999987</v>
      </c>
      <c r="P98" s="139">
        <f>K98+J98</f>
        <v>2191898.8083600001</v>
      </c>
      <c r="Q98" s="139">
        <v>3089285.8985000001</v>
      </c>
      <c r="R98" s="139">
        <f>Q98-P98</f>
        <v>897387.09013999999</v>
      </c>
      <c r="S98" s="140">
        <f>F98-Q98</f>
        <v>1938049.1014999999</v>
      </c>
      <c r="T98" s="141"/>
      <c r="U98" s="139">
        <v>2569813.6614999999</v>
      </c>
      <c r="V98" s="139">
        <v>154753.31849999999</v>
      </c>
      <c r="W98" s="139">
        <v>340519.39369999996</v>
      </c>
      <c r="X98" s="124" t="str">
        <f>VLOOKUP(A98,[1]Consolidado!$A:$W,23,FALSE)</f>
        <v>Adm:  WSP
Convocar a reunión directiva para distribución de tesorería.</v>
      </c>
      <c r="Y98" s="121"/>
      <c r="Z98" s="89"/>
      <c r="AA98" s="9"/>
      <c r="AB98" s="89"/>
      <c r="AC98" s="93"/>
      <c r="AD98" s="93"/>
      <c r="AE98" s="94"/>
      <c r="AF98" s="94"/>
      <c r="AG98" s="94"/>
      <c r="AH98" s="94"/>
      <c r="AI98" s="94"/>
      <c r="AJ98" s="94"/>
    </row>
    <row r="99" spans="1:36" s="27" customFormat="1" ht="69" customHeight="1" x14ac:dyDescent="0.25">
      <c r="A99" s="132" t="s">
        <v>276</v>
      </c>
      <c r="B99" s="133" t="s">
        <v>139</v>
      </c>
      <c r="C99" s="134" t="s">
        <v>140</v>
      </c>
      <c r="D99" s="135" t="s">
        <v>181</v>
      </c>
      <c r="E99" s="136" t="s">
        <v>270</v>
      </c>
      <c r="F99" s="137">
        <v>1335086.6710000001</v>
      </c>
      <c r="G99" s="138">
        <v>2084584.4080000001</v>
      </c>
      <c r="H99" s="139"/>
      <c r="I99" s="139">
        <f>(SUM(G99:H99))</f>
        <v>2084584.4080000001</v>
      </c>
      <c r="J99" s="139">
        <v>11032.6</v>
      </c>
      <c r="K99" s="139">
        <f>L99+M99+N99+O99</f>
        <v>1986763.9575</v>
      </c>
      <c r="L99" s="139">
        <v>559031.41350000002</v>
      </c>
      <c r="M99" s="139">
        <v>0</v>
      </c>
      <c r="N99" s="139">
        <v>0</v>
      </c>
      <c r="O99" s="139">
        <v>1427732.544</v>
      </c>
      <c r="P99" s="139">
        <f>K99+J99</f>
        <v>1997796.5575000001</v>
      </c>
      <c r="Q99" s="139">
        <v>2095617.0080000001</v>
      </c>
      <c r="R99" s="139">
        <f>Q99-P99</f>
        <v>97820.450500000035</v>
      </c>
      <c r="S99" s="140">
        <f>F99-Q99</f>
        <v>-760530.33700000006</v>
      </c>
      <c r="T99" s="141"/>
      <c r="U99" s="139">
        <v>1335086.6709999999</v>
      </c>
      <c r="V99" s="139">
        <v>0</v>
      </c>
      <c r="W99" s="139">
        <v>0</v>
      </c>
      <c r="X99" s="124" t="str">
        <f>VLOOKUP(A99,[1]Consolidado!$A:$W,23,FALSE)</f>
        <v>No información.</v>
      </c>
      <c r="Y99" s="121"/>
      <c r="Z99" s="89"/>
      <c r="AA99" s="9"/>
      <c r="AB99" s="89"/>
      <c r="AC99" s="93"/>
      <c r="AD99" s="93"/>
      <c r="AE99" s="94"/>
      <c r="AF99" s="94"/>
      <c r="AG99" s="94"/>
      <c r="AH99" s="94"/>
      <c r="AI99" s="94"/>
      <c r="AJ99" s="94"/>
    </row>
    <row r="100" spans="1:36" s="27" customFormat="1" ht="69" customHeight="1" x14ac:dyDescent="0.25">
      <c r="A100" s="132" t="s">
        <v>277</v>
      </c>
      <c r="B100" s="133" t="s">
        <v>139</v>
      </c>
      <c r="C100" s="134" t="s">
        <v>140</v>
      </c>
      <c r="D100" s="135" t="s">
        <v>181</v>
      </c>
      <c r="E100" s="136" t="s">
        <v>270</v>
      </c>
      <c r="F100" s="137">
        <v>0</v>
      </c>
      <c r="G100" s="138">
        <v>0</v>
      </c>
      <c r="H100" s="139"/>
      <c r="I100" s="139">
        <f>(SUM(G100:H100))</f>
        <v>0</v>
      </c>
      <c r="J100" s="139">
        <v>0</v>
      </c>
      <c r="K100" s="139">
        <f>L100+M100+N100+O100</f>
        <v>-2371.8739999999998</v>
      </c>
      <c r="L100" s="139">
        <v>0</v>
      </c>
      <c r="M100" s="139">
        <v>0</v>
      </c>
      <c r="N100" s="139">
        <v>0</v>
      </c>
      <c r="O100" s="139">
        <v>-2371.8739999999998</v>
      </c>
      <c r="P100" s="139">
        <f>K100+J100</f>
        <v>-2371.8739999999998</v>
      </c>
      <c r="Q100" s="139">
        <v>0</v>
      </c>
      <c r="R100" s="139">
        <f>Q100-P100</f>
        <v>2371.8739999999998</v>
      </c>
      <c r="S100" s="140">
        <f>F100-Q100</f>
        <v>0</v>
      </c>
      <c r="T100" s="141"/>
      <c r="U100" s="139">
        <v>0</v>
      </c>
      <c r="V100" s="139">
        <v>0</v>
      </c>
      <c r="W100" s="139">
        <v>0</v>
      </c>
      <c r="X100" s="124" t="str">
        <f>VLOOKUP(A100,[1]Consolidado!$A:$W,23,FALSE)</f>
        <v>No información.</v>
      </c>
      <c r="Y100" s="121"/>
      <c r="Z100" s="89"/>
      <c r="AA100" s="9"/>
      <c r="AB100" s="89"/>
      <c r="AC100" s="93"/>
      <c r="AD100" s="93"/>
      <c r="AE100" s="94"/>
      <c r="AF100" s="94"/>
      <c r="AG100" s="94"/>
      <c r="AH100" s="94"/>
      <c r="AI100" s="94"/>
      <c r="AJ100" s="94"/>
    </row>
    <row r="101" spans="1:36" s="27" customFormat="1" ht="69" customHeight="1" x14ac:dyDescent="0.25">
      <c r="A101" s="132" t="s">
        <v>278</v>
      </c>
      <c r="B101" s="133" t="s">
        <v>139</v>
      </c>
      <c r="C101" s="134" t="s">
        <v>140</v>
      </c>
      <c r="D101" s="135" t="s">
        <v>181</v>
      </c>
      <c r="E101" s="136" t="s">
        <v>279</v>
      </c>
      <c r="F101" s="137">
        <v>0</v>
      </c>
      <c r="G101" s="138">
        <v>51683.692049999998</v>
      </c>
      <c r="H101" s="139"/>
      <c r="I101" s="139">
        <f>(SUM(G101:H101))</f>
        <v>51683.692049999998</v>
      </c>
      <c r="J101" s="139">
        <v>0</v>
      </c>
      <c r="K101" s="139">
        <f>L101+M101+N101+O101</f>
        <v>120894.73584000001</v>
      </c>
      <c r="L101" s="139">
        <v>2176.5</v>
      </c>
      <c r="M101" s="139">
        <v>0</v>
      </c>
      <c r="N101" s="139">
        <v>24802.727999999999</v>
      </c>
      <c r="O101" s="139">
        <v>93915.507840000006</v>
      </c>
      <c r="P101" s="139">
        <f>K101+J101</f>
        <v>120894.73584000001</v>
      </c>
      <c r="Q101" s="139">
        <v>51683.692049999998</v>
      </c>
      <c r="R101" s="139">
        <f>Q101-P101</f>
        <v>-69211.043790000011</v>
      </c>
      <c r="S101" s="140">
        <f>F101-Q101</f>
        <v>-51683.692049999998</v>
      </c>
      <c r="T101" s="141"/>
      <c r="U101" s="139">
        <v>0</v>
      </c>
      <c r="V101" s="139">
        <v>0</v>
      </c>
      <c r="W101" s="139">
        <v>0</v>
      </c>
      <c r="X101" s="124" t="str">
        <f>VLOOKUP(A101,[1]Consolidado!$A:$W,23,FALSE)</f>
        <v>Proyecto de PB que no habían finalizado y tienen saldo, frente a esto se realizó una provisión que iría contra la compra de DESSAU-CEI.</v>
      </c>
      <c r="Y101" s="121"/>
      <c r="Z101" s="89"/>
      <c r="AA101" s="9"/>
      <c r="AB101" s="89"/>
      <c r="AC101" s="93"/>
      <c r="AD101" s="93"/>
      <c r="AE101" s="94"/>
      <c r="AF101" s="94"/>
      <c r="AG101" s="94"/>
      <c r="AH101" s="94"/>
      <c r="AI101" s="94"/>
      <c r="AJ101" s="94"/>
    </row>
    <row r="102" spans="1:36" s="27" customFormat="1" ht="69" customHeight="1" x14ac:dyDescent="0.25">
      <c r="A102" s="132" t="s">
        <v>280</v>
      </c>
      <c r="B102" s="133" t="s">
        <v>139</v>
      </c>
      <c r="C102" s="134" t="s">
        <v>140</v>
      </c>
      <c r="D102" s="135" t="s">
        <v>264</v>
      </c>
      <c r="E102" s="136" t="s">
        <v>215</v>
      </c>
      <c r="F102" s="137">
        <v>0</v>
      </c>
      <c r="G102" s="138">
        <v>0</v>
      </c>
      <c r="H102" s="139"/>
      <c r="I102" s="139">
        <f>(SUM(G102:H102))</f>
        <v>0</v>
      </c>
      <c r="J102" s="139">
        <v>0</v>
      </c>
      <c r="K102" s="139">
        <f>L102+M102+N102+O102</f>
        <v>0</v>
      </c>
      <c r="L102" s="139">
        <v>0</v>
      </c>
      <c r="M102" s="139">
        <v>0</v>
      </c>
      <c r="N102" s="139">
        <v>0</v>
      </c>
      <c r="O102" s="139">
        <v>0</v>
      </c>
      <c r="P102" s="139">
        <f>K102+J102</f>
        <v>0</v>
      </c>
      <c r="Q102" s="139">
        <v>0</v>
      </c>
      <c r="R102" s="139">
        <f>Q102-P102</f>
        <v>0</v>
      </c>
      <c r="S102" s="140">
        <f>F102-Q102</f>
        <v>0</v>
      </c>
      <c r="T102" s="141"/>
      <c r="U102" s="139">
        <v>0</v>
      </c>
      <c r="V102" s="139">
        <v>0</v>
      </c>
      <c r="W102" s="139">
        <v>0</v>
      </c>
      <c r="X102" s="124" t="str">
        <f>VLOOKUP(A102,[1]Consolidado!$A:$W,23,FALSE)</f>
        <v>No información.</v>
      </c>
      <c r="Y102" s="121"/>
      <c r="Z102" s="89"/>
      <c r="AA102" s="9"/>
      <c r="AB102" s="89"/>
      <c r="AC102" s="93"/>
      <c r="AD102" s="93"/>
      <c r="AE102" s="94"/>
      <c r="AF102" s="94"/>
      <c r="AG102" s="94"/>
      <c r="AH102" s="94"/>
      <c r="AI102" s="94"/>
      <c r="AJ102" s="94"/>
    </row>
    <row r="103" spans="1:36" s="27" customFormat="1" ht="69" customHeight="1" x14ac:dyDescent="0.25">
      <c r="A103" s="132" t="s">
        <v>281</v>
      </c>
      <c r="B103" s="133" t="s">
        <v>139</v>
      </c>
      <c r="C103" s="134" t="s">
        <v>140</v>
      </c>
      <c r="D103" s="135" t="s">
        <v>143</v>
      </c>
      <c r="E103" s="136" t="s">
        <v>200</v>
      </c>
      <c r="F103" s="137">
        <v>707936.45799999998</v>
      </c>
      <c r="G103" s="138">
        <v>282083.821</v>
      </c>
      <c r="H103" s="139"/>
      <c r="I103" s="139">
        <f>(SUM(G103:H103))</f>
        <v>282083.821</v>
      </c>
      <c r="J103" s="139">
        <v>108496.47112704001</v>
      </c>
      <c r="K103" s="139">
        <f>L103+M103+N103+O103</f>
        <v>450484.43358925998</v>
      </c>
      <c r="L103" s="139">
        <v>103066.37473859999</v>
      </c>
      <c r="M103" s="139">
        <v>251951.51908065999</v>
      </c>
      <c r="N103" s="139">
        <v>10345</v>
      </c>
      <c r="O103" s="139">
        <v>85121.539770000003</v>
      </c>
      <c r="P103" s="139">
        <f>K103+J103</f>
        <v>558980.90471629996</v>
      </c>
      <c r="Q103" s="139">
        <v>390580.29212703998</v>
      </c>
      <c r="R103" s="139">
        <f>Q103-P103</f>
        <v>-168400.61258925998</v>
      </c>
      <c r="S103" s="140">
        <f>F103-Q103</f>
        <v>317356.16587296</v>
      </c>
      <c r="T103" s="141"/>
      <c r="U103" s="139">
        <v>332115.94</v>
      </c>
      <c r="V103" s="139">
        <v>-50032.118999999999</v>
      </c>
      <c r="W103" s="139">
        <v>84044.572</v>
      </c>
      <c r="X103" s="124" t="str">
        <f>VLOOKUP(A103,[1]Consolidado!$A:$W,23,FALSE)</f>
        <v xml:space="preserve">Proyecto en ejecución OK. Cartera corriente se debe revisar valor reportado </v>
      </c>
      <c r="Y103" s="121"/>
      <c r="Z103" s="89"/>
      <c r="AA103" s="9"/>
      <c r="AB103" s="89"/>
      <c r="AC103" s="93"/>
      <c r="AD103" s="93"/>
      <c r="AE103" s="94"/>
      <c r="AF103" s="94"/>
      <c r="AG103" s="94"/>
      <c r="AH103" s="94"/>
      <c r="AI103" s="94"/>
      <c r="AJ103" s="94"/>
    </row>
    <row r="104" spans="1:36" s="27" customFormat="1" ht="69" customHeight="1" x14ac:dyDescent="0.25">
      <c r="A104" s="132" t="s">
        <v>282</v>
      </c>
      <c r="B104" s="133" t="s">
        <v>139</v>
      </c>
      <c r="C104" s="134" t="s">
        <v>147</v>
      </c>
      <c r="D104" s="135" t="s">
        <v>143</v>
      </c>
      <c r="E104" s="136" t="s">
        <v>174</v>
      </c>
      <c r="F104" s="137">
        <v>810000</v>
      </c>
      <c r="G104" s="138">
        <v>521630.68699999998</v>
      </c>
      <c r="H104" s="139"/>
      <c r="I104" s="139">
        <f>(SUM(G104:H104))</f>
        <v>521630.68699999998</v>
      </c>
      <c r="J104" s="139">
        <v>114920.24911688</v>
      </c>
      <c r="K104" s="139">
        <f>L104+M104+N104+O104</f>
        <v>612684.12008892</v>
      </c>
      <c r="L104" s="139">
        <v>180842.67306600002</v>
      </c>
      <c r="M104" s="139">
        <v>255089.35949291999</v>
      </c>
      <c r="N104" s="139">
        <v>6222.9</v>
      </c>
      <c r="O104" s="139">
        <v>170529.18753</v>
      </c>
      <c r="P104" s="139">
        <f>K104+J104</f>
        <v>727604.3692058</v>
      </c>
      <c r="Q104" s="139">
        <v>636550.93611687992</v>
      </c>
      <c r="R104" s="139">
        <f>Q104-P104</f>
        <v>-91053.433088920079</v>
      </c>
      <c r="S104" s="140">
        <f>F104-Q104</f>
        <v>173449.06388312008</v>
      </c>
      <c r="T104" s="141"/>
      <c r="U104" s="139">
        <v>719185.07299999997</v>
      </c>
      <c r="V104" s="139">
        <v>-197554.386</v>
      </c>
      <c r="W104" s="139">
        <v>147189.47441</v>
      </c>
      <c r="X104" s="124" t="str">
        <f>VLOOKUP(A104,[1]Consolidado!$A:$W,23,FALSE)</f>
        <v>No información.</v>
      </c>
      <c r="Y104" s="121"/>
      <c r="Z104" s="89"/>
      <c r="AA104" s="9"/>
      <c r="AB104" s="89"/>
      <c r="AC104" s="93"/>
      <c r="AD104" s="93"/>
      <c r="AE104" s="94"/>
      <c r="AF104" s="94"/>
      <c r="AG104" s="94"/>
      <c r="AH104" s="94"/>
      <c r="AI104" s="94"/>
      <c r="AJ104" s="94"/>
    </row>
    <row r="105" spans="1:36" s="27" customFormat="1" ht="69" customHeight="1" x14ac:dyDescent="0.25">
      <c r="A105" s="132" t="s">
        <v>283</v>
      </c>
      <c r="B105" s="133" t="s">
        <v>139</v>
      </c>
      <c r="C105" s="134" t="s">
        <v>140</v>
      </c>
      <c r="D105" s="135" t="s">
        <v>181</v>
      </c>
      <c r="E105" s="136" t="s">
        <v>206</v>
      </c>
      <c r="F105" s="137">
        <v>1760328.0719999999</v>
      </c>
      <c r="G105" s="138">
        <v>1448564.0325000002</v>
      </c>
      <c r="H105" s="139"/>
      <c r="I105" s="139">
        <f>(SUM(G105:H105))</f>
        <v>1448564.0325000002</v>
      </c>
      <c r="J105" s="139">
        <v>2187.4642097999995</v>
      </c>
      <c r="K105" s="139">
        <f>L105+M105+N105+O105</f>
        <v>882476.73905450013</v>
      </c>
      <c r="L105" s="139">
        <v>213070.24190299999</v>
      </c>
      <c r="M105" s="139">
        <v>18530.0583415</v>
      </c>
      <c r="N105" s="139">
        <v>791886.50800000003</v>
      </c>
      <c r="O105" s="139">
        <v>-141010.06918999998</v>
      </c>
      <c r="P105" s="139">
        <f>K105+J105</f>
        <v>884664.20326430013</v>
      </c>
      <c r="Q105" s="139">
        <v>1450751.4967098001</v>
      </c>
      <c r="R105" s="139">
        <f>Q105-P105</f>
        <v>566087.29344549996</v>
      </c>
      <c r="S105" s="140">
        <f>F105-Q105</f>
        <v>309576.57529019983</v>
      </c>
      <c r="T105" s="141"/>
      <c r="U105" s="139">
        <v>1232229.6504000002</v>
      </c>
      <c r="V105" s="139">
        <v>216334.38210000002</v>
      </c>
      <c r="W105" s="139">
        <v>621926.66601000004</v>
      </c>
      <c r="X105" s="124" t="str">
        <f>VLOOKUP(A105,[1]Consolidado!$A:$W,23,FALSE)</f>
        <v>Gestionar el cobro de 621MCOP antes de Fin de mes.23/05/16 confirmó un pago por $400MM  el valor restante a finales de junio.</v>
      </c>
      <c r="Y105" s="121"/>
      <c r="Z105" s="89"/>
      <c r="AA105" s="9"/>
      <c r="AB105" s="89"/>
      <c r="AC105" s="93"/>
      <c r="AD105" s="93"/>
      <c r="AE105" s="94"/>
      <c r="AF105" s="94"/>
      <c r="AG105" s="94"/>
      <c r="AH105" s="94"/>
      <c r="AI105" s="94"/>
      <c r="AJ105" s="94"/>
    </row>
    <row r="106" spans="1:36" s="27" customFormat="1" ht="69" customHeight="1" x14ac:dyDescent="0.25">
      <c r="A106" s="132" t="s">
        <v>284</v>
      </c>
      <c r="B106" s="133" t="s">
        <v>139</v>
      </c>
      <c r="C106" s="134" t="s">
        <v>140</v>
      </c>
      <c r="D106" s="135" t="s">
        <v>181</v>
      </c>
      <c r="E106" s="136" t="s">
        <v>285</v>
      </c>
      <c r="F106" s="137">
        <v>4741379.3093500007</v>
      </c>
      <c r="G106" s="138">
        <v>4131794.5348399999</v>
      </c>
      <c r="H106" s="139"/>
      <c r="I106" s="139">
        <f>(SUM(G106:H106))</f>
        <v>4131794.5348399999</v>
      </c>
      <c r="J106" s="139">
        <v>157581.45577639999</v>
      </c>
      <c r="K106" s="139">
        <f>L106+M106+N106+O106</f>
        <v>3721910.5950986999</v>
      </c>
      <c r="L106" s="139">
        <v>481352.96666499996</v>
      </c>
      <c r="M106" s="139">
        <v>367574.3774537</v>
      </c>
      <c r="N106" s="139">
        <v>2803653.3820000002</v>
      </c>
      <c r="O106" s="139">
        <v>69329.868979999999</v>
      </c>
      <c r="P106" s="139">
        <f>K106+J106</f>
        <v>3879492.0508750998</v>
      </c>
      <c r="Q106" s="139">
        <v>4289375.9906163998</v>
      </c>
      <c r="R106" s="139">
        <f>Q106-P106</f>
        <v>409883.93974129995</v>
      </c>
      <c r="S106" s="140">
        <f>F106-Q106</f>
        <v>452003.3187336009</v>
      </c>
      <c r="T106" s="141"/>
      <c r="U106" s="139">
        <v>3015166.18952</v>
      </c>
      <c r="V106" s="139">
        <v>1116628.3453200001</v>
      </c>
      <c r="W106" s="139">
        <v>798022.26497000002</v>
      </c>
      <c r="X106" s="124" t="str">
        <f>VLOOKUP(A106,[1]Consolidado!$A:$W,23,FALSE)</f>
        <v>Se factura en mayo $570M consultoría y $270M Perforaciones para mediados de Junio.</v>
      </c>
      <c r="Y106" s="121"/>
      <c r="Z106" s="89"/>
      <c r="AA106" s="9"/>
      <c r="AB106" s="89"/>
      <c r="AC106" s="93"/>
      <c r="AD106" s="93"/>
      <c r="AE106" s="94"/>
      <c r="AF106" s="94"/>
      <c r="AG106" s="94"/>
      <c r="AH106" s="94"/>
      <c r="AI106" s="94"/>
      <c r="AJ106" s="94"/>
    </row>
    <row r="107" spans="1:36" s="27" customFormat="1" ht="69" customHeight="1" x14ac:dyDescent="0.25">
      <c r="A107" s="132" t="s">
        <v>286</v>
      </c>
      <c r="B107" s="133" t="s">
        <v>139</v>
      </c>
      <c r="C107" s="134" t="s">
        <v>110</v>
      </c>
      <c r="D107" s="135" t="s">
        <v>143</v>
      </c>
      <c r="E107" s="136" t="s">
        <v>185</v>
      </c>
      <c r="F107" s="137">
        <v>120415.49099999999</v>
      </c>
      <c r="G107" s="138">
        <v>30648.466499999999</v>
      </c>
      <c r="H107" s="139"/>
      <c r="I107" s="139">
        <f>(SUM(G107:H107))</f>
        <v>30648.466499999999</v>
      </c>
      <c r="J107" s="139">
        <v>37842.4953475</v>
      </c>
      <c r="K107" s="139">
        <f>L107+M107+N107+O107</f>
        <v>15050.568032499999</v>
      </c>
      <c r="L107" s="139">
        <v>7371.3258249999999</v>
      </c>
      <c r="M107" s="139">
        <v>19962.072807500001</v>
      </c>
      <c r="N107" s="139">
        <v>-16258.099000000002</v>
      </c>
      <c r="O107" s="139">
        <v>3975.2683999999999</v>
      </c>
      <c r="P107" s="139">
        <f>K107+J107</f>
        <v>52893.06338</v>
      </c>
      <c r="Q107" s="139">
        <v>68490.961847500002</v>
      </c>
      <c r="R107" s="139">
        <f>Q107-P107</f>
        <v>15597.898467500003</v>
      </c>
      <c r="S107" s="140">
        <f>F107-Q107</f>
        <v>51924.529152499992</v>
      </c>
      <c r="T107" s="141"/>
      <c r="U107" s="139">
        <v>24220.141</v>
      </c>
      <c r="V107" s="139">
        <v>6428.3254999999999</v>
      </c>
      <c r="W107" s="139">
        <v>0</v>
      </c>
      <c r="X107" s="124" t="str">
        <f>VLOOKUP(A107,[1]Consolidado!$A:$W,23,FALSE)</f>
        <v>El Gerente de Proyecto cambió en Junio; la infraejecución corresponde a la facturación de costos reembolsables que no se están registrando como ingresos operativos.</v>
      </c>
      <c r="Y107" s="121"/>
      <c r="Z107" s="89"/>
      <c r="AA107" s="9"/>
      <c r="AB107" s="89"/>
      <c r="AC107" s="93"/>
      <c r="AD107" s="93"/>
      <c r="AE107" s="94"/>
      <c r="AF107" s="94"/>
      <c r="AG107" s="94"/>
      <c r="AH107" s="94"/>
      <c r="AI107" s="94"/>
      <c r="AJ107" s="94"/>
    </row>
    <row r="108" spans="1:36" s="27" customFormat="1" ht="69" customHeight="1" x14ac:dyDescent="0.25">
      <c r="A108" s="132" t="s">
        <v>287</v>
      </c>
      <c r="B108" s="133" t="s">
        <v>139</v>
      </c>
      <c r="C108" s="134" t="s">
        <v>140</v>
      </c>
      <c r="D108" s="135" t="s">
        <v>143</v>
      </c>
      <c r="E108" s="136" t="s">
        <v>177</v>
      </c>
      <c r="F108" s="137">
        <v>62000</v>
      </c>
      <c r="G108" s="138">
        <v>60771.623</v>
      </c>
      <c r="H108" s="139"/>
      <c r="I108" s="139">
        <f>(SUM(G108:H108))</f>
        <v>60771.623</v>
      </c>
      <c r="J108" s="139">
        <v>514.56736749999993</v>
      </c>
      <c r="K108" s="139">
        <f>L108+M108+N108+O108</f>
        <v>53315.284530000004</v>
      </c>
      <c r="L108" s="139">
        <v>44175.848425000004</v>
      </c>
      <c r="M108" s="139">
        <v>4355.973105</v>
      </c>
      <c r="N108" s="139">
        <v>0</v>
      </c>
      <c r="O108" s="139">
        <v>4783.4629999999997</v>
      </c>
      <c r="P108" s="139">
        <f>K108+J108</f>
        <v>53829.851897500004</v>
      </c>
      <c r="Q108" s="139">
        <v>61286.190367499999</v>
      </c>
      <c r="R108" s="139">
        <f>Q108-P108</f>
        <v>7456.3384699999951</v>
      </c>
      <c r="S108" s="140">
        <f>F108-Q108</f>
        <v>713.80963250000059</v>
      </c>
      <c r="T108" s="141"/>
      <c r="U108" s="139">
        <v>28204.193850000003</v>
      </c>
      <c r="V108" s="139">
        <v>32567.42915</v>
      </c>
      <c r="W108" s="139">
        <v>25729.364850000002</v>
      </c>
      <c r="X108" s="124" t="str">
        <f>VLOOKUP(A108,[1]Consolidado!$A:$W,23,FALSE)</f>
        <v>Valor autorizado es por avance de proyecto de acuerdo a la solicitud del cliente.</v>
      </c>
      <c r="Y108" s="121"/>
      <c r="Z108" s="89"/>
      <c r="AA108" s="9"/>
      <c r="AB108" s="89"/>
      <c r="AC108" s="93"/>
      <c r="AD108" s="93"/>
      <c r="AE108" s="94"/>
      <c r="AF108" s="94"/>
      <c r="AG108" s="94"/>
      <c r="AH108" s="94"/>
      <c r="AI108" s="94"/>
      <c r="AJ108" s="94"/>
    </row>
    <row r="109" spans="1:36" s="27" customFormat="1" ht="69" customHeight="1" x14ac:dyDescent="0.25">
      <c r="A109" s="132" t="s">
        <v>288</v>
      </c>
      <c r="B109" s="133" t="s">
        <v>139</v>
      </c>
      <c r="C109" s="134" t="s">
        <v>147</v>
      </c>
      <c r="D109" s="135" t="s">
        <v>111</v>
      </c>
      <c r="E109" s="136" t="s">
        <v>218</v>
      </c>
      <c r="F109" s="137">
        <v>1905840.2009999999</v>
      </c>
      <c r="G109" s="138">
        <v>661247.46699999995</v>
      </c>
      <c r="H109" s="139"/>
      <c r="I109" s="139">
        <f>(SUM(G109:H109))</f>
        <v>661247.46699999995</v>
      </c>
      <c r="J109" s="139">
        <v>147198.8539478</v>
      </c>
      <c r="K109" s="139">
        <f>L109+M109+N109+O109</f>
        <v>778554.75128374994</v>
      </c>
      <c r="L109" s="139">
        <v>272481.5209755</v>
      </c>
      <c r="M109" s="139">
        <v>349854.95972824999</v>
      </c>
      <c r="N109" s="139">
        <v>33984.504999999997</v>
      </c>
      <c r="O109" s="139">
        <v>122233.76557999999</v>
      </c>
      <c r="P109" s="139">
        <f>K109+J109</f>
        <v>925753.60523154994</v>
      </c>
      <c r="Q109" s="139">
        <v>808446.32094779995</v>
      </c>
      <c r="R109" s="139">
        <f>Q109-P109</f>
        <v>-117307.28428374999</v>
      </c>
      <c r="S109" s="140">
        <f>F109-Q109</f>
        <v>1097393.8800522001</v>
      </c>
      <c r="T109" s="141"/>
      <c r="U109" s="139">
        <v>388086.43599999999</v>
      </c>
      <c r="V109" s="139">
        <v>273161.03100000002</v>
      </c>
      <c r="W109" s="139">
        <v>0</v>
      </c>
      <c r="X109" s="124" t="str">
        <f>VLOOKUP(A109,[1]Consolidado!$A:$W,23,FALSE)</f>
        <v>Ejecutado Acumulado Abr-16 es $ 520.298.316
Ejecución normal del proyecto, Se factura WIP en jun/jul-16 280 MCOP aprox.</v>
      </c>
      <c r="Y109" s="121"/>
      <c r="Z109" s="89"/>
      <c r="AA109" s="9"/>
      <c r="AB109" s="89"/>
      <c r="AC109" s="93"/>
      <c r="AD109" s="93"/>
      <c r="AE109" s="94"/>
      <c r="AF109" s="94"/>
      <c r="AG109" s="94"/>
      <c r="AH109" s="94"/>
      <c r="AI109" s="94"/>
      <c r="AJ109" s="94"/>
    </row>
    <row r="110" spans="1:36" s="27" customFormat="1" ht="69" customHeight="1" x14ac:dyDescent="0.25">
      <c r="A110" s="132" t="s">
        <v>289</v>
      </c>
      <c r="B110" s="133" t="s">
        <v>139</v>
      </c>
      <c r="C110" s="134" t="s">
        <v>140</v>
      </c>
      <c r="D110" s="135" t="s">
        <v>156</v>
      </c>
      <c r="E110" s="136" t="s">
        <v>157</v>
      </c>
      <c r="F110" s="137">
        <v>314650</v>
      </c>
      <c r="G110" s="138">
        <v>224630.26455000002</v>
      </c>
      <c r="H110" s="139"/>
      <c r="I110" s="139">
        <f>(SUM(G110:H110))</f>
        <v>224630.26455000002</v>
      </c>
      <c r="J110" s="139">
        <v>35401.865967029997</v>
      </c>
      <c r="K110" s="139">
        <f>L110+M110+N110+O110</f>
        <v>277504.10461770999</v>
      </c>
      <c r="L110" s="139">
        <v>146878.65289569998</v>
      </c>
      <c r="M110" s="139">
        <v>78516.041462010005</v>
      </c>
      <c r="N110" s="139">
        <v>305</v>
      </c>
      <c r="O110" s="139">
        <v>51804.410259999997</v>
      </c>
      <c r="P110" s="139">
        <f>K110+J110</f>
        <v>312905.97058473999</v>
      </c>
      <c r="Q110" s="139">
        <v>260032.13051703002</v>
      </c>
      <c r="R110" s="139">
        <f>Q110-P110</f>
        <v>-52873.840067709971</v>
      </c>
      <c r="S110" s="140">
        <f>F110-Q110</f>
        <v>54617.869482969982</v>
      </c>
      <c r="T110" s="141"/>
      <c r="U110" s="139">
        <v>240362.87899999999</v>
      </c>
      <c r="V110" s="139">
        <v>12076.671550000001</v>
      </c>
      <c r="W110" s="139">
        <v>27975.937000000002</v>
      </c>
      <c r="X110" s="124" t="str">
        <f>VLOOKUP(A110,[1]Consolidado!$A:$W,23,FALSE)</f>
        <v>No información.</v>
      </c>
      <c r="Y110" s="121"/>
      <c r="Z110" s="89"/>
      <c r="AA110" s="9"/>
      <c r="AB110" s="89"/>
      <c r="AC110" s="93"/>
      <c r="AD110" s="93"/>
      <c r="AE110" s="94"/>
      <c r="AF110" s="94"/>
      <c r="AG110" s="94"/>
      <c r="AH110" s="94"/>
      <c r="AI110" s="94"/>
      <c r="AJ110" s="94"/>
    </row>
    <row r="111" spans="1:36" s="27" customFormat="1" ht="69" customHeight="1" x14ac:dyDescent="0.25">
      <c r="A111" s="132" t="s">
        <v>290</v>
      </c>
      <c r="B111" s="133" t="s">
        <v>139</v>
      </c>
      <c r="C111" s="134" t="s">
        <v>140</v>
      </c>
      <c r="D111" s="135" t="s">
        <v>143</v>
      </c>
      <c r="E111" s="136" t="s">
        <v>257</v>
      </c>
      <c r="F111" s="137">
        <v>1320248.5330000001</v>
      </c>
      <c r="G111" s="138">
        <v>89513.136400000003</v>
      </c>
      <c r="H111" s="139"/>
      <c r="I111" s="139">
        <f>(SUM(G111:H111))</f>
        <v>89513.136400000003</v>
      </c>
      <c r="J111" s="139">
        <v>21766.007308</v>
      </c>
      <c r="K111" s="139">
        <f>L111+M111+N111+O111</f>
        <v>182197.47029200001</v>
      </c>
      <c r="L111" s="139">
        <v>86772.928968000007</v>
      </c>
      <c r="M111" s="139">
        <v>49140.164964000003</v>
      </c>
      <c r="N111" s="139">
        <v>4550</v>
      </c>
      <c r="O111" s="139">
        <v>41734.376360000002</v>
      </c>
      <c r="P111" s="139">
        <f>K111+J111</f>
        <v>203963.47760000001</v>
      </c>
      <c r="Q111" s="139">
        <v>111279.143708</v>
      </c>
      <c r="R111" s="139">
        <f>Q111-P111</f>
        <v>-92684.33389200001</v>
      </c>
      <c r="S111" s="140">
        <f>F111-Q111</f>
        <v>1208969.3892920001</v>
      </c>
      <c r="T111" s="141"/>
      <c r="U111" s="139">
        <v>27912.243999999999</v>
      </c>
      <c r="V111" s="139">
        <v>61600.892399999997</v>
      </c>
      <c r="W111" s="139">
        <v>12931.29</v>
      </c>
      <c r="X111" s="124" t="str">
        <f>VLOOKUP(A111,[1]Consolidado!$A:$W,23,FALSE)</f>
        <v>Se facturara este WIP el 22 de Junio. Ya fue charlado con el cliente.</v>
      </c>
      <c r="Y111" s="121"/>
      <c r="Z111" s="89"/>
      <c r="AA111" s="9"/>
      <c r="AB111" s="89"/>
      <c r="AC111" s="93"/>
      <c r="AD111" s="93"/>
      <c r="AE111" s="94"/>
      <c r="AF111" s="94"/>
      <c r="AG111" s="94"/>
      <c r="AH111" s="94"/>
      <c r="AI111" s="94"/>
      <c r="AJ111" s="94"/>
    </row>
    <row r="112" spans="1:36" s="27" customFormat="1" ht="69" customHeight="1" x14ac:dyDescent="0.25">
      <c r="A112" s="132" t="s">
        <v>291</v>
      </c>
      <c r="B112" s="133" t="s">
        <v>139</v>
      </c>
      <c r="C112" s="134" t="s">
        <v>140</v>
      </c>
      <c r="D112" s="135" t="s">
        <v>143</v>
      </c>
      <c r="E112" s="136" t="s">
        <v>168</v>
      </c>
      <c r="F112" s="137">
        <v>3411019.4890000001</v>
      </c>
      <c r="G112" s="138">
        <v>619514.92700000003</v>
      </c>
      <c r="H112" s="139"/>
      <c r="I112" s="139">
        <f>(SUM(G112:H112))</f>
        <v>619514.92700000003</v>
      </c>
      <c r="J112" s="139">
        <v>154561.72764499998</v>
      </c>
      <c r="K112" s="139">
        <f>L112+M112+N112+O112</f>
        <v>934511.23781859991</v>
      </c>
      <c r="L112" s="139">
        <v>270794.08979399997</v>
      </c>
      <c r="M112" s="139">
        <v>276104.85102459998</v>
      </c>
      <c r="N112" s="139">
        <v>14890.7</v>
      </c>
      <c r="O112" s="139">
        <v>372721.59700000001</v>
      </c>
      <c r="P112" s="139">
        <f>K112+J112</f>
        <v>1089072.9654635999</v>
      </c>
      <c r="Q112" s="139">
        <v>774076.654645</v>
      </c>
      <c r="R112" s="139">
        <f>Q112-P112</f>
        <v>-314996.31081859989</v>
      </c>
      <c r="S112" s="140">
        <f>F112-Q112</f>
        <v>2636942.8343549999</v>
      </c>
      <c r="T112" s="141"/>
      <c r="U112" s="139">
        <v>586979.98944999999</v>
      </c>
      <c r="V112" s="139">
        <v>32534.937550000002</v>
      </c>
      <c r="W112" s="139">
        <v>129551.329</v>
      </c>
      <c r="X112" s="124" t="str">
        <f>VLOOKUP(A112,[1]Consolidado!$A:$W,23,FALSE)</f>
        <v xml:space="preserve">Proyecto en ejecución OK. Cartera corriente se debe revisar valor reportado </v>
      </c>
      <c r="Y112" s="121"/>
      <c r="Z112" s="89"/>
      <c r="AA112" s="9"/>
      <c r="AB112" s="89"/>
      <c r="AC112" s="93"/>
      <c r="AD112" s="93"/>
      <c r="AE112" s="94"/>
      <c r="AF112" s="94"/>
      <c r="AG112" s="94"/>
      <c r="AH112" s="94"/>
      <c r="AI112" s="94"/>
      <c r="AJ112" s="94"/>
    </row>
    <row r="113" spans="1:36" s="27" customFormat="1" ht="69" customHeight="1" x14ac:dyDescent="0.25">
      <c r="A113" s="132" t="s">
        <v>292</v>
      </c>
      <c r="B113" s="133" t="s">
        <v>139</v>
      </c>
      <c r="C113" s="134" t="s">
        <v>140</v>
      </c>
      <c r="D113" s="135" t="s">
        <v>136</v>
      </c>
      <c r="E113" s="136" t="s">
        <v>225</v>
      </c>
      <c r="F113" s="137">
        <v>668240.80900000001</v>
      </c>
      <c r="G113" s="138">
        <v>909174.62835999997</v>
      </c>
      <c r="H113" s="139"/>
      <c r="I113" s="139">
        <f>(SUM(G113:H113))</f>
        <v>909174.62835999997</v>
      </c>
      <c r="J113" s="139">
        <v>53036.632610000001</v>
      </c>
      <c r="K113" s="139">
        <f>L113+M113+N113+O113</f>
        <v>284120.46932249994</v>
      </c>
      <c r="L113" s="139">
        <v>98320.574900000007</v>
      </c>
      <c r="M113" s="139">
        <v>94396.655322499995</v>
      </c>
      <c r="N113" s="139">
        <v>86529.599999999991</v>
      </c>
      <c r="O113" s="139">
        <v>4873.6391000000003</v>
      </c>
      <c r="P113" s="139">
        <f>K113+J113</f>
        <v>337157.10193249991</v>
      </c>
      <c r="Q113" s="139">
        <v>561266.77596999996</v>
      </c>
      <c r="R113" s="139">
        <f>Q113-P113</f>
        <v>224109.67403750005</v>
      </c>
      <c r="S113" s="140">
        <f>F113-Q113</f>
        <v>106974.03303000005</v>
      </c>
      <c r="T113" s="141"/>
      <c r="U113" s="139">
        <v>601416.728</v>
      </c>
      <c r="V113" s="139">
        <v>307757.90036000003</v>
      </c>
      <c r="W113" s="139">
        <v>420991.71</v>
      </c>
      <c r="X113" s="124" t="str">
        <f>VLOOKUP(A113,[1]Consolidado!$A:$W,23,FALSE)</f>
        <v>Recaudar XXXMCOP antes de fin de mes.Banco de la Republica: se factura en julio $400MCOP</v>
      </c>
      <c r="Y113" s="121"/>
      <c r="Z113" s="89"/>
      <c r="AA113" s="9"/>
      <c r="AB113" s="89"/>
      <c r="AC113" s="93"/>
      <c r="AD113" s="93"/>
      <c r="AE113" s="94"/>
      <c r="AF113" s="94"/>
      <c r="AG113" s="94"/>
      <c r="AH113" s="94"/>
      <c r="AI113" s="94"/>
      <c r="AJ113" s="94"/>
    </row>
    <row r="114" spans="1:36" s="27" customFormat="1" ht="69" customHeight="1" x14ac:dyDescent="0.25">
      <c r="A114" s="132" t="s">
        <v>293</v>
      </c>
      <c r="B114" s="133" t="s">
        <v>139</v>
      </c>
      <c r="C114" s="134" t="s">
        <v>135</v>
      </c>
      <c r="D114" s="135" t="s">
        <v>111</v>
      </c>
      <c r="E114" s="136" t="s">
        <v>294</v>
      </c>
      <c r="F114" s="137">
        <v>210875</v>
      </c>
      <c r="G114" s="138">
        <v>207088.34470999998</v>
      </c>
      <c r="H114" s="139"/>
      <c r="I114" s="139">
        <f>(SUM(G114:H114))</f>
        <v>207088.34470999998</v>
      </c>
      <c r="J114" s="139">
        <v>15651.659245000003</v>
      </c>
      <c r="K114" s="139">
        <f>L114+M114+N114+O114</f>
        <v>134669.60995249997</v>
      </c>
      <c r="L114" s="139">
        <v>83603.665824999989</v>
      </c>
      <c r="M114" s="139">
        <v>37603.686797499999</v>
      </c>
      <c r="N114" s="139">
        <v>0</v>
      </c>
      <c r="O114" s="139">
        <v>13462.25733</v>
      </c>
      <c r="P114" s="139">
        <f>K114+J114</f>
        <v>150321.26919749996</v>
      </c>
      <c r="Q114" s="139">
        <v>222740.00395499996</v>
      </c>
      <c r="R114" s="139">
        <f>Q114-P114</f>
        <v>72418.734757500002</v>
      </c>
      <c r="S114" s="140">
        <f>F114-Q114</f>
        <v>-11865.003954999964</v>
      </c>
      <c r="T114" s="141"/>
      <c r="U114" s="139">
        <v>156799.80270999999</v>
      </c>
      <c r="V114" s="139">
        <v>50288.177000000003</v>
      </c>
      <c r="W114" s="139">
        <v>146993.21238000001</v>
      </c>
      <c r="X114" s="124" t="str">
        <f>VLOOKUP(A114,[1]Consolidado!$A:$W,23,FALSE)</f>
        <v>Se facturo en mayo 75 MCOP</v>
      </c>
      <c r="Y114" s="121"/>
      <c r="Z114" s="89"/>
      <c r="AA114" s="9"/>
      <c r="AB114" s="89"/>
      <c r="AC114" s="93"/>
      <c r="AD114" s="93"/>
      <c r="AE114" s="94"/>
      <c r="AF114" s="94"/>
      <c r="AG114" s="94"/>
      <c r="AH114" s="94"/>
      <c r="AI114" s="94"/>
      <c r="AJ114" s="94"/>
    </row>
    <row r="115" spans="1:36" s="27" customFormat="1" ht="69" customHeight="1" x14ac:dyDescent="0.25">
      <c r="A115" s="132" t="s">
        <v>295</v>
      </c>
      <c r="B115" s="133" t="s">
        <v>139</v>
      </c>
      <c r="C115" s="134" t="s">
        <v>135</v>
      </c>
      <c r="D115" s="135" t="s">
        <v>143</v>
      </c>
      <c r="E115" s="136" t="s">
        <v>144</v>
      </c>
      <c r="F115" s="137">
        <v>152897.54999999999</v>
      </c>
      <c r="G115" s="138">
        <v>116643.27499999999</v>
      </c>
      <c r="H115" s="139"/>
      <c r="I115" s="139">
        <f>(SUM(G115:H115))</f>
        <v>116643.27499999999</v>
      </c>
      <c r="J115" s="139">
        <v>40504.988365599995</v>
      </c>
      <c r="K115" s="139">
        <f>L115+M115+N115+O115</f>
        <v>150730.55387999999</v>
      </c>
      <c r="L115" s="139">
        <v>40537.960824000002</v>
      </c>
      <c r="M115" s="139">
        <v>97801.306055999987</v>
      </c>
      <c r="N115" s="139">
        <v>11365</v>
      </c>
      <c r="O115" s="139">
        <v>1026.287</v>
      </c>
      <c r="P115" s="139">
        <f>K115+J115</f>
        <v>191235.54224559999</v>
      </c>
      <c r="Q115" s="139">
        <v>157148.2633656</v>
      </c>
      <c r="R115" s="139">
        <f>Q115-P115</f>
        <v>-34087.278879999998</v>
      </c>
      <c r="S115" s="140">
        <f>F115-Q115</f>
        <v>-4250.7133656000078</v>
      </c>
      <c r="T115" s="141"/>
      <c r="U115" s="139">
        <v>92999.585000000006</v>
      </c>
      <c r="V115" s="139">
        <v>23643.69</v>
      </c>
      <c r="W115" s="139">
        <v>97649.565000000002</v>
      </c>
      <c r="X115" s="124" t="str">
        <f>VLOOKUP(A115,[1]Consolidado!$A:$W,23,FALSE)</f>
        <v>Este WIP se facturará entre junio (80 MCOP) y agosto (73 MCOP).</v>
      </c>
      <c r="Y115" s="121"/>
      <c r="Z115" s="89"/>
      <c r="AA115" s="9"/>
      <c r="AB115" s="89"/>
      <c r="AC115" s="93"/>
      <c r="AD115" s="93"/>
      <c r="AE115" s="94"/>
      <c r="AF115" s="94"/>
      <c r="AG115" s="94"/>
      <c r="AH115" s="94"/>
      <c r="AI115" s="94"/>
      <c r="AJ115" s="94"/>
    </row>
    <row r="116" spans="1:36" s="27" customFormat="1" ht="69" customHeight="1" x14ac:dyDescent="0.25">
      <c r="A116" s="132" t="s">
        <v>296</v>
      </c>
      <c r="B116" s="133" t="s">
        <v>139</v>
      </c>
      <c r="C116" s="134" t="s">
        <v>110</v>
      </c>
      <c r="D116" s="135" t="s">
        <v>143</v>
      </c>
      <c r="E116" s="136" t="s">
        <v>144</v>
      </c>
      <c r="F116" s="137">
        <v>351335.2</v>
      </c>
      <c r="G116" s="138">
        <v>147661.424</v>
      </c>
      <c r="H116" s="139"/>
      <c r="I116" s="139">
        <f>(SUM(G116:H116))</f>
        <v>147661.424</v>
      </c>
      <c r="J116" s="139">
        <v>62178.07632</v>
      </c>
      <c r="K116" s="139">
        <f>L116+M116+N116+O116</f>
        <v>218201.708705</v>
      </c>
      <c r="L116" s="139">
        <v>39608.038424999999</v>
      </c>
      <c r="M116" s="139">
        <v>117376.62028</v>
      </c>
      <c r="N116" s="139">
        <v>58270.52</v>
      </c>
      <c r="O116" s="139">
        <v>2946.53</v>
      </c>
      <c r="P116" s="139">
        <f>K116+J116</f>
        <v>280379.78502499999</v>
      </c>
      <c r="Q116" s="139">
        <v>209839.50031999999</v>
      </c>
      <c r="R116" s="139">
        <f>Q116-P116</f>
        <v>-70540.284704999998</v>
      </c>
      <c r="S116" s="140">
        <f>F116-Q116</f>
        <v>141495.69968000002</v>
      </c>
      <c r="T116" s="141"/>
      <c r="U116" s="139">
        <v>0</v>
      </c>
      <c r="V116" s="139">
        <v>147661.424</v>
      </c>
      <c r="W116" s="139">
        <v>0</v>
      </c>
      <c r="X116" s="124" t="str">
        <f>VLOOKUP(A116,[1]Consolidado!$A:$W,23,FALSE)</f>
        <v>En julio se esperan facturar 78,5 en julio; la diferencia (272,8 MCOP) se facturará en septiembre a la finalización del contrato.</v>
      </c>
      <c r="Y116" s="121"/>
      <c r="Z116" s="89"/>
      <c r="AA116" s="9"/>
      <c r="AB116" s="89"/>
      <c r="AC116" s="93"/>
      <c r="AD116" s="93"/>
      <c r="AE116" s="94"/>
      <c r="AF116" s="94"/>
      <c r="AG116" s="94"/>
      <c r="AH116" s="94"/>
      <c r="AI116" s="94"/>
      <c r="AJ116" s="94"/>
    </row>
    <row r="117" spans="1:36" s="27" customFormat="1" ht="69" customHeight="1" x14ac:dyDescent="0.25">
      <c r="A117" s="132" t="s">
        <v>297</v>
      </c>
      <c r="B117" s="133" t="s">
        <v>139</v>
      </c>
      <c r="C117" s="134" t="s">
        <v>140</v>
      </c>
      <c r="D117" s="135" t="s">
        <v>156</v>
      </c>
      <c r="E117" s="136" t="s">
        <v>236</v>
      </c>
      <c r="F117" s="137">
        <v>201306.473</v>
      </c>
      <c r="G117" s="138">
        <v>201306.473</v>
      </c>
      <c r="H117" s="139"/>
      <c r="I117" s="139">
        <f>(SUM(G117:H117))</f>
        <v>201306.473</v>
      </c>
      <c r="J117" s="139">
        <v>-1184.6454220000005</v>
      </c>
      <c r="K117" s="139">
        <f>L117+M117+N117+O117</f>
        <v>231310.55077374997</v>
      </c>
      <c r="L117" s="139">
        <v>149386.44089249999</v>
      </c>
      <c r="M117" s="139">
        <v>28520.733881249998</v>
      </c>
      <c r="N117" s="139">
        <v>101188.08383</v>
      </c>
      <c r="O117" s="139">
        <v>-47784.707829999999</v>
      </c>
      <c r="P117" s="139">
        <f>K117+J117</f>
        <v>230125.90535174997</v>
      </c>
      <c r="Q117" s="139">
        <v>200121.827578</v>
      </c>
      <c r="R117" s="139">
        <f>Q117-P117</f>
        <v>-30004.077773749974</v>
      </c>
      <c r="S117" s="140">
        <f>F117-Q117</f>
        <v>1184.6454220000014</v>
      </c>
      <c r="T117" s="141"/>
      <c r="U117" s="139">
        <v>222444.06700000001</v>
      </c>
      <c r="V117" s="139">
        <v>-21137.594000000001</v>
      </c>
      <c r="W117" s="139">
        <v>0</v>
      </c>
      <c r="X117" s="124" t="str">
        <f>VLOOKUP(A117,[1]Consolidado!$A:$W,23,FALSE)</f>
        <v xml:space="preserve">Se reversará WIP  de 193M, el saldo se facturará en Junio. El contrato fue disminuido en alcance. </v>
      </c>
      <c r="Y117" s="121"/>
      <c r="Z117" s="89"/>
      <c r="AA117" s="9"/>
      <c r="AB117" s="89"/>
      <c r="AC117" s="93"/>
      <c r="AD117" s="93"/>
      <c r="AE117" s="94"/>
      <c r="AF117" s="94"/>
      <c r="AG117" s="94"/>
      <c r="AH117" s="94"/>
      <c r="AI117" s="94"/>
      <c r="AJ117" s="94"/>
    </row>
    <row r="118" spans="1:36" s="27" customFormat="1" ht="69" customHeight="1" x14ac:dyDescent="0.25">
      <c r="A118" s="132" t="s">
        <v>298</v>
      </c>
      <c r="B118" s="133" t="s">
        <v>139</v>
      </c>
      <c r="C118" s="134" t="s">
        <v>140</v>
      </c>
      <c r="D118" s="135" t="s">
        <v>143</v>
      </c>
      <c r="E118" s="136" t="s">
        <v>177</v>
      </c>
      <c r="F118" s="137">
        <v>348000</v>
      </c>
      <c r="G118" s="138">
        <v>4427.4350000000004</v>
      </c>
      <c r="H118" s="139"/>
      <c r="I118" s="139">
        <f>(SUM(G118:H118))</f>
        <v>4427.4350000000004</v>
      </c>
      <c r="J118" s="139">
        <v>2345.9344725000001</v>
      </c>
      <c r="K118" s="139">
        <f>L118+M118+N118+O118</f>
        <v>17094.495265000001</v>
      </c>
      <c r="L118" s="139">
        <v>10321.835475</v>
      </c>
      <c r="M118" s="139">
        <v>6041.7507900000001</v>
      </c>
      <c r="N118" s="139">
        <v>0</v>
      </c>
      <c r="O118" s="139">
        <v>730.90899999999999</v>
      </c>
      <c r="P118" s="139">
        <f>K118+J118</f>
        <v>19440.429737500002</v>
      </c>
      <c r="Q118" s="139">
        <v>6773.3694725000005</v>
      </c>
      <c r="R118" s="139">
        <f>Q118-P118</f>
        <v>-12667.060265000002</v>
      </c>
      <c r="S118" s="140">
        <f>F118-Q118</f>
        <v>341226.6305275</v>
      </c>
      <c r="T118" s="141"/>
      <c r="U118" s="139">
        <v>0</v>
      </c>
      <c r="V118" s="139">
        <v>4427.4350000000004</v>
      </c>
      <c r="W118" s="139">
        <v>0</v>
      </c>
      <c r="X118" s="124" t="str">
        <f>VLOOKUP(A118,[1]Consolidado!$A:$W,23,FALSE)</f>
        <v xml:space="preserve">Proyecto en ejecución OK. SIN Cartera </v>
      </c>
      <c r="Y118" s="121"/>
      <c r="Z118" s="89"/>
      <c r="AA118" s="9"/>
      <c r="AB118" s="89"/>
      <c r="AC118" s="93"/>
      <c r="AD118" s="93"/>
      <c r="AE118" s="94"/>
      <c r="AF118" s="94"/>
      <c r="AG118" s="94"/>
      <c r="AH118" s="94"/>
      <c r="AI118" s="94"/>
      <c r="AJ118" s="94"/>
    </row>
    <row r="119" spans="1:36" s="27" customFormat="1" ht="69" customHeight="1" x14ac:dyDescent="0.25">
      <c r="A119" s="132" t="s">
        <v>299</v>
      </c>
      <c r="B119" s="133" t="s">
        <v>139</v>
      </c>
      <c r="C119" s="134" t="s">
        <v>140</v>
      </c>
      <c r="D119" s="135" t="s">
        <v>143</v>
      </c>
      <c r="E119" s="136" t="s">
        <v>177</v>
      </c>
      <c r="F119" s="137">
        <v>324800</v>
      </c>
      <c r="G119" s="138">
        <v>4607.4430000000002</v>
      </c>
      <c r="H119" s="139"/>
      <c r="I119" s="139">
        <f>(SUM(G119:H119))</f>
        <v>4607.4430000000002</v>
      </c>
      <c r="J119" s="139">
        <v>3151.5289124999999</v>
      </c>
      <c r="K119" s="139">
        <f>L119+M119+N119+O119</f>
        <v>7589.8207199999997</v>
      </c>
      <c r="L119" s="139">
        <v>1651.4741750000001</v>
      </c>
      <c r="M119" s="139">
        <v>5227.9275449999996</v>
      </c>
      <c r="N119" s="139">
        <v>0</v>
      </c>
      <c r="O119" s="139">
        <v>710.41899999999998</v>
      </c>
      <c r="P119" s="139">
        <f>K119+J119</f>
        <v>10741.3496325</v>
      </c>
      <c r="Q119" s="139">
        <v>7758.9719125000001</v>
      </c>
      <c r="R119" s="139">
        <f>Q119-P119</f>
        <v>-2982.3777199999995</v>
      </c>
      <c r="S119" s="140">
        <f>F119-Q119</f>
        <v>317041.02808750002</v>
      </c>
      <c r="T119" s="141"/>
      <c r="U119" s="139">
        <v>0</v>
      </c>
      <c r="V119" s="139">
        <v>4607.4430000000002</v>
      </c>
      <c r="W119" s="139">
        <v>0</v>
      </c>
      <c r="X119" s="124" t="str">
        <f>VLOOKUP(A119,[1]Consolidado!$A:$W,23,FALSE)</f>
        <v xml:space="preserve">Proyecto en ejecución OK. SIN Cartera </v>
      </c>
      <c r="Y119" s="121"/>
      <c r="Z119" s="89"/>
      <c r="AA119" s="9"/>
      <c r="AB119" s="89"/>
      <c r="AC119" s="93"/>
      <c r="AD119" s="93"/>
      <c r="AE119" s="94"/>
      <c r="AF119" s="94"/>
      <c r="AG119" s="94"/>
      <c r="AH119" s="94"/>
      <c r="AI119" s="94"/>
      <c r="AJ119" s="94"/>
    </row>
    <row r="120" spans="1:36" s="27" customFormat="1" ht="69" customHeight="1" x14ac:dyDescent="0.25">
      <c r="A120" s="132" t="s">
        <v>300</v>
      </c>
      <c r="B120" s="133" t="s">
        <v>139</v>
      </c>
      <c r="C120" s="134" t="s">
        <v>147</v>
      </c>
      <c r="D120" s="135" t="s">
        <v>143</v>
      </c>
      <c r="E120" s="136" t="s">
        <v>164</v>
      </c>
      <c r="F120" s="137">
        <v>1130612.074</v>
      </c>
      <c r="G120" s="138">
        <v>456135.96100000001</v>
      </c>
      <c r="H120" s="139"/>
      <c r="I120" s="139">
        <f>(SUM(G120:H120))</f>
        <v>456135.96100000001</v>
      </c>
      <c r="J120" s="139">
        <v>89614.734211999996</v>
      </c>
      <c r="K120" s="139">
        <f>L120+M120+N120+O120</f>
        <v>546200.90004824009</v>
      </c>
      <c r="L120" s="139">
        <v>188876.85167999999</v>
      </c>
      <c r="M120" s="139">
        <v>214584.88660824002</v>
      </c>
      <c r="N120" s="139">
        <v>6582</v>
      </c>
      <c r="O120" s="139">
        <v>136157.16175999999</v>
      </c>
      <c r="P120" s="139">
        <f>K120+J120</f>
        <v>635815.63426024013</v>
      </c>
      <c r="Q120" s="139">
        <v>545750.69521200005</v>
      </c>
      <c r="R120" s="139">
        <f>Q120-P120</f>
        <v>-90064.939048240078</v>
      </c>
      <c r="S120" s="140">
        <f>F120-Q120</f>
        <v>584861.37878799997</v>
      </c>
      <c r="T120" s="141"/>
      <c r="U120" s="139">
        <v>645499.15409000008</v>
      </c>
      <c r="V120" s="139">
        <v>-189363.19309000002</v>
      </c>
      <c r="W120" s="139">
        <v>117962.28934</v>
      </c>
      <c r="X120" s="124" t="str">
        <f>VLOOKUP(A120,[1]Consolidado!$A:$W,23,FALSE)</f>
        <v>El WIP negativo de proyecto está planeado para cubrir costos de cierre y liquidación.</v>
      </c>
      <c r="Y120" s="121"/>
      <c r="Z120" s="89"/>
      <c r="AA120" s="9"/>
      <c r="AB120" s="89"/>
      <c r="AC120" s="93"/>
      <c r="AD120" s="93"/>
      <c r="AE120" s="94"/>
      <c r="AF120" s="94"/>
      <c r="AG120" s="94"/>
      <c r="AH120" s="94"/>
      <c r="AI120" s="94"/>
      <c r="AJ120" s="94"/>
    </row>
    <row r="121" spans="1:36" s="27" customFormat="1" ht="69" customHeight="1" x14ac:dyDescent="0.25">
      <c r="A121" s="132" t="s">
        <v>301</v>
      </c>
      <c r="B121" s="133" t="s">
        <v>139</v>
      </c>
      <c r="C121" s="134" t="s">
        <v>110</v>
      </c>
      <c r="D121" s="135" t="s">
        <v>143</v>
      </c>
      <c r="E121" s="136" t="s">
        <v>185</v>
      </c>
      <c r="F121" s="137">
        <v>1491538.1529999999</v>
      </c>
      <c r="G121" s="138">
        <v>229325.02240000002</v>
      </c>
      <c r="H121" s="139"/>
      <c r="I121" s="139">
        <f>(SUM(G121:H121))</f>
        <v>229325.02240000002</v>
      </c>
      <c r="J121" s="139">
        <v>82562.175090400007</v>
      </c>
      <c r="K121" s="139">
        <f>L121+M121+N121+O121</f>
        <v>378024.41778239998</v>
      </c>
      <c r="L121" s="139">
        <v>95648.990976000001</v>
      </c>
      <c r="M121" s="139">
        <v>230770.51880639998</v>
      </c>
      <c r="N121" s="139">
        <v>1845</v>
      </c>
      <c r="O121" s="139">
        <v>49759.908000000003</v>
      </c>
      <c r="P121" s="139">
        <f>K121+J121</f>
        <v>460586.59287279996</v>
      </c>
      <c r="Q121" s="139">
        <v>311887.19749039999</v>
      </c>
      <c r="R121" s="139">
        <f>Q121-P121</f>
        <v>-148699.39538239996</v>
      </c>
      <c r="S121" s="140">
        <f>F121-Q121</f>
        <v>1179650.9555096</v>
      </c>
      <c r="T121" s="141"/>
      <c r="U121" s="139">
        <v>279129.212</v>
      </c>
      <c r="V121" s="139">
        <v>-49804.189599999998</v>
      </c>
      <c r="W121" s="139">
        <v>116096.133</v>
      </c>
      <c r="X121" s="124" t="str">
        <f>VLOOKUP(A121,[1]Consolidado!$A:$W,23,FALSE)</f>
        <v>El proyecto realizó ajustes operativos para llevar la ejecución real cerca a la esperada. La facturación se realiza con corte a 15 de cada mes por lo que el WIP es corriente.</v>
      </c>
      <c r="Y121" s="121"/>
      <c r="Z121" s="89"/>
      <c r="AA121" s="9"/>
      <c r="AB121" s="89"/>
      <c r="AC121" s="93"/>
      <c r="AD121" s="93"/>
      <c r="AE121" s="94"/>
      <c r="AF121" s="94"/>
      <c r="AG121" s="94"/>
      <c r="AH121" s="94"/>
      <c r="AI121" s="94"/>
      <c r="AJ121" s="94"/>
    </row>
    <row r="122" spans="1:36" s="27" customFormat="1" ht="69" customHeight="1" x14ac:dyDescent="0.25">
      <c r="A122" s="132" t="s">
        <v>302</v>
      </c>
      <c r="B122" s="133" t="s">
        <v>139</v>
      </c>
      <c r="C122" s="134" t="s">
        <v>140</v>
      </c>
      <c r="D122" s="135" t="s">
        <v>156</v>
      </c>
      <c r="E122" s="136" t="s">
        <v>246</v>
      </c>
      <c r="F122" s="137">
        <v>44502.885000000002</v>
      </c>
      <c r="G122" s="138">
        <v>25424.809539999998</v>
      </c>
      <c r="H122" s="139"/>
      <c r="I122" s="139">
        <f>(SUM(G122:H122))</f>
        <v>25424.809539999998</v>
      </c>
      <c r="J122" s="139">
        <v>9332.9195899999995</v>
      </c>
      <c r="K122" s="139">
        <f>L122+M122+N122+O122</f>
        <v>30875.264339999998</v>
      </c>
      <c r="L122" s="139">
        <v>16747.125349999998</v>
      </c>
      <c r="M122" s="139">
        <v>9423.1388900000002</v>
      </c>
      <c r="N122" s="139">
        <v>702</v>
      </c>
      <c r="O122" s="139">
        <v>4003.0001000000002</v>
      </c>
      <c r="P122" s="139">
        <f>K122+J122</f>
        <v>40208.183929999999</v>
      </c>
      <c r="Q122" s="139">
        <v>34757.72913</v>
      </c>
      <c r="R122" s="139">
        <f>Q122-P122</f>
        <v>-5450.4547999999995</v>
      </c>
      <c r="S122" s="140">
        <f>F122-Q122</f>
        <v>9745.1558700000023</v>
      </c>
      <c r="T122" s="141"/>
      <c r="U122" s="139">
        <v>44502.885000000002</v>
      </c>
      <c r="V122" s="139">
        <v>-19078.07546</v>
      </c>
      <c r="W122" s="139">
        <v>0</v>
      </c>
      <c r="X122" s="124" t="str">
        <f>VLOOKUP(A122,[1]Consolidado!$A:$W,23,FALSE)</f>
        <v>No información.</v>
      </c>
      <c r="Y122" s="121"/>
      <c r="Z122" s="89"/>
      <c r="AA122" s="9"/>
      <c r="AB122" s="89"/>
      <c r="AC122" s="93"/>
      <c r="AD122" s="93"/>
      <c r="AE122" s="94"/>
      <c r="AF122" s="94"/>
      <c r="AG122" s="94"/>
      <c r="AH122" s="94"/>
      <c r="AI122" s="94"/>
      <c r="AJ122" s="94"/>
    </row>
    <row r="123" spans="1:36" s="27" customFormat="1" ht="69" customHeight="1" x14ac:dyDescent="0.25">
      <c r="A123" s="132" t="s">
        <v>303</v>
      </c>
      <c r="B123" s="133" t="s">
        <v>139</v>
      </c>
      <c r="C123" s="134" t="s">
        <v>110</v>
      </c>
      <c r="D123" s="135" t="s">
        <v>143</v>
      </c>
      <c r="E123" s="136" t="s">
        <v>234</v>
      </c>
      <c r="F123" s="137">
        <v>14553.965</v>
      </c>
      <c r="G123" s="138">
        <v>8968.0169999999998</v>
      </c>
      <c r="H123" s="139"/>
      <c r="I123" s="139">
        <f>(SUM(G123:H123))</f>
        <v>8968.0169999999998</v>
      </c>
      <c r="J123" s="139">
        <v>446.84500000000003</v>
      </c>
      <c r="K123" s="139">
        <f>L123+M123+N123+O123</f>
        <v>10066.6248075</v>
      </c>
      <c r="L123" s="139">
        <v>4255.84</v>
      </c>
      <c r="M123" s="139">
        <v>4013.1228074999999</v>
      </c>
      <c r="N123" s="139">
        <v>0</v>
      </c>
      <c r="O123" s="139">
        <v>1797.662</v>
      </c>
      <c r="P123" s="139">
        <f>K123+J123</f>
        <v>10513.4698075</v>
      </c>
      <c r="Q123" s="139">
        <v>9414.8619999999992</v>
      </c>
      <c r="R123" s="139">
        <f>Q123-P123</f>
        <v>-1098.6078075000005</v>
      </c>
      <c r="S123" s="140">
        <f>F123-Q123</f>
        <v>5139.103000000001</v>
      </c>
      <c r="T123" s="141"/>
      <c r="U123" s="139">
        <v>0</v>
      </c>
      <c r="V123" s="139">
        <v>8968.0169999999998</v>
      </c>
      <c r="W123" s="139">
        <v>7276.982</v>
      </c>
      <c r="X123" s="124" t="str">
        <f>VLOOKUP(A123,[1]Consolidado!$A:$W,23,FALSE)</f>
        <v>La alcaldía de Santander de Quilichao debe confirmar el número final de usuarios para establecer la necesidad de ampliar este contrato.  Este proceso requiere ampliación en tiempo.</v>
      </c>
      <c r="Y123" s="121"/>
      <c r="Z123" s="89"/>
      <c r="AA123" s="9"/>
      <c r="AB123" s="89"/>
      <c r="AC123" s="93"/>
      <c r="AD123" s="93"/>
      <c r="AE123" s="94"/>
      <c r="AF123" s="94"/>
      <c r="AG123" s="94"/>
      <c r="AH123" s="94"/>
      <c r="AI123" s="94"/>
      <c r="AJ123" s="94"/>
    </row>
    <row r="124" spans="1:36" s="27" customFormat="1" ht="69" customHeight="1" x14ac:dyDescent="0.25">
      <c r="A124" s="132" t="s">
        <v>304</v>
      </c>
      <c r="B124" s="133" t="s">
        <v>139</v>
      </c>
      <c r="C124" s="134" t="s">
        <v>140</v>
      </c>
      <c r="D124" s="135" t="s">
        <v>264</v>
      </c>
      <c r="E124" s="136" t="s">
        <v>236</v>
      </c>
      <c r="F124" s="137">
        <v>124034.51300000001</v>
      </c>
      <c r="G124" s="138">
        <v>82689.766300000003</v>
      </c>
      <c r="H124" s="139"/>
      <c r="I124" s="139">
        <f>(SUM(G124:H124))</f>
        <v>82689.766300000003</v>
      </c>
      <c r="J124" s="139">
        <v>394.74160000000001</v>
      </c>
      <c r="K124" s="139">
        <f>L124+M124+N124+O124</f>
        <v>8988.9250725000002</v>
      </c>
      <c r="L124" s="139">
        <v>2960.3924999999999</v>
      </c>
      <c r="M124" s="139">
        <v>4291.9581724999998</v>
      </c>
      <c r="N124" s="139">
        <v>0</v>
      </c>
      <c r="O124" s="139">
        <v>1736.5744000000002</v>
      </c>
      <c r="P124" s="139">
        <f>K124+J124</f>
        <v>9383.6666724999995</v>
      </c>
      <c r="Q124" s="139">
        <v>83084.507899999997</v>
      </c>
      <c r="R124" s="139">
        <f>Q124-P124</f>
        <v>73700.841227500001</v>
      </c>
      <c r="S124" s="140">
        <f>F124-Q124</f>
        <v>40950.005100000009</v>
      </c>
      <c r="T124" s="141"/>
      <c r="U124" s="139">
        <v>82689.766000000003</v>
      </c>
      <c r="V124" s="139">
        <v>2.9999999999999997E-4</v>
      </c>
      <c r="W124" s="139">
        <v>49613.858999999997</v>
      </c>
      <c r="X124" s="124" t="str">
        <f>VLOOKUP(A124,[1]Consolidado!$A:$W,23,FALSE)</f>
        <v>No información.</v>
      </c>
      <c r="Y124" s="121"/>
      <c r="Z124" s="89"/>
      <c r="AA124" s="9"/>
      <c r="AB124" s="89"/>
      <c r="AC124" s="93"/>
      <c r="AD124" s="93"/>
      <c r="AE124" s="94"/>
      <c r="AF124" s="94"/>
      <c r="AG124" s="94"/>
      <c r="AH124" s="94"/>
      <c r="AI124" s="94"/>
      <c r="AJ124" s="94"/>
    </row>
    <row r="125" spans="1:36" s="27" customFormat="1" ht="69" customHeight="1" x14ac:dyDescent="0.25">
      <c r="A125" s="132" t="s">
        <v>305</v>
      </c>
      <c r="B125" s="133" t="s">
        <v>139</v>
      </c>
      <c r="C125" s="134" t="s">
        <v>140</v>
      </c>
      <c r="D125" s="135" t="s">
        <v>143</v>
      </c>
      <c r="E125" s="136" t="s">
        <v>168</v>
      </c>
      <c r="F125" s="137">
        <v>1478290.895</v>
      </c>
      <c r="G125" s="138">
        <v>126856.91925000001</v>
      </c>
      <c r="H125" s="139"/>
      <c r="I125" s="139">
        <f>(SUM(G125:H125))</f>
        <v>126856.91925000001</v>
      </c>
      <c r="J125" s="139">
        <v>34448.449565000003</v>
      </c>
      <c r="K125" s="139">
        <f>L125+M125+N125+O125</f>
        <v>234076.55404749999</v>
      </c>
      <c r="L125" s="139">
        <v>94467.825075000001</v>
      </c>
      <c r="M125" s="139">
        <v>98256.763972500004</v>
      </c>
      <c r="N125" s="139">
        <v>0</v>
      </c>
      <c r="O125" s="139">
        <v>41351.964999999997</v>
      </c>
      <c r="P125" s="139">
        <f>K125+J125</f>
        <v>268525.00361249998</v>
      </c>
      <c r="Q125" s="139">
        <v>161305.36881500002</v>
      </c>
      <c r="R125" s="139">
        <f>Q125-P125</f>
        <v>-107219.63479749995</v>
      </c>
      <c r="S125" s="140">
        <f>F125-Q125</f>
        <v>1316985.5261850001</v>
      </c>
      <c r="T125" s="141"/>
      <c r="U125" s="139">
        <v>85602.898000000001</v>
      </c>
      <c r="V125" s="139">
        <v>41254.021249999998</v>
      </c>
      <c r="W125" s="139">
        <v>21343.112000000001</v>
      </c>
      <c r="X125" s="124" t="str">
        <f>VLOOKUP(A125,[1]Consolidado!$A:$W,23,FALSE)</f>
        <v xml:space="preserve">Proyecto en ejecución OK. Cartera corriente </v>
      </c>
      <c r="Y125" s="121"/>
      <c r="Z125" s="89"/>
      <c r="AA125" s="9"/>
      <c r="AB125" s="89"/>
      <c r="AC125" s="93"/>
      <c r="AD125" s="93"/>
      <c r="AE125" s="94"/>
      <c r="AF125" s="94"/>
      <c r="AG125" s="94"/>
      <c r="AH125" s="94"/>
      <c r="AI125" s="94"/>
      <c r="AJ125" s="94"/>
    </row>
    <row r="126" spans="1:36" s="27" customFormat="1" ht="69" customHeight="1" x14ac:dyDescent="0.25">
      <c r="A126" s="132" t="s">
        <v>306</v>
      </c>
      <c r="B126" s="133" t="s">
        <v>139</v>
      </c>
      <c r="C126" s="134" t="s">
        <v>140</v>
      </c>
      <c r="D126" s="135" t="s">
        <v>143</v>
      </c>
      <c r="E126" s="136" t="s">
        <v>177</v>
      </c>
      <c r="F126" s="137">
        <v>188800</v>
      </c>
      <c r="G126" s="138">
        <v>24078.097000000002</v>
      </c>
      <c r="H126" s="139"/>
      <c r="I126" s="139">
        <f>(SUM(G126:H126))</f>
        <v>24078.097000000002</v>
      </c>
      <c r="J126" s="139">
        <v>6450.5569724999996</v>
      </c>
      <c r="K126" s="139">
        <f>L126+M126+N126+O126</f>
        <v>32444.058775000001</v>
      </c>
      <c r="L126" s="139">
        <v>9980.7517000000007</v>
      </c>
      <c r="M126" s="139">
        <v>22438.307075000001</v>
      </c>
      <c r="N126" s="139">
        <v>0</v>
      </c>
      <c r="O126" s="139">
        <v>25</v>
      </c>
      <c r="P126" s="139">
        <f>K126+J126</f>
        <v>38894.6157475</v>
      </c>
      <c r="Q126" s="139">
        <v>30528.6539725</v>
      </c>
      <c r="R126" s="139">
        <f>Q126-P126</f>
        <v>-8365.9617749999998</v>
      </c>
      <c r="S126" s="140">
        <f>F126-Q126</f>
        <v>158271.3460275</v>
      </c>
      <c r="T126" s="141"/>
      <c r="U126" s="139">
        <v>0</v>
      </c>
      <c r="V126" s="139">
        <v>24078.097000000002</v>
      </c>
      <c r="W126" s="139">
        <v>0</v>
      </c>
      <c r="X126" s="124" t="str">
        <f>VLOOKUP(A126,[1]Consolidado!$A:$W,23,FALSE)</f>
        <v xml:space="preserve">Proyecto en ejecución OK. SIN Cartera </v>
      </c>
      <c r="Y126" s="121"/>
      <c r="Z126" s="89"/>
      <c r="AA126" s="9"/>
      <c r="AB126" s="89"/>
      <c r="AC126" s="93"/>
      <c r="AD126" s="93"/>
      <c r="AE126" s="94"/>
      <c r="AF126" s="94"/>
      <c r="AG126" s="94"/>
      <c r="AH126" s="94"/>
      <c r="AI126" s="94"/>
      <c r="AJ126" s="94"/>
    </row>
    <row r="127" spans="1:36" s="27" customFormat="1" ht="69" customHeight="1" x14ac:dyDescent="0.25">
      <c r="A127" s="132" t="s">
        <v>307</v>
      </c>
      <c r="B127" s="133" t="s">
        <v>139</v>
      </c>
      <c r="C127" s="134" t="s">
        <v>140</v>
      </c>
      <c r="D127" s="135" t="s">
        <v>156</v>
      </c>
      <c r="E127" s="136" t="s">
        <v>308</v>
      </c>
      <c r="F127" s="137">
        <v>26272.7</v>
      </c>
      <c r="G127" s="138">
        <v>14610.699000000001</v>
      </c>
      <c r="H127" s="139"/>
      <c r="I127" s="139">
        <f>(SUM(G127:H127))</f>
        <v>14610.699000000001</v>
      </c>
      <c r="J127" s="139">
        <v>4519.4313425</v>
      </c>
      <c r="K127" s="139">
        <f>L127+M127+N127+O127</f>
        <v>15723.7414675</v>
      </c>
      <c r="L127" s="139">
        <v>0</v>
      </c>
      <c r="M127" s="139">
        <v>15660.588267499999</v>
      </c>
      <c r="N127" s="139">
        <v>0</v>
      </c>
      <c r="O127" s="139">
        <v>63.153200000000005</v>
      </c>
      <c r="P127" s="139">
        <f>K127+J127</f>
        <v>20243.17281</v>
      </c>
      <c r="Q127" s="139">
        <v>19130.130342500001</v>
      </c>
      <c r="R127" s="139">
        <f>Q127-P127</f>
        <v>-1113.0424674999995</v>
      </c>
      <c r="S127" s="140">
        <f>F127-Q127</f>
        <v>7142.5696575000002</v>
      </c>
      <c r="T127" s="141"/>
      <c r="U127" s="139">
        <v>0</v>
      </c>
      <c r="V127" s="139">
        <v>14610.699000000001</v>
      </c>
      <c r="W127" s="139">
        <v>0</v>
      </c>
      <c r="X127" s="124" t="str">
        <f>VLOOKUP(A127,[1]Consolidado!$A:$W,23,FALSE)</f>
        <v>No información.</v>
      </c>
      <c r="Y127" s="121"/>
      <c r="Z127" s="89"/>
      <c r="AA127" s="9"/>
      <c r="AB127" s="89"/>
      <c r="AC127" s="93"/>
      <c r="AD127" s="93"/>
      <c r="AE127" s="94"/>
      <c r="AF127" s="94"/>
      <c r="AG127" s="94"/>
      <c r="AH127" s="94"/>
      <c r="AI127" s="94"/>
      <c r="AJ127" s="94"/>
    </row>
    <row r="128" spans="1:36" s="27" customFormat="1" ht="69" customHeight="1" x14ac:dyDescent="0.25">
      <c r="A128" s="132" t="s">
        <v>309</v>
      </c>
      <c r="B128" s="133" t="s">
        <v>139</v>
      </c>
      <c r="C128" s="134" t="s">
        <v>140</v>
      </c>
      <c r="D128" s="135" t="s">
        <v>143</v>
      </c>
      <c r="E128" s="136" t="s">
        <v>310</v>
      </c>
      <c r="F128" s="137">
        <v>363400</v>
      </c>
      <c r="G128" s="138">
        <v>15322.271000000001</v>
      </c>
      <c r="H128" s="139"/>
      <c r="I128" s="139">
        <f>(SUM(G128:H128))</f>
        <v>15322.271000000001</v>
      </c>
      <c r="J128" s="139">
        <v>4567.3657274999996</v>
      </c>
      <c r="K128" s="139">
        <f>L128+M128+N128+O128</f>
        <v>20028.067545000002</v>
      </c>
      <c r="L128" s="139">
        <v>2328.7750000000001</v>
      </c>
      <c r="M128" s="139">
        <v>16007.177545</v>
      </c>
      <c r="N128" s="139">
        <v>0</v>
      </c>
      <c r="O128" s="139">
        <v>1692.115</v>
      </c>
      <c r="P128" s="139">
        <f>K128+J128</f>
        <v>24595.433272500002</v>
      </c>
      <c r="Q128" s="139">
        <v>19889.636727500001</v>
      </c>
      <c r="R128" s="139">
        <f>Q128-P128</f>
        <v>-4705.7965450000011</v>
      </c>
      <c r="S128" s="140">
        <f>F128-Q128</f>
        <v>343510.36327249999</v>
      </c>
      <c r="T128" s="141"/>
      <c r="U128" s="139">
        <v>0</v>
      </c>
      <c r="V128" s="139">
        <v>15322.271000000001</v>
      </c>
      <c r="W128" s="139">
        <v>0</v>
      </c>
      <c r="X128" s="124" t="str">
        <f>VLOOKUP(A128,[1]Consolidado!$A:$W,23,FALSE)</f>
        <v xml:space="preserve">Proyecto en ejecución OK. SIN Cartera </v>
      </c>
      <c r="Y128" s="121"/>
      <c r="Z128" s="89"/>
      <c r="AA128" s="9"/>
      <c r="AB128" s="89"/>
      <c r="AC128" s="93"/>
      <c r="AD128" s="93"/>
      <c r="AE128" s="94"/>
      <c r="AF128" s="94"/>
      <c r="AG128" s="94"/>
      <c r="AH128" s="94"/>
      <c r="AI128" s="94"/>
      <c r="AJ128" s="94"/>
    </row>
    <row r="129" spans="1:36" s="27" customFormat="1" ht="69" customHeight="1" x14ac:dyDescent="0.25">
      <c r="A129" s="132" t="s">
        <v>311</v>
      </c>
      <c r="B129" s="133" t="s">
        <v>139</v>
      </c>
      <c r="C129" s="134" t="s">
        <v>140</v>
      </c>
      <c r="D129" s="135" t="s">
        <v>156</v>
      </c>
      <c r="E129" s="136" t="s">
        <v>308</v>
      </c>
      <c r="F129" s="137">
        <v>24528.208999999999</v>
      </c>
      <c r="G129" s="138">
        <v>1375.537</v>
      </c>
      <c r="H129" s="139"/>
      <c r="I129" s="139">
        <f>(SUM(G129:H129))</f>
        <v>1375.537</v>
      </c>
      <c r="J129" s="139">
        <v>566.52631500000007</v>
      </c>
      <c r="K129" s="139">
        <f>L129+M129+N129+O129</f>
        <v>1586.2736850000001</v>
      </c>
      <c r="L129" s="139">
        <v>0</v>
      </c>
      <c r="M129" s="139">
        <v>1586.2736850000001</v>
      </c>
      <c r="N129" s="139">
        <v>0</v>
      </c>
      <c r="O129" s="139">
        <v>0</v>
      </c>
      <c r="P129" s="139">
        <f>K129+J129</f>
        <v>2152.8000000000002</v>
      </c>
      <c r="Q129" s="139">
        <v>1942.0633150000001</v>
      </c>
      <c r="R129" s="139">
        <f>Q129-P129</f>
        <v>-210.73668500000008</v>
      </c>
      <c r="S129" s="140">
        <f>F129-Q129</f>
        <v>22586.145685</v>
      </c>
      <c r="T129" s="141"/>
      <c r="U129" s="139">
        <v>0</v>
      </c>
      <c r="V129" s="139">
        <v>1375.537</v>
      </c>
      <c r="W129" s="139">
        <v>0</v>
      </c>
      <c r="X129" s="124" t="str">
        <f>VLOOKUP(A129,[1]Consolidado!$A:$W,23,FALSE)</f>
        <v>No información.</v>
      </c>
      <c r="Y129" s="121"/>
      <c r="Z129" s="89"/>
      <c r="AA129" s="9"/>
      <c r="AB129" s="89"/>
      <c r="AC129" s="93"/>
      <c r="AD129" s="93"/>
      <c r="AE129" s="94"/>
      <c r="AF129" s="94"/>
      <c r="AG129" s="94"/>
      <c r="AH129" s="94"/>
      <c r="AI129" s="94"/>
      <c r="AJ129" s="94"/>
    </row>
    <row r="130" spans="1:36" s="27" customFormat="1" ht="69" customHeight="1" x14ac:dyDescent="0.25">
      <c r="A130" s="132" t="s">
        <v>312</v>
      </c>
      <c r="B130" s="133" t="s">
        <v>139</v>
      </c>
      <c r="C130" s="134" t="s">
        <v>140</v>
      </c>
      <c r="D130" s="135" t="s">
        <v>136</v>
      </c>
      <c r="E130" s="136" t="s">
        <v>225</v>
      </c>
      <c r="F130" s="137">
        <v>18144.525000000001</v>
      </c>
      <c r="G130" s="138">
        <v>0</v>
      </c>
      <c r="H130" s="139"/>
      <c r="I130" s="139">
        <f>(SUM(G130:H130))</f>
        <v>0</v>
      </c>
      <c r="J130" s="139">
        <v>3986.6337725000003</v>
      </c>
      <c r="K130" s="139">
        <f>L130+M130+N130+O130</f>
        <v>3986.6337725000003</v>
      </c>
      <c r="L130" s="139">
        <v>0</v>
      </c>
      <c r="M130" s="139">
        <v>3870.0337725000004</v>
      </c>
      <c r="N130" s="139">
        <v>0</v>
      </c>
      <c r="O130" s="139">
        <v>116.60000000000001</v>
      </c>
      <c r="P130" s="139">
        <f>K130+J130</f>
        <v>7973.2675450000006</v>
      </c>
      <c r="Q130" s="139">
        <v>3986.6337725000003</v>
      </c>
      <c r="R130" s="139">
        <f>Q130-P130</f>
        <v>-3986.6337725000003</v>
      </c>
      <c r="S130" s="140">
        <f>F130-Q130</f>
        <v>14157.8912275</v>
      </c>
      <c r="T130" s="141"/>
      <c r="U130" s="139">
        <v>0</v>
      </c>
      <c r="V130" s="139">
        <v>0</v>
      </c>
      <c r="W130" s="139">
        <v>0</v>
      </c>
      <c r="X130" s="124" t="str">
        <f>VLOOKUP(A130,[1]Consolidado!$A:$W,23,FALSE)</f>
        <v>No información.</v>
      </c>
      <c r="Y130" s="121"/>
      <c r="Z130" s="89"/>
      <c r="AA130" s="9"/>
      <c r="AB130" s="89"/>
      <c r="AC130" s="93"/>
      <c r="AD130" s="93"/>
      <c r="AE130" s="94"/>
      <c r="AF130" s="94"/>
      <c r="AG130" s="94"/>
      <c r="AH130" s="94"/>
      <c r="AI130" s="94"/>
      <c r="AJ130" s="94"/>
    </row>
    <row r="131" spans="1:36" s="27" customFormat="1" ht="69" customHeight="1" x14ac:dyDescent="0.25">
      <c r="A131" s="132" t="s">
        <v>313</v>
      </c>
      <c r="B131" s="133" t="s">
        <v>139</v>
      </c>
      <c r="C131" s="134" t="s">
        <v>135</v>
      </c>
      <c r="D131" s="135" t="s">
        <v>136</v>
      </c>
      <c r="E131" s="136" t="s">
        <v>244</v>
      </c>
      <c r="F131" s="137">
        <v>69000</v>
      </c>
      <c r="G131" s="138">
        <v>7125</v>
      </c>
      <c r="H131" s="139"/>
      <c r="I131" s="139">
        <f>(SUM(G131:H131))</f>
        <v>7125</v>
      </c>
      <c r="J131" s="139">
        <v>5093.0602349999999</v>
      </c>
      <c r="K131" s="139">
        <f>L131+M131+N131+O131</f>
        <v>9798.4228074999992</v>
      </c>
      <c r="L131" s="139">
        <v>0</v>
      </c>
      <c r="M131" s="139">
        <v>9649.1228074999999</v>
      </c>
      <c r="N131" s="139">
        <v>0</v>
      </c>
      <c r="O131" s="139">
        <v>149.30000000000001</v>
      </c>
      <c r="P131" s="139">
        <f>K131+J131</f>
        <v>14891.4830425</v>
      </c>
      <c r="Q131" s="139">
        <v>12218.060234999999</v>
      </c>
      <c r="R131" s="139">
        <f>Q131-P131</f>
        <v>-2673.422807500001</v>
      </c>
      <c r="S131" s="140">
        <f>F131-Q131</f>
        <v>56781.939765000003</v>
      </c>
      <c r="T131" s="141"/>
      <c r="U131" s="139">
        <v>15000</v>
      </c>
      <c r="V131" s="139">
        <v>-7875</v>
      </c>
      <c r="W131" s="139">
        <v>15750</v>
      </c>
      <c r="X131" s="124" t="str">
        <f>VLOOKUP(A131,[1]Consolidado!$A:$W,23,FALSE)</f>
        <v>No información.</v>
      </c>
      <c r="Y131" s="121"/>
      <c r="Z131" s="89"/>
      <c r="AA131" s="9"/>
      <c r="AB131" s="89"/>
      <c r="AC131" s="93"/>
      <c r="AD131" s="93"/>
      <c r="AE131" s="94"/>
      <c r="AF131" s="94"/>
      <c r="AG131" s="94"/>
      <c r="AH131" s="94"/>
      <c r="AI131" s="94"/>
      <c r="AJ131" s="94"/>
    </row>
    <row r="132" spans="1:36" s="27" customFormat="1" ht="69" customHeight="1" x14ac:dyDescent="0.25">
      <c r="A132" s="132" t="s">
        <v>314</v>
      </c>
      <c r="B132" s="133" t="s">
        <v>139</v>
      </c>
      <c r="C132" s="134" t="s">
        <v>140</v>
      </c>
      <c r="D132" s="135" t="s">
        <v>264</v>
      </c>
      <c r="E132" s="136" t="s">
        <v>236</v>
      </c>
      <c r="F132" s="137">
        <v>185669.4</v>
      </c>
      <c r="G132" s="138">
        <v>0</v>
      </c>
      <c r="H132" s="139"/>
      <c r="I132" s="139">
        <f>(SUM(G132:H132))</f>
        <v>0</v>
      </c>
      <c r="J132" s="139">
        <v>0</v>
      </c>
      <c r="K132" s="139">
        <f>L132+M132+N132+O132</f>
        <v>0</v>
      </c>
      <c r="L132" s="139">
        <v>0</v>
      </c>
      <c r="M132" s="139">
        <v>0</v>
      </c>
      <c r="N132" s="139">
        <v>0</v>
      </c>
      <c r="O132" s="139">
        <v>0</v>
      </c>
      <c r="P132" s="139">
        <f>K132+J132</f>
        <v>0</v>
      </c>
      <c r="Q132" s="139">
        <v>0</v>
      </c>
      <c r="R132" s="139">
        <f>Q132-P132</f>
        <v>0</v>
      </c>
      <c r="S132" s="140">
        <f>F132-Q132</f>
        <v>185669.4</v>
      </c>
      <c r="T132" s="141"/>
      <c r="U132" s="139">
        <v>0</v>
      </c>
      <c r="V132" s="139">
        <v>0</v>
      </c>
      <c r="W132" s="139">
        <v>0</v>
      </c>
      <c r="X132" s="124" t="str">
        <f>VLOOKUP(A132,[1]Consolidado!$A:$W,23,FALSE)</f>
        <v>No información.</v>
      </c>
      <c r="Y132" s="121"/>
      <c r="Z132" s="89"/>
      <c r="AA132" s="9"/>
      <c r="AB132" s="89"/>
      <c r="AC132" s="93"/>
      <c r="AD132" s="93"/>
      <c r="AE132" s="94"/>
      <c r="AF132" s="94"/>
      <c r="AG132" s="94"/>
      <c r="AH132" s="94"/>
      <c r="AI132" s="94"/>
      <c r="AJ132" s="94"/>
    </row>
    <row r="133" spans="1:36" s="27" customFormat="1" ht="69" customHeight="1" x14ac:dyDescent="0.25">
      <c r="A133" s="132" t="s">
        <v>315</v>
      </c>
      <c r="B133" s="133" t="s">
        <v>139</v>
      </c>
      <c r="C133" s="134" t="s">
        <v>140</v>
      </c>
      <c r="D133" s="135" t="s">
        <v>156</v>
      </c>
      <c r="E133" s="136" t="s">
        <v>246</v>
      </c>
      <c r="F133" s="137">
        <v>44975.847999999998</v>
      </c>
      <c r="G133" s="138">
        <v>1096.2429999999999</v>
      </c>
      <c r="H133" s="139"/>
      <c r="I133" s="139">
        <f>(SUM(G133:H133))</f>
        <v>1096.2429999999999</v>
      </c>
      <c r="J133" s="139">
        <v>6660.449845000001</v>
      </c>
      <c r="K133" s="139">
        <f>L133+M133+N133+O133</f>
        <v>7756.6925350000001</v>
      </c>
      <c r="L133" s="139">
        <v>0</v>
      </c>
      <c r="M133" s="139">
        <v>7492.2602349999997</v>
      </c>
      <c r="N133" s="139">
        <v>0</v>
      </c>
      <c r="O133" s="139">
        <v>264.4323</v>
      </c>
      <c r="P133" s="139">
        <f>K133+J133</f>
        <v>14417.142380000001</v>
      </c>
      <c r="Q133" s="139">
        <v>7756.6928450000005</v>
      </c>
      <c r="R133" s="139">
        <f>Q133-P133</f>
        <v>-6660.4495350000007</v>
      </c>
      <c r="S133" s="140">
        <f>F133-Q133</f>
        <v>37219.155155</v>
      </c>
      <c r="T133" s="141"/>
      <c r="U133" s="139">
        <v>0</v>
      </c>
      <c r="V133" s="139">
        <v>1096.2429999999999</v>
      </c>
      <c r="W133" s="139">
        <v>0</v>
      </c>
      <c r="X133" s="124" t="str">
        <f>VLOOKUP(A133,[1]Consolidado!$A:$W,23,FALSE)</f>
        <v>No información.</v>
      </c>
      <c r="Y133" s="121"/>
      <c r="Z133" s="89"/>
      <c r="AA133" s="9"/>
      <c r="AB133" s="89"/>
      <c r="AC133" s="93"/>
      <c r="AD133" s="93"/>
      <c r="AE133" s="94"/>
      <c r="AF133" s="94"/>
      <c r="AG133" s="94"/>
      <c r="AH133" s="94"/>
      <c r="AI133" s="94"/>
      <c r="AJ133" s="94"/>
    </row>
    <row r="134" spans="1:36" s="27" customFormat="1" ht="69" customHeight="1" x14ac:dyDescent="0.25">
      <c r="A134" s="132" t="s">
        <v>316</v>
      </c>
      <c r="B134" s="133" t="s">
        <v>139</v>
      </c>
      <c r="C134" s="134" t="s">
        <v>140</v>
      </c>
      <c r="D134" s="135" t="s">
        <v>143</v>
      </c>
      <c r="E134" s="136" t="s">
        <v>317</v>
      </c>
      <c r="F134" s="137">
        <v>0</v>
      </c>
      <c r="G134" s="138">
        <v>0</v>
      </c>
      <c r="H134" s="139"/>
      <c r="I134" s="139">
        <f>(SUM(G134:H134))</f>
        <v>0</v>
      </c>
      <c r="J134" s="139">
        <v>277.77777750000001</v>
      </c>
      <c r="K134" s="139">
        <f>L134+M134+N134+O134</f>
        <v>277.77777750000001</v>
      </c>
      <c r="L134" s="139">
        <v>0</v>
      </c>
      <c r="M134" s="139">
        <v>277.77777750000001</v>
      </c>
      <c r="N134" s="139">
        <v>0</v>
      </c>
      <c r="O134" s="139">
        <v>0</v>
      </c>
      <c r="P134" s="139">
        <f>K134+J134</f>
        <v>555.55555500000003</v>
      </c>
      <c r="Q134" s="139">
        <v>277.77777750000001</v>
      </c>
      <c r="R134" s="139">
        <f>Q134-P134</f>
        <v>-277.77777750000001</v>
      </c>
      <c r="S134" s="140">
        <f>F134-Q134</f>
        <v>-277.77777750000001</v>
      </c>
      <c r="T134" s="141"/>
      <c r="U134" s="139">
        <v>0</v>
      </c>
      <c r="V134" s="139">
        <v>0</v>
      </c>
      <c r="W134" s="139">
        <v>0</v>
      </c>
      <c r="X134" s="124" t="e">
        <f>VLOOKUP(A134,[1]Consolidado!$A:$W,23,FALSE)</f>
        <v>#N/A</v>
      </c>
      <c r="Y134" s="121"/>
      <c r="Z134" s="89"/>
      <c r="AA134" s="9"/>
      <c r="AB134" s="89"/>
      <c r="AC134" s="93"/>
      <c r="AD134" s="93"/>
      <c r="AE134" s="94"/>
      <c r="AF134" s="94"/>
      <c r="AG134" s="94"/>
      <c r="AH134" s="94"/>
      <c r="AI134" s="94"/>
      <c r="AJ134" s="94"/>
    </row>
    <row r="135" spans="1:36" s="27" customFormat="1" ht="69" customHeight="1" x14ac:dyDescent="0.25">
      <c r="A135" s="132" t="s">
        <v>318</v>
      </c>
      <c r="B135" s="133" t="s">
        <v>139</v>
      </c>
      <c r="C135" s="134" t="s">
        <v>140</v>
      </c>
      <c r="D135" s="135" t="s">
        <v>264</v>
      </c>
      <c r="E135" s="136" t="s">
        <v>215</v>
      </c>
      <c r="F135" s="137">
        <v>0</v>
      </c>
      <c r="G135" s="138">
        <v>0</v>
      </c>
      <c r="H135" s="139"/>
      <c r="I135" s="139">
        <f>(SUM(G135:H135))</f>
        <v>0</v>
      </c>
      <c r="J135" s="139">
        <v>0</v>
      </c>
      <c r="K135" s="139">
        <f>L135+M135+N135+O135</f>
        <v>0</v>
      </c>
      <c r="L135" s="139">
        <v>0</v>
      </c>
      <c r="M135" s="139">
        <v>0</v>
      </c>
      <c r="N135" s="139">
        <v>0</v>
      </c>
      <c r="O135" s="139">
        <v>0</v>
      </c>
      <c r="P135" s="139">
        <f>K135+J135</f>
        <v>0</v>
      </c>
      <c r="Q135" s="139">
        <v>0</v>
      </c>
      <c r="R135" s="139">
        <f>Q135-P135</f>
        <v>0</v>
      </c>
      <c r="S135" s="140">
        <f>F135-Q135</f>
        <v>0</v>
      </c>
      <c r="T135" s="141"/>
      <c r="U135" s="139">
        <v>0</v>
      </c>
      <c r="V135" s="139">
        <v>0</v>
      </c>
      <c r="W135" s="139">
        <v>0</v>
      </c>
      <c r="X135" s="124" t="e">
        <f>VLOOKUP(A135,[1]Consolidado!$A:$W,23,FALSE)</f>
        <v>#N/A</v>
      </c>
      <c r="Y135" s="121"/>
      <c r="Z135" s="89"/>
      <c r="AA135" s="9"/>
      <c r="AB135" s="89"/>
      <c r="AC135" s="93"/>
      <c r="AD135" s="93"/>
      <c r="AE135" s="94"/>
      <c r="AF135" s="94"/>
      <c r="AG135" s="94"/>
      <c r="AH135" s="94"/>
      <c r="AI135" s="94"/>
      <c r="AJ135" s="94"/>
    </row>
    <row r="136" spans="1:36" s="27" customFormat="1" ht="69" customHeight="1" x14ac:dyDescent="0.25">
      <c r="A136" s="132" t="s">
        <v>319</v>
      </c>
      <c r="B136" s="133" t="s">
        <v>139</v>
      </c>
      <c r="C136" s="134" t="s">
        <v>140</v>
      </c>
      <c r="D136" s="135" t="s">
        <v>181</v>
      </c>
      <c r="E136" s="136" t="s">
        <v>206</v>
      </c>
      <c r="F136" s="137">
        <v>0</v>
      </c>
      <c r="G136" s="138">
        <v>0</v>
      </c>
      <c r="H136" s="139"/>
      <c r="I136" s="139">
        <f>(SUM(G136:H136))</f>
        <v>0</v>
      </c>
      <c r="J136" s="139">
        <v>0</v>
      </c>
      <c r="K136" s="139">
        <f>L136+M136+N136+O136</f>
        <v>0</v>
      </c>
      <c r="L136" s="139">
        <v>0</v>
      </c>
      <c r="M136" s="139">
        <v>0</v>
      </c>
      <c r="N136" s="139">
        <v>0</v>
      </c>
      <c r="O136" s="139">
        <v>0</v>
      </c>
      <c r="P136" s="139">
        <f>K136+J136</f>
        <v>0</v>
      </c>
      <c r="Q136" s="139">
        <v>0</v>
      </c>
      <c r="R136" s="139">
        <f>Q136-P136</f>
        <v>0</v>
      </c>
      <c r="S136" s="140">
        <f>F136-Q136</f>
        <v>0</v>
      </c>
      <c r="T136" s="141"/>
      <c r="U136" s="139">
        <v>0</v>
      </c>
      <c r="V136" s="139">
        <v>0</v>
      </c>
      <c r="W136" s="139">
        <v>0</v>
      </c>
      <c r="X136" s="124" t="e">
        <f>VLOOKUP(A136,[1]Consolidado!$A:$W,23,FALSE)</f>
        <v>#N/A</v>
      </c>
      <c r="Y136" s="121"/>
      <c r="Z136" s="89"/>
      <c r="AA136" s="9"/>
      <c r="AB136" s="89"/>
      <c r="AC136" s="93"/>
      <c r="AD136" s="93"/>
      <c r="AE136" s="94"/>
      <c r="AF136" s="94"/>
      <c r="AG136" s="94"/>
      <c r="AH136" s="94"/>
      <c r="AI136" s="94"/>
      <c r="AJ136" s="94"/>
    </row>
    <row r="137" spans="1:36" s="27" customFormat="1" ht="69" customHeight="1" x14ac:dyDescent="0.25">
      <c r="A137" s="132" t="s">
        <v>320</v>
      </c>
      <c r="B137" s="133" t="s">
        <v>139</v>
      </c>
      <c r="C137" s="134" t="s">
        <v>140</v>
      </c>
      <c r="D137" s="135" t="s">
        <v>181</v>
      </c>
      <c r="E137" s="136" t="s">
        <v>182</v>
      </c>
      <c r="F137" s="137">
        <v>0</v>
      </c>
      <c r="G137" s="138">
        <v>0</v>
      </c>
      <c r="H137" s="139"/>
      <c r="I137" s="139">
        <f>(SUM(G137:H137))</f>
        <v>0</v>
      </c>
      <c r="J137" s="139">
        <v>0</v>
      </c>
      <c r="K137" s="139">
        <f>L137+M137+N137+O137</f>
        <v>0</v>
      </c>
      <c r="L137" s="139">
        <v>0</v>
      </c>
      <c r="M137" s="139">
        <v>0</v>
      </c>
      <c r="N137" s="139">
        <v>0</v>
      </c>
      <c r="O137" s="139">
        <v>0</v>
      </c>
      <c r="P137" s="139">
        <f>K137+J137</f>
        <v>0</v>
      </c>
      <c r="Q137" s="139">
        <v>0</v>
      </c>
      <c r="R137" s="139">
        <f>Q137-P137</f>
        <v>0</v>
      </c>
      <c r="S137" s="140">
        <f>F137-Q137</f>
        <v>0</v>
      </c>
      <c r="T137" s="141"/>
      <c r="U137" s="139">
        <v>0</v>
      </c>
      <c r="V137" s="139">
        <v>122.604</v>
      </c>
      <c r="W137" s="139">
        <v>0</v>
      </c>
      <c r="X137" s="124" t="e">
        <f>VLOOKUP(A137,[1]Consolidado!$A:$W,23,FALSE)</f>
        <v>#N/A</v>
      </c>
      <c r="Y137" s="121"/>
      <c r="Z137" s="89"/>
      <c r="AA137" s="9"/>
      <c r="AB137" s="89"/>
      <c r="AC137" s="93"/>
      <c r="AD137" s="93"/>
      <c r="AE137" s="94"/>
      <c r="AF137" s="94"/>
      <c r="AG137" s="94"/>
      <c r="AH137" s="94"/>
      <c r="AI137" s="94"/>
      <c r="AJ137" s="94"/>
    </row>
    <row r="138" spans="1:36" s="27" customFormat="1" ht="69" customHeight="1" x14ac:dyDescent="0.25">
      <c r="A138" s="132" t="s">
        <v>321</v>
      </c>
      <c r="B138" s="133" t="s">
        <v>139</v>
      </c>
      <c r="C138" s="134" t="s">
        <v>140</v>
      </c>
      <c r="D138" s="135" t="s">
        <v>264</v>
      </c>
      <c r="E138" s="136" t="s">
        <v>215</v>
      </c>
      <c r="F138" s="137">
        <v>0</v>
      </c>
      <c r="G138" s="138">
        <v>0</v>
      </c>
      <c r="H138" s="139"/>
      <c r="I138" s="139">
        <f>(SUM(G138:H138))</f>
        <v>0</v>
      </c>
      <c r="J138" s="139">
        <v>0</v>
      </c>
      <c r="K138" s="139">
        <f>L138+M138+N138+O138</f>
        <v>0</v>
      </c>
      <c r="L138" s="139">
        <v>0</v>
      </c>
      <c r="M138" s="139">
        <v>0</v>
      </c>
      <c r="N138" s="139">
        <v>0</v>
      </c>
      <c r="O138" s="139">
        <v>0</v>
      </c>
      <c r="P138" s="139">
        <f>K138+J138</f>
        <v>0</v>
      </c>
      <c r="Q138" s="139">
        <v>0</v>
      </c>
      <c r="R138" s="139">
        <f>Q138-P138</f>
        <v>0</v>
      </c>
      <c r="S138" s="140">
        <f>F138-Q138</f>
        <v>0</v>
      </c>
      <c r="T138" s="141"/>
      <c r="U138" s="139">
        <v>0</v>
      </c>
      <c r="V138" s="139">
        <v>0</v>
      </c>
      <c r="W138" s="139">
        <v>0</v>
      </c>
      <c r="X138" s="124" t="e">
        <f>VLOOKUP(A138,[1]Consolidado!$A:$W,23,FALSE)</f>
        <v>#N/A</v>
      </c>
      <c r="Y138" s="121"/>
      <c r="Z138" s="89"/>
      <c r="AA138" s="9"/>
      <c r="AB138" s="89"/>
      <c r="AC138" s="93"/>
      <c r="AD138" s="93"/>
      <c r="AE138" s="94"/>
      <c r="AF138" s="94"/>
      <c r="AG138" s="94"/>
      <c r="AH138" s="94"/>
      <c r="AI138" s="94"/>
      <c r="AJ138" s="94"/>
    </row>
    <row r="139" spans="1:36" s="27" customFormat="1" ht="69" customHeight="1" x14ac:dyDescent="0.25">
      <c r="A139" s="132" t="s">
        <v>322</v>
      </c>
      <c r="B139" s="133" t="s">
        <v>139</v>
      </c>
      <c r="C139" s="134" t="s">
        <v>140</v>
      </c>
      <c r="D139" s="135" t="s">
        <v>264</v>
      </c>
      <c r="E139" s="136" t="s">
        <v>215</v>
      </c>
      <c r="F139" s="137">
        <v>0</v>
      </c>
      <c r="G139" s="138">
        <v>0</v>
      </c>
      <c r="H139" s="139"/>
      <c r="I139" s="139">
        <f>(SUM(G139:H139))</f>
        <v>0</v>
      </c>
      <c r="J139" s="139">
        <v>0</v>
      </c>
      <c r="K139" s="139">
        <f>L139+M139+N139+O139</f>
        <v>0</v>
      </c>
      <c r="L139" s="139">
        <v>0</v>
      </c>
      <c r="M139" s="139">
        <v>0</v>
      </c>
      <c r="N139" s="139">
        <v>0</v>
      </c>
      <c r="O139" s="139">
        <v>0</v>
      </c>
      <c r="P139" s="139">
        <f>K139+J139</f>
        <v>0</v>
      </c>
      <c r="Q139" s="139">
        <v>0</v>
      </c>
      <c r="R139" s="139">
        <f>Q139-P139</f>
        <v>0</v>
      </c>
      <c r="S139" s="140">
        <f>F139-Q139</f>
        <v>0</v>
      </c>
      <c r="T139" s="141"/>
      <c r="U139" s="139">
        <v>0</v>
      </c>
      <c r="V139" s="139">
        <v>0</v>
      </c>
      <c r="W139" s="139">
        <v>0</v>
      </c>
      <c r="X139" s="124" t="e">
        <f>VLOOKUP(A139,[1]Consolidado!$A:$W,23,FALSE)</f>
        <v>#N/A</v>
      </c>
      <c r="Y139" s="121"/>
      <c r="Z139" s="89"/>
      <c r="AA139" s="9"/>
      <c r="AB139" s="89"/>
      <c r="AC139" s="93"/>
      <c r="AD139" s="93"/>
      <c r="AE139" s="94"/>
      <c r="AF139" s="94"/>
      <c r="AG139" s="94"/>
      <c r="AH139" s="94"/>
      <c r="AI139" s="94"/>
      <c r="AJ139" s="94"/>
    </row>
    <row r="140" spans="1:36" s="27" customFormat="1" ht="69" customHeight="1" x14ac:dyDescent="0.25">
      <c r="A140" s="132" t="s">
        <v>323</v>
      </c>
      <c r="B140" s="133" t="s">
        <v>139</v>
      </c>
      <c r="C140" s="134" t="s">
        <v>140</v>
      </c>
      <c r="D140" s="135" t="s">
        <v>111</v>
      </c>
      <c r="E140" s="136" t="s">
        <v>141</v>
      </c>
      <c r="F140" s="137">
        <v>0</v>
      </c>
      <c r="G140" s="138">
        <v>0</v>
      </c>
      <c r="H140" s="139"/>
      <c r="I140" s="139">
        <f>(SUM(G140:H140))</f>
        <v>0</v>
      </c>
      <c r="J140" s="139">
        <v>0</v>
      </c>
      <c r="K140" s="139">
        <f>L140+M140+N140+O140</f>
        <v>0</v>
      </c>
      <c r="L140" s="139">
        <v>0</v>
      </c>
      <c r="M140" s="139">
        <v>0</v>
      </c>
      <c r="N140" s="139">
        <v>0</v>
      </c>
      <c r="O140" s="139">
        <v>0</v>
      </c>
      <c r="P140" s="139">
        <f>K140+J140</f>
        <v>0</v>
      </c>
      <c r="Q140" s="139">
        <v>0</v>
      </c>
      <c r="R140" s="139">
        <f>Q140-P140</f>
        <v>0</v>
      </c>
      <c r="S140" s="140">
        <f>F140-Q140</f>
        <v>0</v>
      </c>
      <c r="T140" s="141"/>
      <c r="U140" s="139">
        <v>0</v>
      </c>
      <c r="V140" s="139">
        <v>0</v>
      </c>
      <c r="W140" s="139">
        <v>0</v>
      </c>
      <c r="X140" s="124" t="e">
        <f>VLOOKUP(A140,[1]Consolidado!$A:$W,23,FALSE)</f>
        <v>#N/A</v>
      </c>
      <c r="Y140" s="121"/>
      <c r="Z140" s="89"/>
      <c r="AA140" s="9"/>
      <c r="AB140" s="89"/>
      <c r="AC140" s="93"/>
      <c r="AD140" s="93"/>
      <c r="AE140" s="94"/>
      <c r="AF140" s="94"/>
      <c r="AG140" s="94"/>
      <c r="AH140" s="94"/>
      <c r="AI140" s="94"/>
      <c r="AJ140" s="94"/>
    </row>
    <row r="141" spans="1:36" s="27" customFormat="1" ht="69" customHeight="1" x14ac:dyDescent="0.25">
      <c r="A141" s="132" t="s">
        <v>324</v>
      </c>
      <c r="B141" s="133" t="s">
        <v>139</v>
      </c>
      <c r="C141" s="134" t="s">
        <v>140</v>
      </c>
      <c r="D141" s="135" t="s">
        <v>181</v>
      </c>
      <c r="E141" s="136" t="s">
        <v>182</v>
      </c>
      <c r="F141" s="137">
        <v>0</v>
      </c>
      <c r="G141" s="138">
        <v>0</v>
      </c>
      <c r="H141" s="139"/>
      <c r="I141" s="139">
        <f>(SUM(G141:H141))</f>
        <v>0</v>
      </c>
      <c r="J141" s="139">
        <v>0</v>
      </c>
      <c r="K141" s="139">
        <f>L141+M141+N141+O141</f>
        <v>0</v>
      </c>
      <c r="L141" s="139">
        <v>0</v>
      </c>
      <c r="M141" s="139">
        <v>0</v>
      </c>
      <c r="N141" s="139">
        <v>0</v>
      </c>
      <c r="O141" s="139">
        <v>0</v>
      </c>
      <c r="P141" s="139">
        <f>K141+J141</f>
        <v>0</v>
      </c>
      <c r="Q141" s="139">
        <v>0</v>
      </c>
      <c r="R141" s="139">
        <f>Q141-P141</f>
        <v>0</v>
      </c>
      <c r="S141" s="140">
        <f>F141-Q141</f>
        <v>0</v>
      </c>
      <c r="T141" s="141"/>
      <c r="U141" s="139">
        <v>0</v>
      </c>
      <c r="V141" s="139">
        <v>0</v>
      </c>
      <c r="W141" s="139">
        <v>0</v>
      </c>
      <c r="X141" s="124" t="e">
        <f>VLOOKUP(A141,[1]Consolidado!$A:$W,23,FALSE)</f>
        <v>#N/A</v>
      </c>
      <c r="Y141" s="121"/>
      <c r="Z141" s="89"/>
      <c r="AA141" s="9"/>
      <c r="AB141" s="89"/>
      <c r="AC141" s="93"/>
      <c r="AD141" s="93"/>
      <c r="AE141" s="94"/>
      <c r="AF141" s="94"/>
      <c r="AG141" s="94"/>
      <c r="AH141" s="94"/>
      <c r="AI141" s="94"/>
      <c r="AJ141" s="94"/>
    </row>
    <row r="142" spans="1:36" s="27" customFormat="1" ht="69" customHeight="1" x14ac:dyDescent="0.25">
      <c r="A142" s="132" t="s">
        <v>325</v>
      </c>
      <c r="B142" s="133" t="s">
        <v>139</v>
      </c>
      <c r="C142" s="134" t="s">
        <v>140</v>
      </c>
      <c r="D142" s="135" t="s">
        <v>264</v>
      </c>
      <c r="E142" s="136" t="s">
        <v>215</v>
      </c>
      <c r="F142" s="137">
        <v>0</v>
      </c>
      <c r="G142" s="138">
        <v>0</v>
      </c>
      <c r="H142" s="139"/>
      <c r="I142" s="139">
        <f>(SUM(G142:H142))</f>
        <v>0</v>
      </c>
      <c r="J142" s="139">
        <v>0</v>
      </c>
      <c r="K142" s="139">
        <f>L142+M142+N142+O142</f>
        <v>0</v>
      </c>
      <c r="L142" s="139">
        <v>0</v>
      </c>
      <c r="M142" s="139">
        <v>0</v>
      </c>
      <c r="N142" s="139">
        <v>0</v>
      </c>
      <c r="O142" s="139">
        <v>0</v>
      </c>
      <c r="P142" s="139">
        <f>K142+J142</f>
        <v>0</v>
      </c>
      <c r="Q142" s="139">
        <v>0</v>
      </c>
      <c r="R142" s="139">
        <f>Q142-P142</f>
        <v>0</v>
      </c>
      <c r="S142" s="140">
        <f>F142-Q142</f>
        <v>0</v>
      </c>
      <c r="T142" s="141"/>
      <c r="U142" s="139">
        <v>0</v>
      </c>
      <c r="V142" s="139">
        <v>0</v>
      </c>
      <c r="W142" s="139">
        <v>0</v>
      </c>
      <c r="X142" s="124" t="e">
        <f>VLOOKUP(A142,[1]Consolidado!$A:$W,23,FALSE)</f>
        <v>#N/A</v>
      </c>
      <c r="Y142" s="121"/>
      <c r="Z142" s="89"/>
      <c r="AA142" s="9"/>
      <c r="AB142" s="89"/>
      <c r="AC142" s="93"/>
      <c r="AD142" s="93"/>
      <c r="AE142" s="94"/>
      <c r="AF142" s="94"/>
      <c r="AG142" s="94"/>
      <c r="AH142" s="94"/>
      <c r="AI142" s="94"/>
      <c r="AJ142" s="94"/>
    </row>
    <row r="143" spans="1:36" s="27" customFormat="1" ht="69" customHeight="1" x14ac:dyDescent="0.25">
      <c r="A143" s="132" t="s">
        <v>326</v>
      </c>
      <c r="B143" s="133" t="s">
        <v>327</v>
      </c>
      <c r="C143" s="134" t="s">
        <v>135</v>
      </c>
      <c r="D143" s="135" t="s">
        <v>143</v>
      </c>
      <c r="E143" s="136" t="s">
        <v>328</v>
      </c>
      <c r="F143" s="137">
        <v>0</v>
      </c>
      <c r="G143" s="138">
        <v>379435.86091000005</v>
      </c>
      <c r="H143" s="139"/>
      <c r="I143" s="139">
        <f>(SUM(G143:H143))</f>
        <v>379435.86091000005</v>
      </c>
      <c r="J143" s="139">
        <v>0</v>
      </c>
      <c r="K143" s="139">
        <f>L143+M143+N143+O143</f>
        <v>122131.01044999999</v>
      </c>
      <c r="L143" s="139">
        <v>59119.200349999999</v>
      </c>
      <c r="M143" s="139">
        <v>0</v>
      </c>
      <c r="N143" s="139">
        <v>18258.051090000001</v>
      </c>
      <c r="O143" s="139">
        <v>44753.759009999994</v>
      </c>
      <c r="P143" s="139">
        <f>K143+J143</f>
        <v>122131.01044999999</v>
      </c>
      <c r="Q143" s="139">
        <v>379435.86091000005</v>
      </c>
      <c r="R143" s="139">
        <f>Q143-P143</f>
        <v>257304.85046000005</v>
      </c>
      <c r="S143" s="140">
        <f>F143-Q143</f>
        <v>-379435.86091000005</v>
      </c>
      <c r="T143" s="141"/>
      <c r="U143" s="139">
        <v>436286.11832000001</v>
      </c>
      <c r="V143" s="139">
        <v>0</v>
      </c>
      <c r="W143" s="139">
        <v>0</v>
      </c>
      <c r="X143" s="124" t="str">
        <f>VLOOKUP(A143,[1]Consolidado!$A:$W,23,FALSE)</f>
        <v>No información.</v>
      </c>
      <c r="Y143" s="121"/>
      <c r="Z143" s="89"/>
      <c r="AA143" s="9"/>
      <c r="AB143" s="89"/>
      <c r="AC143" s="93"/>
      <c r="AD143" s="93"/>
      <c r="AE143" s="94"/>
      <c r="AF143" s="94"/>
      <c r="AG143" s="94"/>
      <c r="AH143" s="94"/>
      <c r="AI143" s="94"/>
      <c r="AJ143" s="94"/>
    </row>
    <row r="144" spans="1:36" s="27" customFormat="1" ht="69" customHeight="1" x14ac:dyDescent="0.25">
      <c r="A144" s="132" t="s">
        <v>329</v>
      </c>
      <c r="B144" s="133" t="s">
        <v>327</v>
      </c>
      <c r="C144" s="134" t="s">
        <v>140</v>
      </c>
      <c r="D144" s="135" t="s">
        <v>181</v>
      </c>
      <c r="E144" s="136" t="s">
        <v>330</v>
      </c>
      <c r="F144" s="137">
        <v>0</v>
      </c>
      <c r="G144" s="138">
        <v>0</v>
      </c>
      <c r="H144" s="139"/>
      <c r="I144" s="139">
        <f>(SUM(G144:H144))</f>
        <v>0</v>
      </c>
      <c r="J144" s="139">
        <v>0</v>
      </c>
      <c r="K144" s="139">
        <f>L144+M144+N144+O144</f>
        <v>464.57</v>
      </c>
      <c r="L144" s="139">
        <v>0</v>
      </c>
      <c r="M144" s="139">
        <v>0</v>
      </c>
      <c r="N144" s="139">
        <v>0</v>
      </c>
      <c r="O144" s="139">
        <v>464.57</v>
      </c>
      <c r="P144" s="139">
        <f>K144+J144</f>
        <v>464.57</v>
      </c>
      <c r="Q144" s="139">
        <v>0</v>
      </c>
      <c r="R144" s="139">
        <f>Q144-P144</f>
        <v>-464.57</v>
      </c>
      <c r="S144" s="140">
        <f>F144-Q144</f>
        <v>0</v>
      </c>
      <c r="T144" s="141"/>
      <c r="U144" s="139">
        <v>0</v>
      </c>
      <c r="V144" s="139">
        <v>163678.614</v>
      </c>
      <c r="W144" s="139">
        <v>0</v>
      </c>
      <c r="X144" s="124" t="str">
        <f>VLOOKUP(A144,[1]Consolidado!$A:$W,23,FALSE)</f>
        <v>INFOM obras p/comunidades HISTA (Clara Inés Rengifo) reclamación en Guatemala</v>
      </c>
      <c r="Y144" s="121"/>
      <c r="Z144" s="89"/>
      <c r="AA144" s="9"/>
      <c r="AB144" s="89"/>
      <c r="AC144" s="93"/>
      <c r="AD144" s="93"/>
      <c r="AE144" s="94"/>
      <c r="AF144" s="94"/>
      <c r="AG144" s="94"/>
      <c r="AH144" s="94"/>
      <c r="AI144" s="94"/>
      <c r="AJ144" s="94"/>
    </row>
    <row r="145" spans="1:36" s="27" customFormat="1" ht="69" customHeight="1" x14ac:dyDescent="0.25">
      <c r="A145" s="132" t="s">
        <v>331</v>
      </c>
      <c r="B145" s="133" t="s">
        <v>327</v>
      </c>
      <c r="C145" s="134" t="s">
        <v>147</v>
      </c>
      <c r="D145" s="135" t="s">
        <v>136</v>
      </c>
      <c r="E145" s="136" t="s">
        <v>137</v>
      </c>
      <c r="F145" s="137">
        <v>0</v>
      </c>
      <c r="G145" s="138">
        <v>0</v>
      </c>
      <c r="H145" s="139"/>
      <c r="I145" s="139">
        <f>(SUM(G145:H145))</f>
        <v>0</v>
      </c>
      <c r="J145" s="139">
        <v>0</v>
      </c>
      <c r="K145" s="139">
        <f>L145+M145+N145+O145</f>
        <v>25422.576999999997</v>
      </c>
      <c r="L145" s="139">
        <v>23531.51</v>
      </c>
      <c r="M145" s="139">
        <v>0</v>
      </c>
      <c r="N145" s="139">
        <v>0</v>
      </c>
      <c r="O145" s="139">
        <v>1891.067</v>
      </c>
      <c r="P145" s="139">
        <f>K145+J145</f>
        <v>25422.576999999997</v>
      </c>
      <c r="Q145" s="139">
        <v>0</v>
      </c>
      <c r="R145" s="139">
        <f>Q145-P145</f>
        <v>-25422.576999999997</v>
      </c>
      <c r="S145" s="140">
        <f>F145-Q145</f>
        <v>0</v>
      </c>
      <c r="T145" s="141"/>
      <c r="U145" s="139">
        <v>56492.525000000001</v>
      </c>
      <c r="V145" s="139">
        <v>0</v>
      </c>
      <c r="W145" s="139">
        <v>0</v>
      </c>
      <c r="X145" s="124" t="str">
        <f>VLOOKUP(A145,[1]Consolidado!$A:$W,23,FALSE)</f>
        <v>No información.</v>
      </c>
      <c r="Y145" s="121"/>
      <c r="Z145" s="89"/>
      <c r="AA145" s="9"/>
      <c r="AB145" s="89"/>
      <c r="AC145" s="93"/>
      <c r="AD145" s="93"/>
      <c r="AE145" s="94"/>
      <c r="AF145" s="94"/>
      <c r="AG145" s="94"/>
      <c r="AH145" s="94"/>
      <c r="AI145" s="94"/>
      <c r="AJ145" s="94"/>
    </row>
    <row r="146" spans="1:36" s="27" customFormat="1" ht="69" customHeight="1" x14ac:dyDescent="0.25">
      <c r="A146" s="132" t="s">
        <v>332</v>
      </c>
      <c r="B146" s="133" t="s">
        <v>327</v>
      </c>
      <c r="C146" s="134" t="s">
        <v>135</v>
      </c>
      <c r="D146" s="135" t="s">
        <v>143</v>
      </c>
      <c r="E146" s="136" t="s">
        <v>152</v>
      </c>
      <c r="F146" s="137">
        <v>288245.46299999999</v>
      </c>
      <c r="G146" s="138">
        <v>276999.11877</v>
      </c>
      <c r="H146" s="139"/>
      <c r="I146" s="139">
        <f>(SUM(G146:H146))</f>
        <v>276999.11877</v>
      </c>
      <c r="J146" s="139">
        <v>0</v>
      </c>
      <c r="K146" s="139">
        <f>L146+M146+N146+O146</f>
        <v>106236.38646000001</v>
      </c>
      <c r="L146" s="139">
        <v>3489.7592</v>
      </c>
      <c r="M146" s="139">
        <v>0</v>
      </c>
      <c r="N146" s="139">
        <v>50652.792280000001</v>
      </c>
      <c r="O146" s="139">
        <v>52093.83498</v>
      </c>
      <c r="P146" s="139">
        <f>K146+J146</f>
        <v>106236.38646000001</v>
      </c>
      <c r="Q146" s="139">
        <v>276999.11877</v>
      </c>
      <c r="R146" s="139">
        <f>Q146-P146</f>
        <v>170762.73230999999</v>
      </c>
      <c r="S146" s="140">
        <f>F146-Q146</f>
        <v>11246.344229999988</v>
      </c>
      <c r="T146" s="141"/>
      <c r="U146" s="139">
        <v>325631.15727999998</v>
      </c>
      <c r="V146" s="139">
        <v>-48632.038509999998</v>
      </c>
      <c r="W146" s="139">
        <v>0</v>
      </c>
      <c r="X146" s="124" t="str">
        <f>VLOOKUP(A146,[1]Consolidado!$A:$W,23,FALSE)</f>
        <v>WIP negativo causado por la Tasa de Cambio actual que es mayor a la usada en el presupuesto del proyecto; sólo se reversa al finalizar el proyecto.</v>
      </c>
      <c r="Y146" s="121"/>
      <c r="Z146" s="89"/>
      <c r="AA146" s="9"/>
      <c r="AB146" s="89"/>
      <c r="AC146" s="93"/>
      <c r="AD146" s="93"/>
      <c r="AE146" s="94"/>
      <c r="AF146" s="94"/>
      <c r="AG146" s="94"/>
      <c r="AH146" s="94"/>
      <c r="AI146" s="94"/>
      <c r="AJ146" s="94"/>
    </row>
    <row r="147" spans="1:36" s="27" customFormat="1" ht="69" customHeight="1" x14ac:dyDescent="0.25">
      <c r="A147" s="132" t="s">
        <v>333</v>
      </c>
      <c r="B147" s="133" t="s">
        <v>327</v>
      </c>
      <c r="C147" s="134" t="s">
        <v>140</v>
      </c>
      <c r="D147" s="135" t="s">
        <v>143</v>
      </c>
      <c r="E147" s="136" t="s">
        <v>168</v>
      </c>
      <c r="F147" s="137">
        <v>654885</v>
      </c>
      <c r="G147" s="138">
        <v>654885</v>
      </c>
      <c r="H147" s="139"/>
      <c r="I147" s="139">
        <f>(SUM(G147:H147))</f>
        <v>654885</v>
      </c>
      <c r="J147" s="139">
        <v>0</v>
      </c>
      <c r="K147" s="139">
        <f>L147+M147+N147+O147</f>
        <v>570834.26315000001</v>
      </c>
      <c r="L147" s="139">
        <v>421444.92825000006</v>
      </c>
      <c r="M147" s="139">
        <v>0</v>
      </c>
      <c r="N147" s="139">
        <v>30451.93043</v>
      </c>
      <c r="O147" s="139">
        <v>118937.40446999999</v>
      </c>
      <c r="P147" s="139">
        <f>K147+J147</f>
        <v>570834.26315000001</v>
      </c>
      <c r="Q147" s="139">
        <v>654885</v>
      </c>
      <c r="R147" s="139">
        <f>Q147-P147</f>
        <v>84050.736849999987</v>
      </c>
      <c r="S147" s="140">
        <f>F147-Q147</f>
        <v>0</v>
      </c>
      <c r="T147" s="141"/>
      <c r="U147" s="139">
        <v>605229.30000000005</v>
      </c>
      <c r="V147" s="139">
        <v>49655.7</v>
      </c>
      <c r="W147" s="139">
        <v>0</v>
      </c>
      <c r="X147" s="124" t="str">
        <f>VLOOKUP(A147,[1]Consolidado!$A:$W,23,FALSE)</f>
        <v>No información.</v>
      </c>
      <c r="Y147" s="121"/>
      <c r="Z147" s="89"/>
      <c r="AA147" s="9"/>
      <c r="AB147" s="89"/>
      <c r="AC147" s="93"/>
      <c r="AD147" s="93"/>
      <c r="AE147" s="94"/>
      <c r="AF147" s="94"/>
      <c r="AG147" s="94"/>
      <c r="AH147" s="94"/>
      <c r="AI147" s="94"/>
      <c r="AJ147" s="94"/>
    </row>
    <row r="148" spans="1:36" s="27" customFormat="1" ht="69" customHeight="1" x14ac:dyDescent="0.25">
      <c r="A148" s="132" t="s">
        <v>334</v>
      </c>
      <c r="B148" s="133" t="s">
        <v>327</v>
      </c>
      <c r="C148" s="134" t="s">
        <v>140</v>
      </c>
      <c r="D148" s="135" t="s">
        <v>143</v>
      </c>
      <c r="E148" s="136" t="s">
        <v>168</v>
      </c>
      <c r="F148" s="137">
        <v>1690158.75</v>
      </c>
      <c r="G148" s="138">
        <v>1518934.0930000001</v>
      </c>
      <c r="H148" s="139"/>
      <c r="I148" s="139">
        <f>(SUM(G148:H148))</f>
        <v>1518934.0930000001</v>
      </c>
      <c r="J148" s="139">
        <v>0</v>
      </c>
      <c r="K148" s="139">
        <f>L148+M148+N148+O148</f>
        <v>1282112.8392699999</v>
      </c>
      <c r="L148" s="139">
        <v>724419.81515000004</v>
      </c>
      <c r="M148" s="139">
        <v>0</v>
      </c>
      <c r="N148" s="139">
        <v>1762.32311</v>
      </c>
      <c r="O148" s="139">
        <v>555930.70100999996</v>
      </c>
      <c r="P148" s="139">
        <f>K148+J148</f>
        <v>1282112.8392699999</v>
      </c>
      <c r="Q148" s="139">
        <v>1518934.0930000001</v>
      </c>
      <c r="R148" s="139">
        <f>Q148-P148</f>
        <v>236821.25373000023</v>
      </c>
      <c r="S148" s="140">
        <f>F148-Q148</f>
        <v>171224.65699999989</v>
      </c>
      <c r="T148" s="141"/>
      <c r="U148" s="139">
        <v>1546911.7450000001</v>
      </c>
      <c r="V148" s="139">
        <v>19448.825829999998</v>
      </c>
      <c r="W148" s="139">
        <v>0</v>
      </c>
      <c r="X148" s="124" t="str">
        <f>VLOOKUP(A148,[1]Consolidado!$A:$W,23,FALSE)</f>
        <v>No información.</v>
      </c>
      <c r="Y148" s="121"/>
      <c r="Z148" s="89"/>
      <c r="AA148" s="9"/>
      <c r="AB148" s="89"/>
      <c r="AC148" s="93"/>
      <c r="AD148" s="93"/>
      <c r="AE148" s="94"/>
      <c r="AF148" s="94"/>
      <c r="AG148" s="94"/>
      <c r="AH148" s="94"/>
      <c r="AI148" s="94"/>
      <c r="AJ148" s="94"/>
    </row>
    <row r="149" spans="1:36" s="27" customFormat="1" ht="69" customHeight="1" x14ac:dyDescent="0.25">
      <c r="A149" s="132" t="s">
        <v>335</v>
      </c>
      <c r="B149" s="133" t="s">
        <v>327</v>
      </c>
      <c r="C149" s="134" t="s">
        <v>140</v>
      </c>
      <c r="D149" s="135" t="s">
        <v>143</v>
      </c>
      <c r="E149" s="136" t="s">
        <v>159</v>
      </c>
      <c r="F149" s="137">
        <v>185692.1</v>
      </c>
      <c r="G149" s="138">
        <v>180378.497</v>
      </c>
      <c r="H149" s="139"/>
      <c r="I149" s="139">
        <f>(SUM(G149:H149))</f>
        <v>180378.497</v>
      </c>
      <c r="J149" s="139">
        <v>0</v>
      </c>
      <c r="K149" s="139">
        <f>L149+M149+N149+O149</f>
        <v>175529.88075500002</v>
      </c>
      <c r="L149" s="139">
        <v>151192.81007500002</v>
      </c>
      <c r="M149" s="139">
        <v>0</v>
      </c>
      <c r="N149" s="139">
        <v>5808.4342400000005</v>
      </c>
      <c r="O149" s="139">
        <v>18528.636440000002</v>
      </c>
      <c r="P149" s="139">
        <f>K149+J149</f>
        <v>175529.88075500002</v>
      </c>
      <c r="Q149" s="139">
        <v>180378.497</v>
      </c>
      <c r="R149" s="139">
        <f>Q149-P149</f>
        <v>4848.6162449999829</v>
      </c>
      <c r="S149" s="140">
        <f>F149-Q149</f>
        <v>5313.6030000000028</v>
      </c>
      <c r="T149" s="141"/>
      <c r="U149" s="139">
        <v>185692.101</v>
      </c>
      <c r="V149" s="139">
        <v>-5313.6019999999999</v>
      </c>
      <c r="W149" s="139">
        <v>0</v>
      </c>
      <c r="X149" s="124" t="str">
        <f>VLOOKUP(A149,[1]Consolidado!$A:$W,23,FALSE)</f>
        <v xml:space="preserve">Proyecto en etapa de liquidación </v>
      </c>
      <c r="Y149" s="121"/>
      <c r="Z149" s="89"/>
      <c r="AA149" s="9"/>
      <c r="AB149" s="89"/>
      <c r="AC149" s="93"/>
      <c r="AD149" s="93"/>
      <c r="AE149" s="94"/>
      <c r="AF149" s="94"/>
      <c r="AG149" s="94"/>
      <c r="AH149" s="94"/>
      <c r="AI149" s="94"/>
      <c r="AJ149" s="94"/>
    </row>
    <row r="150" spans="1:36" s="27" customFormat="1" ht="69" customHeight="1" x14ac:dyDescent="0.25">
      <c r="A150" s="132" t="s">
        <v>336</v>
      </c>
      <c r="B150" s="133" t="s">
        <v>327</v>
      </c>
      <c r="C150" s="134" t="s">
        <v>140</v>
      </c>
      <c r="D150" s="135" t="s">
        <v>143</v>
      </c>
      <c r="E150" s="136" t="s">
        <v>150</v>
      </c>
      <c r="F150" s="137">
        <v>255757.38</v>
      </c>
      <c r="G150" s="138">
        <v>255757.38</v>
      </c>
      <c r="H150" s="139"/>
      <c r="I150" s="139">
        <f>(SUM(G150:H150))</f>
        <v>255757.38</v>
      </c>
      <c r="J150" s="139">
        <v>0</v>
      </c>
      <c r="K150" s="139">
        <f>L150+M150+N150+O150</f>
        <v>172859.17021499999</v>
      </c>
      <c r="L150" s="139">
        <v>150043.217825</v>
      </c>
      <c r="M150" s="139">
        <v>0</v>
      </c>
      <c r="N150" s="139">
        <v>2288.55701</v>
      </c>
      <c r="O150" s="139">
        <v>20527.395379999998</v>
      </c>
      <c r="P150" s="139">
        <f>K150+J150</f>
        <v>172859.17021499999</v>
      </c>
      <c r="Q150" s="139">
        <v>255757.38</v>
      </c>
      <c r="R150" s="139">
        <f>Q150-P150</f>
        <v>82898.209785000014</v>
      </c>
      <c r="S150" s="140">
        <f>F150-Q150</f>
        <v>0</v>
      </c>
      <c r="T150" s="141"/>
      <c r="U150" s="139">
        <v>255757.38</v>
      </c>
      <c r="V150" s="139">
        <v>0</v>
      </c>
      <c r="W150" s="139">
        <v>0</v>
      </c>
      <c r="X150" s="124" t="str">
        <f>VLOOKUP(A150,[1]Consolidado!$A:$W,23,FALSE)</f>
        <v>No información.</v>
      </c>
      <c r="Y150" s="121"/>
      <c r="Z150" s="89"/>
      <c r="AA150" s="9"/>
      <c r="AB150" s="89"/>
      <c r="AC150" s="93"/>
      <c r="AD150" s="93"/>
      <c r="AE150" s="94"/>
      <c r="AF150" s="94"/>
      <c r="AG150" s="94"/>
      <c r="AH150" s="94"/>
      <c r="AI150" s="94"/>
      <c r="AJ150" s="94"/>
    </row>
    <row r="151" spans="1:36" s="27" customFormat="1" ht="69" customHeight="1" x14ac:dyDescent="0.25">
      <c r="A151" s="132" t="s">
        <v>337</v>
      </c>
      <c r="B151" s="133" t="s">
        <v>327</v>
      </c>
      <c r="C151" s="134" t="s">
        <v>110</v>
      </c>
      <c r="D151" s="135" t="s">
        <v>143</v>
      </c>
      <c r="E151" s="136" t="s">
        <v>198</v>
      </c>
      <c r="F151" s="137">
        <v>536253.99300000002</v>
      </c>
      <c r="G151" s="138">
        <v>535994.70700000005</v>
      </c>
      <c r="H151" s="139"/>
      <c r="I151" s="139">
        <f>(SUM(G151:H151))</f>
        <v>535994.70700000005</v>
      </c>
      <c r="J151" s="139">
        <v>0</v>
      </c>
      <c r="K151" s="139">
        <f>L151+M151+N151+O151</f>
        <v>379322.948126</v>
      </c>
      <c r="L151" s="139">
        <v>247417.58267600002</v>
      </c>
      <c r="M151" s="139">
        <v>0</v>
      </c>
      <c r="N151" s="139">
        <v>46389.470569999998</v>
      </c>
      <c r="O151" s="139">
        <v>85515.894879999993</v>
      </c>
      <c r="P151" s="139">
        <f>K151+J151</f>
        <v>379322.948126</v>
      </c>
      <c r="Q151" s="139">
        <v>535994.70700000005</v>
      </c>
      <c r="R151" s="139">
        <f>Q151-P151</f>
        <v>156671.75887400005</v>
      </c>
      <c r="S151" s="140">
        <f>F151-Q151</f>
        <v>259.28599999996368</v>
      </c>
      <c r="T151" s="141"/>
      <c r="U151" s="139">
        <v>536253.98899999994</v>
      </c>
      <c r="V151" s="139">
        <v>-259.28199999999998</v>
      </c>
      <c r="W151" s="139">
        <v>18481.793000000001</v>
      </c>
      <c r="X151" s="124" t="str">
        <f>VLOOKUP(A151,[1]Consolidado!$A:$W,23,FALSE)</f>
        <v>El proyecto ya finalizó y se encuentra en etapa de liquidación con el cliente y no ejecuta costos. Pendiente una factura por 17,6 MCOP.</v>
      </c>
      <c r="Y151" s="121"/>
      <c r="Z151" s="89"/>
      <c r="AA151" s="9"/>
      <c r="AB151" s="89"/>
      <c r="AC151" s="93"/>
      <c r="AD151" s="93"/>
      <c r="AE151" s="94"/>
      <c r="AF151" s="94"/>
      <c r="AG151" s="94"/>
      <c r="AH151" s="94"/>
      <c r="AI151" s="94"/>
      <c r="AJ151" s="94"/>
    </row>
    <row r="152" spans="1:36" s="27" customFormat="1" ht="69" customHeight="1" x14ac:dyDescent="0.25">
      <c r="A152" s="132" t="s">
        <v>338</v>
      </c>
      <c r="B152" s="133" t="s">
        <v>327</v>
      </c>
      <c r="C152" s="134" t="s">
        <v>140</v>
      </c>
      <c r="D152" s="135" t="s">
        <v>136</v>
      </c>
      <c r="E152" s="136" t="s">
        <v>225</v>
      </c>
      <c r="F152" s="137">
        <v>291502.2</v>
      </c>
      <c r="G152" s="138">
        <v>291502.2</v>
      </c>
      <c r="H152" s="139"/>
      <c r="I152" s="139">
        <f>(SUM(G152:H152))</f>
        <v>291502.2</v>
      </c>
      <c r="J152" s="139">
        <v>512.82100000000003</v>
      </c>
      <c r="K152" s="139">
        <f>L152+M152+N152+O152</f>
        <v>286334.32438000001</v>
      </c>
      <c r="L152" s="139">
        <v>162406.65700000001</v>
      </c>
      <c r="M152" s="139">
        <v>0</v>
      </c>
      <c r="N152" s="139">
        <v>120666.94204000001</v>
      </c>
      <c r="O152" s="139">
        <v>3260.72534</v>
      </c>
      <c r="P152" s="139">
        <f>K152+J152</f>
        <v>286847.14538</v>
      </c>
      <c r="Q152" s="139">
        <v>292015.02100000001</v>
      </c>
      <c r="R152" s="139">
        <f>Q152-P152</f>
        <v>5167.8756200000062</v>
      </c>
      <c r="S152" s="140">
        <f>F152-Q152</f>
        <v>-512.82099999999627</v>
      </c>
      <c r="T152" s="141"/>
      <c r="U152" s="139">
        <v>120000</v>
      </c>
      <c r="V152" s="139">
        <v>166809.25213000001</v>
      </c>
      <c r="W152" s="139">
        <v>0</v>
      </c>
      <c r="X152" s="124" t="str">
        <f>VLOOKUP(A152,[1]Consolidado!$A:$W,23,FALSE)</f>
        <v>BOSA: proyecto en fase de liquidación, se espera facturación en junio.
El cliente devolvió la factura, dicen que hasta dentro de 3 meses se puede volver a facturar!.</v>
      </c>
      <c r="Y152" s="121"/>
      <c r="Z152" s="89"/>
      <c r="AA152" s="9"/>
      <c r="AB152" s="89"/>
      <c r="AC152" s="93"/>
      <c r="AD152" s="93"/>
      <c r="AE152" s="94"/>
      <c r="AF152" s="94"/>
      <c r="AG152" s="94"/>
      <c r="AH152" s="94"/>
      <c r="AI152" s="94"/>
      <c r="AJ152" s="94"/>
    </row>
    <row r="153" spans="1:36" s="27" customFormat="1" ht="69" customHeight="1" x14ac:dyDescent="0.25">
      <c r="A153" s="132" t="s">
        <v>339</v>
      </c>
      <c r="B153" s="133" t="s">
        <v>327</v>
      </c>
      <c r="C153" s="134" t="s">
        <v>135</v>
      </c>
      <c r="D153" s="135" t="s">
        <v>143</v>
      </c>
      <c r="E153" s="136" t="s">
        <v>152</v>
      </c>
      <c r="F153" s="137">
        <v>5311692.7640000004</v>
      </c>
      <c r="G153" s="138">
        <v>5311692.7640000004</v>
      </c>
      <c r="H153" s="139"/>
      <c r="I153" s="139">
        <f>(SUM(G153:H153))</f>
        <v>5311692.7640000004</v>
      </c>
      <c r="J153" s="139">
        <v>0</v>
      </c>
      <c r="K153" s="139">
        <f>L153+M153+N153+O153</f>
        <v>0</v>
      </c>
      <c r="L153" s="139">
        <v>0</v>
      </c>
      <c r="M153" s="139">
        <v>0</v>
      </c>
      <c r="N153" s="139">
        <v>0</v>
      </c>
      <c r="O153" s="139">
        <v>0</v>
      </c>
      <c r="P153" s="139">
        <f>K153+J153</f>
        <v>0</v>
      </c>
      <c r="Q153" s="139">
        <v>5311692.7640000004</v>
      </c>
      <c r="R153" s="139">
        <f>Q153-P153</f>
        <v>5311692.7640000004</v>
      </c>
      <c r="S153" s="140">
        <f>F153-Q153</f>
        <v>0</v>
      </c>
      <c r="T153" s="141"/>
      <c r="U153" s="139">
        <v>5311692.7640000004</v>
      </c>
      <c r="V153" s="139">
        <v>0</v>
      </c>
      <c r="W153" s="139">
        <v>1E-3</v>
      </c>
      <c r="X153" s="124" t="str">
        <f>VLOOKUP(A153,[1]Consolidado!$A:$W,23,FALSE)</f>
        <v>No información.</v>
      </c>
      <c r="Y153" s="121"/>
      <c r="Z153" s="89"/>
      <c r="AA153" s="9"/>
      <c r="AB153" s="89"/>
      <c r="AC153" s="93"/>
      <c r="AD153" s="93"/>
      <c r="AE153" s="94"/>
      <c r="AF153" s="94"/>
      <c r="AG153" s="94"/>
      <c r="AH153" s="94"/>
      <c r="AI153" s="94"/>
      <c r="AJ153" s="94"/>
    </row>
    <row r="154" spans="1:36" s="27" customFormat="1" ht="69" customHeight="1" x14ac:dyDescent="0.25">
      <c r="A154" s="132" t="s">
        <v>340</v>
      </c>
      <c r="B154" s="133" t="s">
        <v>327</v>
      </c>
      <c r="C154" s="134" t="s">
        <v>135</v>
      </c>
      <c r="D154" s="135" t="s">
        <v>143</v>
      </c>
      <c r="E154" s="136" t="s">
        <v>152</v>
      </c>
      <c r="F154" s="137">
        <v>351640.53700000001</v>
      </c>
      <c r="G154" s="138">
        <v>351640.53700000001</v>
      </c>
      <c r="H154" s="139"/>
      <c r="I154" s="139">
        <f>(SUM(G154:H154))</f>
        <v>351640.53700000001</v>
      </c>
      <c r="J154" s="139">
        <v>0</v>
      </c>
      <c r="K154" s="139">
        <f>L154+M154+N154+O154</f>
        <v>0</v>
      </c>
      <c r="L154" s="139">
        <v>0</v>
      </c>
      <c r="M154" s="139">
        <v>0</v>
      </c>
      <c r="N154" s="139">
        <v>0</v>
      </c>
      <c r="O154" s="139">
        <v>0</v>
      </c>
      <c r="P154" s="139">
        <f>K154+J154</f>
        <v>0</v>
      </c>
      <c r="Q154" s="139">
        <v>351640.53700000001</v>
      </c>
      <c r="R154" s="139">
        <f>Q154-P154</f>
        <v>351640.53700000001</v>
      </c>
      <c r="S154" s="140">
        <f>F154-Q154</f>
        <v>0</v>
      </c>
      <c r="T154" s="141"/>
      <c r="U154" s="139">
        <v>351640.53700000001</v>
      </c>
      <c r="V154" s="139">
        <v>0</v>
      </c>
      <c r="W154" s="139">
        <v>0</v>
      </c>
      <c r="X154" s="124" t="str">
        <f>VLOOKUP(A154,[1]Consolidado!$A:$W,23,FALSE)</f>
        <v>No información.</v>
      </c>
      <c r="Y154" s="121"/>
      <c r="Z154" s="89"/>
      <c r="AA154" s="9"/>
      <c r="AB154" s="89"/>
      <c r="AC154" s="93"/>
      <c r="AD154" s="93"/>
      <c r="AE154" s="94"/>
      <c r="AF154" s="94"/>
      <c r="AG154" s="94"/>
      <c r="AH154" s="94"/>
      <c r="AI154" s="94"/>
      <c r="AJ154" s="94"/>
    </row>
    <row r="155" spans="1:36" s="27" customFormat="1" ht="69" customHeight="1" x14ac:dyDescent="0.25">
      <c r="A155" s="132" t="s">
        <v>341</v>
      </c>
      <c r="B155" s="133" t="s">
        <v>327</v>
      </c>
      <c r="C155" s="134" t="s">
        <v>140</v>
      </c>
      <c r="D155" s="135" t="s">
        <v>143</v>
      </c>
      <c r="E155" s="136" t="s">
        <v>150</v>
      </c>
      <c r="F155" s="137">
        <v>38086.877999999997</v>
      </c>
      <c r="G155" s="138">
        <v>38086.877999999997</v>
      </c>
      <c r="H155" s="139"/>
      <c r="I155" s="139">
        <f>(SUM(G155:H155))</f>
        <v>38086.877999999997</v>
      </c>
      <c r="J155" s="139">
        <v>0</v>
      </c>
      <c r="K155" s="139">
        <f>L155+M155+N155+O155</f>
        <v>1253.70417</v>
      </c>
      <c r="L155" s="139">
        <v>6.02</v>
      </c>
      <c r="M155" s="139">
        <v>0</v>
      </c>
      <c r="N155" s="139">
        <v>9.8179999999999996</v>
      </c>
      <c r="O155" s="139">
        <v>1237.86617</v>
      </c>
      <c r="P155" s="139">
        <f>K155+J155</f>
        <v>1253.70417</v>
      </c>
      <c r="Q155" s="139">
        <v>38086.877999999997</v>
      </c>
      <c r="R155" s="139">
        <f>Q155-P155</f>
        <v>36833.17383</v>
      </c>
      <c r="S155" s="140">
        <f>F155-Q155</f>
        <v>0</v>
      </c>
      <c r="T155" s="141"/>
      <c r="U155" s="139">
        <v>41884.394999999997</v>
      </c>
      <c r="V155" s="139">
        <v>0</v>
      </c>
      <c r="W155" s="139">
        <v>0</v>
      </c>
      <c r="X155" s="124" t="str">
        <f>VLOOKUP(A155,[1]Consolidado!$A:$W,23,FALSE)</f>
        <v>No información.</v>
      </c>
      <c r="Y155" s="121"/>
      <c r="Z155" s="89"/>
      <c r="AA155" s="9"/>
      <c r="AB155" s="89"/>
      <c r="AC155" s="93"/>
      <c r="AD155" s="93"/>
      <c r="AE155" s="94"/>
      <c r="AF155" s="94"/>
      <c r="AG155" s="94"/>
      <c r="AH155" s="94"/>
      <c r="AI155" s="94"/>
      <c r="AJ155" s="94"/>
    </row>
    <row r="156" spans="1:36" s="27" customFormat="1" ht="69" customHeight="1" x14ac:dyDescent="0.25">
      <c r="A156" s="132" t="s">
        <v>342</v>
      </c>
      <c r="B156" s="133" t="s">
        <v>327</v>
      </c>
      <c r="C156" s="134" t="s">
        <v>140</v>
      </c>
      <c r="D156" s="135" t="s">
        <v>143</v>
      </c>
      <c r="E156" s="136" t="s">
        <v>159</v>
      </c>
      <c r="F156" s="137">
        <v>442591.21299999999</v>
      </c>
      <c r="G156" s="138">
        <v>442591.21292999998</v>
      </c>
      <c r="H156" s="139"/>
      <c r="I156" s="139">
        <f>(SUM(G156:H156))</f>
        <v>442591.21292999998</v>
      </c>
      <c r="J156" s="139">
        <v>0</v>
      </c>
      <c r="K156" s="139">
        <f>L156+M156+N156+O156</f>
        <v>214491.93938</v>
      </c>
      <c r="L156" s="139">
        <v>108303.18919999999</v>
      </c>
      <c r="M156" s="139">
        <v>0</v>
      </c>
      <c r="N156" s="139">
        <v>15984.189339999999</v>
      </c>
      <c r="O156" s="139">
        <v>90204.560840000006</v>
      </c>
      <c r="P156" s="139">
        <f>K156+J156</f>
        <v>214491.93938</v>
      </c>
      <c r="Q156" s="139">
        <v>442591.21292999998</v>
      </c>
      <c r="R156" s="139">
        <f>Q156-P156</f>
        <v>228099.27354999998</v>
      </c>
      <c r="S156" s="140">
        <f>F156-Q156</f>
        <v>7.0000009145587683E-5</v>
      </c>
      <c r="T156" s="141"/>
      <c r="U156" s="139">
        <v>531691.21299999999</v>
      </c>
      <c r="V156" s="139">
        <v>2.99993</v>
      </c>
      <c r="W156" s="139">
        <v>0</v>
      </c>
      <c r="X156" s="124" t="str">
        <f>VLOOKUP(A156,[1]Consolidado!$A:$W,23,FALSE)</f>
        <v>No información.</v>
      </c>
      <c r="Y156" s="121"/>
      <c r="Z156" s="89"/>
      <c r="AA156" s="9"/>
      <c r="AB156" s="89"/>
      <c r="AC156" s="93"/>
      <c r="AD156" s="93"/>
      <c r="AE156" s="94"/>
      <c r="AF156" s="94"/>
      <c r="AG156" s="94"/>
      <c r="AH156" s="94"/>
      <c r="AI156" s="94"/>
      <c r="AJ156" s="94"/>
    </row>
    <row r="157" spans="1:36" s="27" customFormat="1" ht="69" customHeight="1" x14ac:dyDescent="0.25">
      <c r="A157" s="132" t="s">
        <v>343</v>
      </c>
      <c r="B157" s="133" t="s">
        <v>327</v>
      </c>
      <c r="C157" s="134" t="s">
        <v>140</v>
      </c>
      <c r="D157" s="135" t="s">
        <v>111</v>
      </c>
      <c r="E157" s="136" t="s">
        <v>141</v>
      </c>
      <c r="F157" s="137">
        <v>512064.51299999998</v>
      </c>
      <c r="G157" s="138">
        <v>449916.23</v>
      </c>
      <c r="H157" s="139"/>
      <c r="I157" s="139">
        <f>(SUM(G157:H157))</f>
        <v>449916.23</v>
      </c>
      <c r="J157" s="139">
        <v>4332.6248380000006</v>
      </c>
      <c r="K157" s="139">
        <f>L157+M157+N157+O157</f>
        <v>225043.896488</v>
      </c>
      <c r="L157" s="139">
        <v>63850.100700000003</v>
      </c>
      <c r="M157" s="139">
        <v>4323.9248380000008</v>
      </c>
      <c r="N157" s="139">
        <v>136008.72843000002</v>
      </c>
      <c r="O157" s="139">
        <v>20861.142520000001</v>
      </c>
      <c r="P157" s="139">
        <f>K157+J157</f>
        <v>229376.52132599999</v>
      </c>
      <c r="Q157" s="139">
        <v>454248.85483799997</v>
      </c>
      <c r="R157" s="139">
        <f>Q157-P157</f>
        <v>224872.33351199998</v>
      </c>
      <c r="S157" s="140">
        <f>F157-Q157</f>
        <v>57815.658162000007</v>
      </c>
      <c r="T157" s="141"/>
      <c r="U157" s="139">
        <v>467571.67599999998</v>
      </c>
      <c r="V157" s="139">
        <v>-17655.446</v>
      </c>
      <c r="W157" s="139">
        <v>0</v>
      </c>
      <c r="X157" s="124" t="str">
        <f>VLOOKUP(A157,[1]Consolidado!$A:$W,23,FALSE)</f>
        <v>Ejecutado Acumulado may-16 $ 494.408.600
Proyecto en Liquidación. OK Acta de liquidación, se factura 44 MCOP en Jun-16.</v>
      </c>
      <c r="Y157" s="121"/>
      <c r="Z157" s="89"/>
      <c r="AA157" s="9"/>
      <c r="AB157" s="89"/>
      <c r="AC157" s="93"/>
      <c r="AD157" s="93"/>
      <c r="AE157" s="94"/>
      <c r="AF157" s="94"/>
      <c r="AG157" s="94"/>
      <c r="AH157" s="94"/>
      <c r="AI157" s="94"/>
      <c r="AJ157" s="94"/>
    </row>
    <row r="158" spans="1:36" s="27" customFormat="1" ht="69" customHeight="1" x14ac:dyDescent="0.25">
      <c r="A158" s="132" t="s">
        <v>344</v>
      </c>
      <c r="B158" s="133" t="s">
        <v>327</v>
      </c>
      <c r="C158" s="134" t="s">
        <v>140</v>
      </c>
      <c r="D158" s="135" t="s">
        <v>111</v>
      </c>
      <c r="E158" s="136" t="s">
        <v>345</v>
      </c>
      <c r="F158" s="137">
        <v>863365.51800000004</v>
      </c>
      <c r="G158" s="138">
        <v>863375.50800000003</v>
      </c>
      <c r="H158" s="139"/>
      <c r="I158" s="139">
        <f>(SUM(G158:H158))</f>
        <v>863375.50800000003</v>
      </c>
      <c r="J158" s="139">
        <v>0</v>
      </c>
      <c r="K158" s="139">
        <f>L158+M158+N158+O158</f>
        <v>426900.36087999993</v>
      </c>
      <c r="L158" s="139">
        <v>78957.752000000008</v>
      </c>
      <c r="M158" s="139">
        <v>0</v>
      </c>
      <c r="N158" s="139">
        <v>540009.43256999995</v>
      </c>
      <c r="O158" s="139">
        <v>-192066.82369000002</v>
      </c>
      <c r="P158" s="139">
        <f>K158+J158</f>
        <v>426900.36087999993</v>
      </c>
      <c r="Q158" s="139">
        <v>863375.50800000003</v>
      </c>
      <c r="R158" s="139">
        <f>Q158-P158</f>
        <v>436475.1471200001</v>
      </c>
      <c r="S158" s="140">
        <f>F158-Q158</f>
        <v>-9.9899999999906868</v>
      </c>
      <c r="T158" s="141"/>
      <c r="U158" s="139">
        <v>991826.60099999991</v>
      </c>
      <c r="V158" s="139">
        <v>0</v>
      </c>
      <c r="W158" s="139">
        <v>0</v>
      </c>
      <c r="X158" s="124" t="str">
        <f>VLOOKUP(A158,[1]Consolidado!$A:$W,23,FALSE)</f>
        <v>Terminar proyecto en Agresso?
Proyecto en etapa de reunión de cierre.</v>
      </c>
      <c r="Y158" s="121"/>
      <c r="Z158" s="89"/>
      <c r="AA158" s="9"/>
      <c r="AB158" s="89"/>
      <c r="AC158" s="93"/>
      <c r="AD158" s="93"/>
      <c r="AE158" s="94"/>
      <c r="AF158" s="94"/>
      <c r="AG158" s="94"/>
      <c r="AH158" s="94"/>
      <c r="AI158" s="94"/>
      <c r="AJ158" s="94"/>
    </row>
    <row r="159" spans="1:36" s="27" customFormat="1" ht="69" customHeight="1" x14ac:dyDescent="0.25">
      <c r="A159" s="132" t="s">
        <v>346</v>
      </c>
      <c r="B159" s="133" t="s">
        <v>327</v>
      </c>
      <c r="C159" s="134" t="s">
        <v>147</v>
      </c>
      <c r="D159" s="135" t="s">
        <v>143</v>
      </c>
      <c r="E159" s="136" t="s">
        <v>164</v>
      </c>
      <c r="F159" s="137">
        <v>18844.863000000001</v>
      </c>
      <c r="G159" s="138">
        <v>18844.864000000001</v>
      </c>
      <c r="H159" s="139"/>
      <c r="I159" s="139">
        <f>(SUM(G159:H159))</f>
        <v>18844.864000000001</v>
      </c>
      <c r="J159" s="139">
        <v>0</v>
      </c>
      <c r="K159" s="139">
        <f>L159+M159+N159+O159</f>
        <v>30915.392939999998</v>
      </c>
      <c r="L159" s="139">
        <v>8293.5663800000002</v>
      </c>
      <c r="M159" s="139">
        <v>0</v>
      </c>
      <c r="N159" s="139">
        <v>2861.9891299999999</v>
      </c>
      <c r="O159" s="139">
        <v>19759.83743</v>
      </c>
      <c r="P159" s="139">
        <f>K159+J159</f>
        <v>30915.392939999998</v>
      </c>
      <c r="Q159" s="139">
        <v>18844.864000000001</v>
      </c>
      <c r="R159" s="139">
        <f>Q159-P159</f>
        <v>-12070.528939999997</v>
      </c>
      <c r="S159" s="140">
        <f>F159-Q159</f>
        <v>-1.0000000002037268E-3</v>
      </c>
      <c r="T159" s="141"/>
      <c r="U159" s="139">
        <v>62883.421270000006</v>
      </c>
      <c r="V159" s="139">
        <v>-2.7E-4</v>
      </c>
      <c r="W159" s="139">
        <v>0</v>
      </c>
      <c r="X159" s="124" t="str">
        <f>VLOOKUP(A159,[1]Consolidado!$A:$W,23,FALSE)</f>
        <v>Proyecto cancelado por el cliente, finalizado y liquidado; no hay pendientes.</v>
      </c>
      <c r="Y159" s="121"/>
      <c r="Z159" s="89"/>
      <c r="AA159" s="9"/>
      <c r="AB159" s="89"/>
      <c r="AC159" s="93"/>
      <c r="AD159" s="93"/>
      <c r="AE159" s="94"/>
      <c r="AF159" s="94"/>
      <c r="AG159" s="94"/>
      <c r="AH159" s="94"/>
      <c r="AI159" s="94"/>
      <c r="AJ159" s="94"/>
    </row>
    <row r="160" spans="1:36" s="27" customFormat="1" ht="69" customHeight="1" x14ac:dyDescent="0.25">
      <c r="A160" s="132" t="s">
        <v>347</v>
      </c>
      <c r="B160" s="133" t="s">
        <v>327</v>
      </c>
      <c r="C160" s="134" t="s">
        <v>147</v>
      </c>
      <c r="D160" s="135" t="s">
        <v>143</v>
      </c>
      <c r="E160" s="136" t="s">
        <v>164</v>
      </c>
      <c r="F160" s="137">
        <v>708037.12699999998</v>
      </c>
      <c r="G160" s="138">
        <v>708037.12692000007</v>
      </c>
      <c r="H160" s="139"/>
      <c r="I160" s="139">
        <f>(SUM(G160:H160))</f>
        <v>708037.12692000007</v>
      </c>
      <c r="J160" s="139">
        <v>0</v>
      </c>
      <c r="K160" s="139">
        <f>L160+M160+N160+O160</f>
        <v>186968.909804</v>
      </c>
      <c r="L160" s="139">
        <v>74498.568123999998</v>
      </c>
      <c r="M160" s="139">
        <v>0</v>
      </c>
      <c r="N160" s="139">
        <v>69595.45104</v>
      </c>
      <c r="O160" s="139">
        <v>42874.890639999998</v>
      </c>
      <c r="P160" s="139">
        <f>K160+J160</f>
        <v>186968.909804</v>
      </c>
      <c r="Q160" s="139">
        <v>708037.12692000007</v>
      </c>
      <c r="R160" s="139">
        <f>Q160-P160</f>
        <v>521068.21711600007</v>
      </c>
      <c r="S160" s="140">
        <f>F160-Q160</f>
        <v>7.9999910667538643E-5</v>
      </c>
      <c r="T160" s="141"/>
      <c r="U160" s="139">
        <v>638724.53513999993</v>
      </c>
      <c r="V160" s="139">
        <v>208480.59078</v>
      </c>
      <c r="W160" s="139">
        <v>0</v>
      </c>
      <c r="X160" s="124" t="str">
        <f>VLOOKUP(A160,[1]Consolidado!$A:$W,23,FALSE)</f>
        <v>Este proyecto terminó y facturó todo el trabajo realizado; el WIP real a reversar es de 175.365 MCOP.  Con conciliar con contabilidad que reporta WIP de 208 MCOP</v>
      </c>
      <c r="Y160" s="121"/>
      <c r="Z160" s="89"/>
      <c r="AA160" s="9"/>
      <c r="AB160" s="89"/>
      <c r="AC160" s="93"/>
      <c r="AD160" s="93"/>
      <c r="AE160" s="94"/>
      <c r="AF160" s="94"/>
      <c r="AG160" s="94"/>
      <c r="AH160" s="94"/>
      <c r="AI160" s="94"/>
      <c r="AJ160" s="94"/>
    </row>
    <row r="161" spans="1:36" s="27" customFormat="1" ht="69" customHeight="1" x14ac:dyDescent="0.25">
      <c r="A161" s="132" t="s">
        <v>348</v>
      </c>
      <c r="B161" s="133" t="s">
        <v>327</v>
      </c>
      <c r="C161" s="134" t="s">
        <v>147</v>
      </c>
      <c r="D161" s="135" t="s">
        <v>181</v>
      </c>
      <c r="E161" s="136" t="s">
        <v>174</v>
      </c>
      <c r="F161" s="137">
        <v>407510.20600000001</v>
      </c>
      <c r="G161" s="138">
        <v>407510.20600000001</v>
      </c>
      <c r="H161" s="139"/>
      <c r="I161" s="139">
        <f>(SUM(G161:H161))</f>
        <v>407510.20600000001</v>
      </c>
      <c r="J161" s="139">
        <v>0</v>
      </c>
      <c r="K161" s="139">
        <f>L161+M161+N161+O161</f>
        <v>165921.11376499999</v>
      </c>
      <c r="L161" s="139">
        <v>65094.209725000001</v>
      </c>
      <c r="M161" s="139">
        <v>0</v>
      </c>
      <c r="N161" s="139">
        <v>35315.910029999999</v>
      </c>
      <c r="O161" s="139">
        <v>65510.994009999995</v>
      </c>
      <c r="P161" s="139">
        <f>K161+J161</f>
        <v>165921.11376499999</v>
      </c>
      <c r="Q161" s="139">
        <v>407510.20600000001</v>
      </c>
      <c r="R161" s="139">
        <f>Q161-P161</f>
        <v>241589.09223500002</v>
      </c>
      <c r="S161" s="140">
        <f>F161-Q161</f>
        <v>0</v>
      </c>
      <c r="T161" s="141"/>
      <c r="U161" s="139">
        <v>407510.20600000001</v>
      </c>
      <c r="V161" s="139">
        <v>0</v>
      </c>
      <c r="W161" s="139">
        <v>0</v>
      </c>
      <c r="X161" s="124" t="str">
        <f>VLOOKUP(A161,[1]Consolidado!$A:$W,23,FALSE)</f>
        <v>No información.</v>
      </c>
      <c r="Y161" s="121"/>
      <c r="Z161" s="89"/>
      <c r="AA161" s="9"/>
      <c r="AB161" s="89"/>
      <c r="AC161" s="93"/>
      <c r="AD161" s="93"/>
      <c r="AE161" s="94"/>
      <c r="AF161" s="94"/>
      <c r="AG161" s="94"/>
      <c r="AH161" s="94"/>
      <c r="AI161" s="94"/>
      <c r="AJ161" s="94"/>
    </row>
    <row r="162" spans="1:36" s="27" customFormat="1" ht="69" customHeight="1" x14ac:dyDescent="0.25">
      <c r="A162" s="132" t="s">
        <v>349</v>
      </c>
      <c r="B162" s="133" t="s">
        <v>327</v>
      </c>
      <c r="C162" s="134" t="s">
        <v>140</v>
      </c>
      <c r="D162" s="135" t="s">
        <v>143</v>
      </c>
      <c r="E162" s="136" t="s">
        <v>150</v>
      </c>
      <c r="F162" s="137">
        <v>354125.03600000002</v>
      </c>
      <c r="G162" s="138">
        <v>354125.03600000002</v>
      </c>
      <c r="H162" s="139"/>
      <c r="I162" s="139">
        <f>(SUM(G162:H162))</f>
        <v>354125.03600000002</v>
      </c>
      <c r="J162" s="139">
        <v>0</v>
      </c>
      <c r="K162" s="139">
        <f>L162+M162+N162+O162</f>
        <v>157184.953935</v>
      </c>
      <c r="L162" s="139">
        <v>74888.715274999995</v>
      </c>
      <c r="M162" s="139">
        <v>0</v>
      </c>
      <c r="N162" s="139">
        <v>26330.249</v>
      </c>
      <c r="O162" s="139">
        <v>55965.989659999999</v>
      </c>
      <c r="P162" s="139">
        <f>K162+J162</f>
        <v>157184.953935</v>
      </c>
      <c r="Q162" s="139">
        <v>354125.03600000002</v>
      </c>
      <c r="R162" s="139">
        <f>Q162-P162</f>
        <v>196940.08206500002</v>
      </c>
      <c r="S162" s="140">
        <f>F162-Q162</f>
        <v>0</v>
      </c>
      <c r="T162" s="141"/>
      <c r="U162" s="139">
        <v>416462.36</v>
      </c>
      <c r="V162" s="139">
        <v>0</v>
      </c>
      <c r="W162" s="139">
        <v>0</v>
      </c>
      <c r="X162" s="124" t="str">
        <f>VLOOKUP(A162,[1]Consolidado!$A:$W,23,FALSE)</f>
        <v>No información.</v>
      </c>
      <c r="Y162" s="121"/>
      <c r="Z162" s="89"/>
      <c r="AA162" s="9"/>
      <c r="AB162" s="89"/>
      <c r="AC162" s="93"/>
      <c r="AD162" s="93"/>
      <c r="AE162" s="94"/>
      <c r="AF162" s="94"/>
      <c r="AG162" s="94"/>
      <c r="AH162" s="94"/>
      <c r="AI162" s="94"/>
      <c r="AJ162" s="94"/>
    </row>
    <row r="163" spans="1:36" s="27" customFormat="1" ht="69" customHeight="1" x14ac:dyDescent="0.25">
      <c r="A163" s="132" t="s">
        <v>350</v>
      </c>
      <c r="B163" s="133" t="s">
        <v>327</v>
      </c>
      <c r="C163" s="134" t="s">
        <v>140</v>
      </c>
      <c r="D163" s="135" t="s">
        <v>111</v>
      </c>
      <c r="E163" s="136" t="s">
        <v>351</v>
      </c>
      <c r="F163" s="137">
        <v>1302725.6599999999</v>
      </c>
      <c r="G163" s="138">
        <v>1302725.6599100002</v>
      </c>
      <c r="H163" s="139"/>
      <c r="I163" s="139">
        <f>(SUM(G163:H163))</f>
        <v>1302725.6599100002</v>
      </c>
      <c r="J163" s="139">
        <v>0</v>
      </c>
      <c r="K163" s="139">
        <f>L163+M163+N163+O163</f>
        <v>551902.36263480014</v>
      </c>
      <c r="L163" s="139">
        <v>235481.32890350002</v>
      </c>
      <c r="M163" s="139">
        <v>2652.8166713000001</v>
      </c>
      <c r="N163" s="139">
        <v>330962.81799000001</v>
      </c>
      <c r="O163" s="139">
        <v>-17194.600930000001</v>
      </c>
      <c r="P163" s="139">
        <f>K163+J163</f>
        <v>551902.36263480014</v>
      </c>
      <c r="Q163" s="139">
        <v>1302725.6599100002</v>
      </c>
      <c r="R163" s="139">
        <f>Q163-P163</f>
        <v>750823.29727520002</v>
      </c>
      <c r="S163" s="140">
        <f>F163-Q163</f>
        <v>8.999975398182869E-5</v>
      </c>
      <c r="T163" s="141"/>
      <c r="U163" s="139">
        <v>1302725.6599999999</v>
      </c>
      <c r="V163" s="139">
        <v>-8.9999999999999992E-5</v>
      </c>
      <c r="W163" s="139">
        <v>0</v>
      </c>
      <c r="X163" s="124" t="str">
        <f>VLOOKUP(A163,[1]Consolidado!$A:$W,23,FALSE)</f>
        <v>Terminar proyecto en Agresso?
Proyecto en etapa de reunión de cierre.</v>
      </c>
      <c r="Y163" s="121"/>
      <c r="Z163" s="89"/>
      <c r="AA163" s="9"/>
      <c r="AB163" s="89"/>
      <c r="AC163" s="93"/>
      <c r="AD163" s="93"/>
      <c r="AE163" s="94"/>
      <c r="AF163" s="94"/>
      <c r="AG163" s="94"/>
      <c r="AH163" s="94"/>
      <c r="AI163" s="94"/>
      <c r="AJ163" s="94"/>
    </row>
    <row r="164" spans="1:36" s="27" customFormat="1" ht="69" customHeight="1" x14ac:dyDescent="0.25">
      <c r="A164" s="132" t="s">
        <v>352</v>
      </c>
      <c r="B164" s="133" t="s">
        <v>327</v>
      </c>
      <c r="C164" s="134" t="s">
        <v>140</v>
      </c>
      <c r="D164" s="135" t="s">
        <v>111</v>
      </c>
      <c r="E164" s="136" t="s">
        <v>351</v>
      </c>
      <c r="F164" s="137">
        <v>1150245.6310000001</v>
      </c>
      <c r="G164" s="138">
        <v>1150245.63164</v>
      </c>
      <c r="H164" s="139"/>
      <c r="I164" s="139">
        <f>(SUM(G164:H164))</f>
        <v>1150245.63164</v>
      </c>
      <c r="J164" s="139">
        <v>0</v>
      </c>
      <c r="K164" s="139">
        <f>L164+M164+N164+O164</f>
        <v>501609.87633950007</v>
      </c>
      <c r="L164" s="139">
        <v>254178.85846950003</v>
      </c>
      <c r="M164" s="139">
        <v>0</v>
      </c>
      <c r="N164" s="139">
        <v>394033.80195999995</v>
      </c>
      <c r="O164" s="139">
        <v>-146602.78409</v>
      </c>
      <c r="P164" s="139">
        <f>K164+J164</f>
        <v>501609.87633950007</v>
      </c>
      <c r="Q164" s="139">
        <v>1150245.63164</v>
      </c>
      <c r="R164" s="139">
        <f>Q164-P164</f>
        <v>648635.75530049996</v>
      </c>
      <c r="S164" s="140">
        <f>F164-Q164</f>
        <v>-6.399999838322401E-4</v>
      </c>
      <c r="T164" s="141"/>
      <c r="U164" s="139">
        <v>1150245.9310000001</v>
      </c>
      <c r="V164" s="139">
        <v>-5.6000000000000006E-4</v>
      </c>
      <c r="W164" s="139">
        <v>0</v>
      </c>
      <c r="X164" s="124" t="str">
        <f>VLOOKUP(A164,[1]Consolidado!$A:$W,23,FALSE)</f>
        <v>Proyecto en liquidación, se firmo acta de liquidación el 01/06/2016, se factura en Junio/2016, se factura 313 MCOP.
Proyecto en etapa de reunión de cierre.</v>
      </c>
      <c r="Y164" s="121"/>
      <c r="Z164" s="89"/>
      <c r="AA164" s="9"/>
      <c r="AB164" s="89"/>
      <c r="AC164" s="93"/>
      <c r="AD164" s="93"/>
      <c r="AE164" s="94"/>
      <c r="AF164" s="94"/>
      <c r="AG164" s="94"/>
      <c r="AH164" s="94"/>
      <c r="AI164" s="94"/>
      <c r="AJ164" s="94"/>
    </row>
    <row r="165" spans="1:36" s="27" customFormat="1" ht="69" customHeight="1" x14ac:dyDescent="0.25">
      <c r="A165" s="132" t="s">
        <v>353</v>
      </c>
      <c r="B165" s="133" t="s">
        <v>327</v>
      </c>
      <c r="C165" s="134" t="s">
        <v>140</v>
      </c>
      <c r="D165" s="135" t="s">
        <v>136</v>
      </c>
      <c r="E165" s="136" t="s">
        <v>225</v>
      </c>
      <c r="F165" s="137">
        <v>499908</v>
      </c>
      <c r="G165" s="138">
        <v>499907.99950999999</v>
      </c>
      <c r="H165" s="139"/>
      <c r="I165" s="139">
        <f>(SUM(G165:H165))</f>
        <v>499907.99950999999</v>
      </c>
      <c r="J165" s="139">
        <v>0</v>
      </c>
      <c r="K165" s="139">
        <f>L165+M165+N165+O165</f>
        <v>321947.78383499995</v>
      </c>
      <c r="L165" s="139">
        <v>306680.79657499999</v>
      </c>
      <c r="M165" s="139">
        <v>0</v>
      </c>
      <c r="N165" s="139">
        <v>1380.3977</v>
      </c>
      <c r="O165" s="139">
        <v>13886.58956</v>
      </c>
      <c r="P165" s="139">
        <f>K165+J165</f>
        <v>321947.78383499995</v>
      </c>
      <c r="Q165" s="139">
        <v>499907.99950999999</v>
      </c>
      <c r="R165" s="139">
        <f>Q165-P165</f>
        <v>177960.21567500004</v>
      </c>
      <c r="S165" s="140">
        <f>F165-Q165</f>
        <v>4.9000000581145287E-4</v>
      </c>
      <c r="T165" s="141"/>
      <c r="U165" s="139">
        <v>499908</v>
      </c>
      <c r="V165" s="139">
        <v>-28033.757440000001</v>
      </c>
      <c r="W165" s="139">
        <v>0</v>
      </c>
      <c r="X165" s="124" t="str">
        <f>VLOOKUP(A165,[1]Consolidado!$A:$W,23,FALSE)</f>
        <v>No información.</v>
      </c>
      <c r="Y165" s="121"/>
      <c r="Z165" s="89"/>
      <c r="AA165" s="9"/>
      <c r="AB165" s="89"/>
      <c r="AC165" s="93"/>
      <c r="AD165" s="93"/>
      <c r="AE165" s="94"/>
      <c r="AF165" s="94"/>
      <c r="AG165" s="94"/>
      <c r="AH165" s="94"/>
      <c r="AI165" s="94"/>
      <c r="AJ165" s="94"/>
    </row>
    <row r="166" spans="1:36" s="27" customFormat="1" ht="69" customHeight="1" x14ac:dyDescent="0.25">
      <c r="A166" s="132" t="s">
        <v>354</v>
      </c>
      <c r="B166" s="133" t="s">
        <v>327</v>
      </c>
      <c r="C166" s="134" t="s">
        <v>140</v>
      </c>
      <c r="D166" s="135" t="s">
        <v>136</v>
      </c>
      <c r="E166" s="136" t="s">
        <v>182</v>
      </c>
      <c r="F166" s="137">
        <v>464872.728</v>
      </c>
      <c r="G166" s="138">
        <v>451236.21100000001</v>
      </c>
      <c r="H166" s="139"/>
      <c r="I166" s="139">
        <f>(SUM(G166:H166))</f>
        <v>451236.21100000001</v>
      </c>
      <c r="J166" s="139">
        <v>0</v>
      </c>
      <c r="K166" s="139">
        <f>L166+M166+N166+O166</f>
        <v>146238.29402499998</v>
      </c>
      <c r="L166" s="139">
        <v>92654.649374999994</v>
      </c>
      <c r="M166" s="139">
        <v>0</v>
      </c>
      <c r="N166" s="139">
        <v>29186.66359</v>
      </c>
      <c r="O166" s="139">
        <v>24396.981059999998</v>
      </c>
      <c r="P166" s="139">
        <f>K166+J166</f>
        <v>146238.29402499998</v>
      </c>
      <c r="Q166" s="139">
        <v>451236.21100000001</v>
      </c>
      <c r="R166" s="139">
        <f>Q166-P166</f>
        <v>304997.91697500006</v>
      </c>
      <c r="S166" s="140">
        <f>F166-Q166</f>
        <v>13636.516999999993</v>
      </c>
      <c r="T166" s="141"/>
      <c r="U166" s="139">
        <v>464872.72901999997</v>
      </c>
      <c r="V166" s="139">
        <v>-2.0000000000000002E-5</v>
      </c>
      <c r="W166" s="139">
        <v>1E-3</v>
      </c>
      <c r="X166" s="124" t="str">
        <f>VLOOKUP(A166,[1]Consolidado!$A:$W,23,FALSE)</f>
        <v>No información.</v>
      </c>
      <c r="Y166" s="121"/>
      <c r="Z166" s="89"/>
      <c r="AA166" s="9"/>
      <c r="AB166" s="89"/>
      <c r="AC166" s="93"/>
      <c r="AD166" s="93"/>
      <c r="AE166" s="94"/>
      <c r="AF166" s="94"/>
      <c r="AG166" s="94"/>
      <c r="AH166" s="94"/>
      <c r="AI166" s="94"/>
      <c r="AJ166" s="94"/>
    </row>
    <row r="167" spans="1:36" s="27" customFormat="1" ht="69" customHeight="1" x14ac:dyDescent="0.25">
      <c r="A167" s="132" t="s">
        <v>355</v>
      </c>
      <c r="B167" s="133" t="s">
        <v>327</v>
      </c>
      <c r="C167" s="134" t="s">
        <v>140</v>
      </c>
      <c r="D167" s="135" t="s">
        <v>143</v>
      </c>
      <c r="E167" s="136" t="s">
        <v>150</v>
      </c>
      <c r="F167" s="137">
        <v>123700</v>
      </c>
      <c r="G167" s="138">
        <v>123700</v>
      </c>
      <c r="H167" s="139"/>
      <c r="I167" s="139">
        <f>(SUM(G167:H167))</f>
        <v>123700</v>
      </c>
      <c r="J167" s="139">
        <v>0</v>
      </c>
      <c r="K167" s="139">
        <f>L167+M167+N167+O167</f>
        <v>86482.80584999999</v>
      </c>
      <c r="L167" s="139">
        <v>25938.428399999997</v>
      </c>
      <c r="M167" s="139">
        <v>0</v>
      </c>
      <c r="N167" s="139">
        <v>52807.168640000004</v>
      </c>
      <c r="O167" s="139">
        <v>7737.2088099999992</v>
      </c>
      <c r="P167" s="139">
        <f>K167+J167</f>
        <v>86482.80584999999</v>
      </c>
      <c r="Q167" s="139">
        <v>123700</v>
      </c>
      <c r="R167" s="139">
        <f>Q167-P167</f>
        <v>37217.19415000001</v>
      </c>
      <c r="S167" s="140">
        <f>F167-Q167</f>
        <v>0</v>
      </c>
      <c r="T167" s="141"/>
      <c r="U167" s="139">
        <v>123700</v>
      </c>
      <c r="V167" s="139">
        <v>0</v>
      </c>
      <c r="W167" s="139">
        <v>0</v>
      </c>
      <c r="X167" s="124" t="str">
        <f>VLOOKUP(A167,[1]Consolidado!$A:$W,23,FALSE)</f>
        <v>No información.</v>
      </c>
      <c r="Y167" s="121"/>
      <c r="Z167" s="89"/>
      <c r="AA167" s="9"/>
      <c r="AB167" s="89"/>
      <c r="AC167" s="93"/>
      <c r="AD167" s="93"/>
      <c r="AE167" s="94"/>
      <c r="AF167" s="94"/>
      <c r="AG167" s="94"/>
      <c r="AH167" s="94"/>
      <c r="AI167" s="94"/>
      <c r="AJ167" s="94"/>
    </row>
    <row r="168" spans="1:36" s="27" customFormat="1" ht="69" customHeight="1" x14ac:dyDescent="0.25">
      <c r="A168" s="132" t="s">
        <v>356</v>
      </c>
      <c r="B168" s="133" t="s">
        <v>327</v>
      </c>
      <c r="C168" s="134" t="s">
        <v>110</v>
      </c>
      <c r="D168" s="135" t="s">
        <v>156</v>
      </c>
      <c r="E168" s="136" t="s">
        <v>215</v>
      </c>
      <c r="F168" s="137">
        <v>272274.78399999999</v>
      </c>
      <c r="G168" s="138">
        <v>272274.78399999999</v>
      </c>
      <c r="H168" s="139"/>
      <c r="I168" s="139">
        <f>(SUM(G168:H168))</f>
        <v>272274.78399999999</v>
      </c>
      <c r="J168" s="139">
        <v>0</v>
      </c>
      <c r="K168" s="139">
        <f>L168+M168+N168+O168</f>
        <v>120169.03829500001</v>
      </c>
      <c r="L168" s="139">
        <v>28947.737125</v>
      </c>
      <c r="M168" s="139">
        <v>0</v>
      </c>
      <c r="N168" s="139">
        <v>47604.499000000003</v>
      </c>
      <c r="O168" s="139">
        <v>43616.802170000003</v>
      </c>
      <c r="P168" s="139">
        <f>K168+J168</f>
        <v>120169.03829500001</v>
      </c>
      <c r="Q168" s="139">
        <v>272274.78399999999</v>
      </c>
      <c r="R168" s="139">
        <f>Q168-P168</f>
        <v>152105.74570499998</v>
      </c>
      <c r="S168" s="140">
        <f>F168-Q168</f>
        <v>0</v>
      </c>
      <c r="T168" s="141"/>
      <c r="U168" s="139">
        <v>272274.79100000003</v>
      </c>
      <c r="V168" s="139">
        <v>-7.0000000000000001E-3</v>
      </c>
      <c r="W168" s="139">
        <v>80.001000000000005</v>
      </c>
      <c r="X168" s="124" t="str">
        <f>VLOOKUP(A168,[1]Consolidado!$A:$W,23,FALSE)</f>
        <v>No información.</v>
      </c>
      <c r="Y168" s="121"/>
      <c r="Z168" s="89"/>
      <c r="AA168" s="9"/>
      <c r="AB168" s="89"/>
      <c r="AC168" s="93"/>
      <c r="AD168" s="93"/>
      <c r="AE168" s="94"/>
      <c r="AF168" s="94"/>
      <c r="AG168" s="94"/>
      <c r="AH168" s="94"/>
      <c r="AI168" s="94"/>
      <c r="AJ168" s="94"/>
    </row>
    <row r="169" spans="1:36" s="27" customFormat="1" ht="69" customHeight="1" x14ac:dyDescent="0.25">
      <c r="A169" s="132" t="s">
        <v>357</v>
      </c>
      <c r="B169" s="133" t="s">
        <v>327</v>
      </c>
      <c r="C169" s="134" t="s">
        <v>140</v>
      </c>
      <c r="D169" s="135" t="s">
        <v>143</v>
      </c>
      <c r="E169" s="136" t="s">
        <v>159</v>
      </c>
      <c r="F169" s="137">
        <v>307164</v>
      </c>
      <c r="G169" s="138">
        <v>288525.28000000003</v>
      </c>
      <c r="H169" s="139"/>
      <c r="I169" s="139">
        <f>(SUM(G169:H169))</f>
        <v>288525.28000000003</v>
      </c>
      <c r="J169" s="139">
        <v>0</v>
      </c>
      <c r="K169" s="139">
        <f>L169+M169+N169+O169</f>
        <v>265668.67361480003</v>
      </c>
      <c r="L169" s="139">
        <v>196403.2496748</v>
      </c>
      <c r="M169" s="139">
        <v>0</v>
      </c>
      <c r="N169" s="139">
        <v>26570.351870000002</v>
      </c>
      <c r="O169" s="139">
        <v>42695.072070000002</v>
      </c>
      <c r="P169" s="139">
        <f>K169+J169</f>
        <v>265668.67361480003</v>
      </c>
      <c r="Q169" s="139">
        <v>288525.28000000003</v>
      </c>
      <c r="R169" s="139">
        <f>Q169-P169</f>
        <v>22856.606385199993</v>
      </c>
      <c r="S169" s="140">
        <f>F169-Q169</f>
        <v>18638.719999999972</v>
      </c>
      <c r="T169" s="141"/>
      <c r="U169" s="139">
        <v>307164</v>
      </c>
      <c r="V169" s="139">
        <v>-18741.108</v>
      </c>
      <c r="W169" s="139">
        <v>0</v>
      </c>
      <c r="X169" s="124" t="str">
        <f>VLOOKUP(A169,[1]Consolidado!$A:$W,23,FALSE)</f>
        <v>No información.</v>
      </c>
      <c r="Y169" s="121"/>
      <c r="Z169" s="89"/>
      <c r="AA169" s="9"/>
      <c r="AB169" s="89"/>
      <c r="AC169" s="93"/>
      <c r="AD169" s="93"/>
      <c r="AE169" s="94"/>
      <c r="AF169" s="94"/>
      <c r="AG169" s="94"/>
      <c r="AH169" s="94"/>
      <c r="AI169" s="94"/>
      <c r="AJ169" s="94"/>
    </row>
    <row r="170" spans="1:36" s="27" customFormat="1" ht="69" customHeight="1" x14ac:dyDescent="0.25">
      <c r="A170" s="132" t="s">
        <v>358</v>
      </c>
      <c r="B170" s="133" t="s">
        <v>327</v>
      </c>
      <c r="C170" s="134" t="s">
        <v>110</v>
      </c>
      <c r="D170" s="135" t="s">
        <v>181</v>
      </c>
      <c r="E170" s="136" t="s">
        <v>198</v>
      </c>
      <c r="F170" s="137">
        <v>0</v>
      </c>
      <c r="G170" s="138">
        <v>0</v>
      </c>
      <c r="H170" s="139"/>
      <c r="I170" s="139">
        <f>(SUM(G170:H170))</f>
        <v>0</v>
      </c>
      <c r="J170" s="139">
        <v>0</v>
      </c>
      <c r="K170" s="139">
        <f>L170+M170+N170+O170</f>
        <v>204.66039000000001</v>
      </c>
      <c r="L170" s="139">
        <v>0</v>
      </c>
      <c r="M170" s="139">
        <v>0</v>
      </c>
      <c r="N170" s="139">
        <v>0</v>
      </c>
      <c r="O170" s="139">
        <v>204.66039000000001</v>
      </c>
      <c r="P170" s="139">
        <f>K170+J170</f>
        <v>204.66039000000001</v>
      </c>
      <c r="Q170" s="139">
        <v>0</v>
      </c>
      <c r="R170" s="139">
        <f>Q170-P170</f>
        <v>-204.66039000000001</v>
      </c>
      <c r="S170" s="140">
        <f>F170-Q170</f>
        <v>0</v>
      </c>
      <c r="T170" s="141"/>
      <c r="U170" s="139">
        <v>0</v>
      </c>
      <c r="V170" s="139">
        <v>0</v>
      </c>
      <c r="W170" s="139">
        <v>0</v>
      </c>
      <c r="X170" s="124" t="str">
        <f>VLOOKUP(A170,[1]Consolidado!$A:$W,23,FALSE)</f>
        <v>No información.</v>
      </c>
      <c r="Y170" s="121"/>
      <c r="Z170" s="89"/>
      <c r="AA170" s="9"/>
      <c r="AB170" s="89"/>
      <c r="AC170" s="93"/>
      <c r="AD170" s="93"/>
      <c r="AE170" s="94"/>
      <c r="AF170" s="94"/>
      <c r="AG170" s="94"/>
      <c r="AH170" s="94"/>
      <c r="AI170" s="94"/>
      <c r="AJ170" s="94"/>
    </row>
    <row r="171" spans="1:36" s="27" customFormat="1" ht="69" customHeight="1" x14ac:dyDescent="0.25">
      <c r="A171" s="132" t="s">
        <v>359</v>
      </c>
      <c r="B171" s="133" t="s">
        <v>327</v>
      </c>
      <c r="C171" s="134" t="s">
        <v>140</v>
      </c>
      <c r="D171" s="135" t="s">
        <v>181</v>
      </c>
      <c r="E171" s="136" t="s">
        <v>182</v>
      </c>
      <c r="F171" s="137">
        <v>480736.65880000003</v>
      </c>
      <c r="G171" s="138">
        <v>480736.65880000003</v>
      </c>
      <c r="H171" s="139"/>
      <c r="I171" s="139">
        <f>(SUM(G171:H171))</f>
        <v>480736.65880000003</v>
      </c>
      <c r="J171" s="139">
        <v>0</v>
      </c>
      <c r="K171" s="139">
        <f>L171+M171+N171+O171</f>
        <v>590546.30687600002</v>
      </c>
      <c r="L171" s="139">
        <v>147670.43760599999</v>
      </c>
      <c r="M171" s="139">
        <v>0</v>
      </c>
      <c r="N171" s="139">
        <v>170392.58840000001</v>
      </c>
      <c r="O171" s="139">
        <v>272483.28087000002</v>
      </c>
      <c r="P171" s="139">
        <f>K171+J171</f>
        <v>590546.30687600002</v>
      </c>
      <c r="Q171" s="139">
        <v>480736.65880000003</v>
      </c>
      <c r="R171" s="139">
        <f>Q171-P171</f>
        <v>-109809.64807599998</v>
      </c>
      <c r="S171" s="140">
        <f>F171-Q171</f>
        <v>0</v>
      </c>
      <c r="T171" s="141"/>
      <c r="U171" s="139">
        <v>480736.65880000003</v>
      </c>
      <c r="V171" s="139">
        <v>0</v>
      </c>
      <c r="W171" s="139">
        <v>0</v>
      </c>
      <c r="X171" s="124" t="str">
        <f>VLOOKUP(A171,[1]Consolidado!$A:$W,23,FALSE)</f>
        <v>Adm: B&amp;C
Proyecto finalizado.  JV En liquidación.
Reducir a cero el Vr. Disponible para ejecutar.</v>
      </c>
      <c r="Y171" s="121"/>
      <c r="Z171" s="89"/>
      <c r="AA171" s="9"/>
      <c r="AB171" s="89"/>
      <c r="AC171" s="93"/>
      <c r="AD171" s="93"/>
      <c r="AE171" s="94"/>
      <c r="AF171" s="94"/>
      <c r="AG171" s="94"/>
      <c r="AH171" s="94"/>
      <c r="AI171" s="94"/>
      <c r="AJ171" s="94"/>
    </row>
    <row r="172" spans="1:36" s="27" customFormat="1" ht="69" customHeight="1" x14ac:dyDescent="0.25">
      <c r="A172" s="132" t="s">
        <v>360</v>
      </c>
      <c r="B172" s="133" t="s">
        <v>327</v>
      </c>
      <c r="C172" s="134" t="s">
        <v>140</v>
      </c>
      <c r="D172" s="135" t="s">
        <v>181</v>
      </c>
      <c r="E172" s="136" t="s">
        <v>182</v>
      </c>
      <c r="F172" s="137">
        <v>396331</v>
      </c>
      <c r="G172" s="138">
        <v>396.33100000000013</v>
      </c>
      <c r="H172" s="139"/>
      <c r="I172" s="139">
        <f>(SUM(G172:H172))</f>
        <v>396.33100000000013</v>
      </c>
      <c r="J172" s="139">
        <v>0</v>
      </c>
      <c r="K172" s="139">
        <f>L172+M172+N172+O172</f>
        <v>139522.40495240001</v>
      </c>
      <c r="L172" s="139">
        <v>17613.979062400002</v>
      </c>
      <c r="M172" s="139">
        <v>0</v>
      </c>
      <c r="N172" s="139">
        <v>20573.833999999999</v>
      </c>
      <c r="O172" s="139">
        <v>101334.59189</v>
      </c>
      <c r="P172" s="139">
        <f>K172+J172</f>
        <v>139522.40495240001</v>
      </c>
      <c r="Q172" s="139">
        <v>396.33100000000013</v>
      </c>
      <c r="R172" s="139">
        <f>Q172-P172</f>
        <v>-139126.07395240001</v>
      </c>
      <c r="S172" s="140">
        <f>F172-Q172</f>
        <v>395934.66899999999</v>
      </c>
      <c r="T172" s="141"/>
      <c r="U172" s="139">
        <v>7896.3310000000001</v>
      </c>
      <c r="V172" s="139">
        <v>0</v>
      </c>
      <c r="W172" s="139">
        <v>0</v>
      </c>
      <c r="X172" s="124" t="str">
        <f>VLOOKUP(A172,[1]Consolidado!$A:$W,23,FALSE)</f>
        <v>Adm: TYPSA.
Proyecto finalizado. JV EN liquidación.
Reducir a cero el Vr. Autorizado.</v>
      </c>
      <c r="Y172" s="121"/>
      <c r="Z172" s="89"/>
      <c r="AA172" s="9"/>
      <c r="AB172" s="89"/>
      <c r="AC172" s="93"/>
      <c r="AD172" s="93"/>
      <c r="AE172" s="94"/>
      <c r="AF172" s="94"/>
      <c r="AG172" s="94"/>
      <c r="AH172" s="94"/>
      <c r="AI172" s="94"/>
      <c r="AJ172" s="94"/>
    </row>
    <row r="173" spans="1:36" s="27" customFormat="1" ht="69" customHeight="1" x14ac:dyDescent="0.25">
      <c r="A173" s="132" t="s">
        <v>361</v>
      </c>
      <c r="B173" s="133" t="s">
        <v>327</v>
      </c>
      <c r="C173" s="134" t="s">
        <v>140</v>
      </c>
      <c r="D173" s="135" t="s">
        <v>111</v>
      </c>
      <c r="E173" s="136" t="s">
        <v>351</v>
      </c>
      <c r="F173" s="137">
        <v>0</v>
      </c>
      <c r="G173" s="138">
        <v>0</v>
      </c>
      <c r="H173" s="139"/>
      <c r="I173" s="139">
        <f>(SUM(G173:H173))</f>
        <v>0</v>
      </c>
      <c r="J173" s="139">
        <v>0</v>
      </c>
      <c r="K173" s="139">
        <f>L173+M173+N173+O173</f>
        <v>14302.471575000001</v>
      </c>
      <c r="L173" s="139">
        <v>2462.0085750000003</v>
      </c>
      <c r="M173" s="139">
        <v>0</v>
      </c>
      <c r="N173" s="139">
        <v>11657.763000000001</v>
      </c>
      <c r="O173" s="139">
        <v>182.7</v>
      </c>
      <c r="P173" s="139">
        <f>K173+J173</f>
        <v>14302.471575000001</v>
      </c>
      <c r="Q173" s="139">
        <v>0</v>
      </c>
      <c r="R173" s="139">
        <f>Q173-P173</f>
        <v>-14302.471575000001</v>
      </c>
      <c r="S173" s="140">
        <f>F173-Q173</f>
        <v>0</v>
      </c>
      <c r="T173" s="141"/>
      <c r="U173" s="139">
        <v>0</v>
      </c>
      <c r="V173" s="139">
        <v>0</v>
      </c>
      <c r="W173" s="139">
        <v>0</v>
      </c>
      <c r="X173" s="124" t="str">
        <f>VLOOKUP(A173,[1]Consolidado!$A:$W,23,FALSE)</f>
        <v>Adm: WSP
Consorcio en Liquidación. Bajar Vr. Autorizado.</v>
      </c>
      <c r="Y173" s="121"/>
      <c r="Z173" s="89"/>
      <c r="AA173" s="9"/>
      <c r="AB173" s="89"/>
      <c r="AC173" s="93"/>
      <c r="AD173" s="93"/>
      <c r="AE173" s="94"/>
      <c r="AF173" s="94"/>
      <c r="AG173" s="94"/>
      <c r="AH173" s="94"/>
      <c r="AI173" s="94"/>
      <c r="AJ173" s="94"/>
    </row>
    <row r="174" spans="1:36" s="27" customFormat="1" ht="69" customHeight="1" x14ac:dyDescent="0.25">
      <c r="A174" s="132" t="s">
        <v>362</v>
      </c>
      <c r="B174" s="133" t="s">
        <v>327</v>
      </c>
      <c r="C174" s="134" t="s">
        <v>140</v>
      </c>
      <c r="D174" s="135" t="s">
        <v>111</v>
      </c>
      <c r="E174" s="136" t="s">
        <v>351</v>
      </c>
      <c r="F174" s="137">
        <v>0</v>
      </c>
      <c r="G174" s="138">
        <v>-2323.4848500000003</v>
      </c>
      <c r="H174" s="139"/>
      <c r="I174" s="139">
        <f>(SUM(G174:H174))</f>
        <v>-2323.4848500000003</v>
      </c>
      <c r="J174" s="139">
        <v>0</v>
      </c>
      <c r="K174" s="139">
        <f>L174+M174+N174+O174</f>
        <v>15162.689915000001</v>
      </c>
      <c r="L174" s="139">
        <v>7814.276425</v>
      </c>
      <c r="M174" s="139">
        <v>0</v>
      </c>
      <c r="N174" s="139">
        <v>4867.7001600000003</v>
      </c>
      <c r="O174" s="139">
        <v>2480.71333</v>
      </c>
      <c r="P174" s="139">
        <f>K174+J174</f>
        <v>15162.689915000001</v>
      </c>
      <c r="Q174" s="139">
        <v>-2323.4848500000003</v>
      </c>
      <c r="R174" s="139">
        <f>Q174-P174</f>
        <v>-17486.174765</v>
      </c>
      <c r="S174" s="140">
        <f>F174-Q174</f>
        <v>2323.4848500000003</v>
      </c>
      <c r="T174" s="141"/>
      <c r="U174" s="139">
        <v>0</v>
      </c>
      <c r="V174" s="139">
        <v>0</v>
      </c>
      <c r="W174" s="139">
        <v>0</v>
      </c>
      <c r="X174" s="124" t="str">
        <f>VLOOKUP(A174,[1]Consolidado!$A:$W,23,FALSE)</f>
        <v xml:space="preserve">Adm WSP
Bajar Vr Autorizado.  </v>
      </c>
      <c r="Y174" s="121"/>
      <c r="Z174" s="89"/>
      <c r="AA174" s="9"/>
      <c r="AB174" s="89"/>
      <c r="AC174" s="93"/>
      <c r="AD174" s="93"/>
      <c r="AE174" s="94"/>
      <c r="AF174" s="94"/>
      <c r="AG174" s="94"/>
      <c r="AH174" s="94"/>
      <c r="AI174" s="94"/>
      <c r="AJ174" s="94"/>
    </row>
    <row r="175" spans="1:36" s="27" customFormat="1" ht="69" customHeight="1" x14ac:dyDescent="0.25">
      <c r="A175" s="132" t="s">
        <v>363</v>
      </c>
      <c r="B175" s="133" t="s">
        <v>327</v>
      </c>
      <c r="C175" s="134" t="s">
        <v>140</v>
      </c>
      <c r="D175" s="135" t="s">
        <v>111</v>
      </c>
      <c r="E175" s="136" t="s">
        <v>345</v>
      </c>
      <c r="F175" s="137">
        <v>4004103</v>
      </c>
      <c r="G175" s="138">
        <v>2890199.4611999998</v>
      </c>
      <c r="H175" s="139"/>
      <c r="I175" s="139">
        <f>(SUM(G175:H175))</f>
        <v>2890199.4611999998</v>
      </c>
      <c r="J175" s="139">
        <v>8743.0275941399996</v>
      </c>
      <c r="K175" s="139">
        <f>L175+M175+N175+O175</f>
        <v>3343181.1679604398</v>
      </c>
      <c r="L175" s="139">
        <v>639327.71686799999</v>
      </c>
      <c r="M175" s="139">
        <v>7380.3451724399993</v>
      </c>
      <c r="N175" s="139">
        <v>923695.46355999995</v>
      </c>
      <c r="O175" s="139">
        <v>1772777.6423600002</v>
      </c>
      <c r="P175" s="139">
        <f>K175+J175</f>
        <v>3351924.1955545796</v>
      </c>
      <c r="Q175" s="139">
        <v>2898942.4887941396</v>
      </c>
      <c r="R175" s="139">
        <f>Q175-P175</f>
        <v>-452981.70676044002</v>
      </c>
      <c r="S175" s="140">
        <f>F175-Q175</f>
        <v>1105160.5112058604</v>
      </c>
      <c r="T175" s="141"/>
      <c r="U175" s="139">
        <v>2890197.93</v>
      </c>
      <c r="V175" s="139">
        <v>0</v>
      </c>
      <c r="W175" s="139">
        <v>273585.6936</v>
      </c>
      <c r="X175" s="124" t="str">
        <f>VLOOKUP(A175,[1]Consolidado!$A:$W,23,FALSE)</f>
        <v>Ejecutado Acumulado may-16 $ 2.940.688.563
Proyecto en liquidación, se firmo acta de liquidación el 01/06/2016, se factura en Junio/2016, se factura 319 MCOP</v>
      </c>
      <c r="Y175" s="121"/>
      <c r="Z175" s="89"/>
      <c r="AA175" s="9"/>
      <c r="AB175" s="89"/>
      <c r="AC175" s="93"/>
      <c r="AD175" s="93"/>
      <c r="AE175" s="94"/>
      <c r="AF175" s="94"/>
      <c r="AG175" s="94"/>
      <c r="AH175" s="94"/>
      <c r="AI175" s="94"/>
      <c r="AJ175" s="94"/>
    </row>
    <row r="176" spans="1:36" s="27" customFormat="1" ht="69" customHeight="1" x14ac:dyDescent="0.25">
      <c r="A176" s="132" t="s">
        <v>364</v>
      </c>
      <c r="B176" s="133" t="s">
        <v>327</v>
      </c>
      <c r="C176" s="134" t="s">
        <v>140</v>
      </c>
      <c r="D176" s="135" t="s">
        <v>181</v>
      </c>
      <c r="E176" s="136" t="s">
        <v>365</v>
      </c>
      <c r="F176" s="137">
        <v>1325371.0249999999</v>
      </c>
      <c r="G176" s="138">
        <v>1274261.3217200001</v>
      </c>
      <c r="H176" s="139"/>
      <c r="I176" s="139">
        <f>(SUM(G176:H176))</f>
        <v>1274261.3217200001</v>
      </c>
      <c r="J176" s="139">
        <v>0</v>
      </c>
      <c r="K176" s="139">
        <f>L176+M176+N176+O176</f>
        <v>925185.884005</v>
      </c>
      <c r="L176" s="139">
        <v>478665.51002500003</v>
      </c>
      <c r="M176" s="139">
        <v>123.68421000000001</v>
      </c>
      <c r="N176" s="139">
        <v>17680.962899999999</v>
      </c>
      <c r="O176" s="139">
        <v>428715.72687000001</v>
      </c>
      <c r="P176" s="139">
        <f>K176+J176</f>
        <v>925185.884005</v>
      </c>
      <c r="Q176" s="139">
        <v>1274261.3217200001</v>
      </c>
      <c r="R176" s="139">
        <f>Q176-P176</f>
        <v>349075.43771500012</v>
      </c>
      <c r="S176" s="140">
        <f>F176-Q176</f>
        <v>51109.703279999783</v>
      </c>
      <c r="T176" s="141"/>
      <c r="U176" s="139">
        <v>1299252.81222</v>
      </c>
      <c r="V176" s="139">
        <v>0</v>
      </c>
      <c r="W176" s="139">
        <v>64724.661500000002</v>
      </c>
      <c r="X176" s="124" t="str">
        <f>VLOOKUP(A176,[1]Consolidado!$A:$W,23,FALSE)</f>
        <v>Adm: WSP en fase de cierre.</v>
      </c>
      <c r="Y176" s="121"/>
      <c r="Z176" s="89"/>
      <c r="AA176" s="9"/>
      <c r="AB176" s="89"/>
      <c r="AC176" s="93"/>
      <c r="AD176" s="93"/>
      <c r="AE176" s="94"/>
      <c r="AF176" s="94"/>
      <c r="AG176" s="94"/>
      <c r="AH176" s="94"/>
      <c r="AI176" s="94"/>
      <c r="AJ176" s="94"/>
    </row>
    <row r="177" spans="1:36" s="27" customFormat="1" ht="69" customHeight="1" x14ac:dyDescent="0.25">
      <c r="A177" s="132" t="s">
        <v>366</v>
      </c>
      <c r="B177" s="133" t="s">
        <v>327</v>
      </c>
      <c r="C177" s="134" t="s">
        <v>140</v>
      </c>
      <c r="D177" s="135" t="s">
        <v>238</v>
      </c>
      <c r="E177" s="136" t="s">
        <v>239</v>
      </c>
      <c r="F177" s="137">
        <v>2680520.4730000002</v>
      </c>
      <c r="G177" s="138">
        <v>2191138.2836000002</v>
      </c>
      <c r="H177" s="139"/>
      <c r="I177" s="139">
        <f>(SUM(G177:H177))</f>
        <v>2191138.2836000002</v>
      </c>
      <c r="J177" s="139">
        <v>0</v>
      </c>
      <c r="K177" s="139">
        <f>L177+M177+N177+O177</f>
        <v>3018118.3533549998</v>
      </c>
      <c r="L177" s="139">
        <v>2532907.3082749997</v>
      </c>
      <c r="M177" s="139">
        <v>0</v>
      </c>
      <c r="N177" s="139">
        <v>4189.9098999999997</v>
      </c>
      <c r="O177" s="139">
        <v>481021.13518000004</v>
      </c>
      <c r="P177" s="139">
        <f>K177+J177</f>
        <v>3018118.3533549998</v>
      </c>
      <c r="Q177" s="139">
        <v>2191138.2836000002</v>
      </c>
      <c r="R177" s="139">
        <f>Q177-P177</f>
        <v>-826980.0697549996</v>
      </c>
      <c r="S177" s="140">
        <f>F177-Q177</f>
        <v>489382.18940000003</v>
      </c>
      <c r="T177" s="141"/>
      <c r="U177" s="139">
        <v>2328349.1869999999</v>
      </c>
      <c r="V177" s="139">
        <v>0</v>
      </c>
      <c r="W177" s="139">
        <v>0</v>
      </c>
      <c r="X177" s="124" t="str">
        <f>VLOOKUP(A177,[1]Consolidado!$A:$W,23,FALSE)</f>
        <v>Adm: WSP. 
Problemas para liquidación por ICBF</v>
      </c>
      <c r="Y177" s="121"/>
      <c r="Z177" s="89"/>
      <c r="AA177" s="9"/>
      <c r="AB177" s="89"/>
      <c r="AC177" s="93"/>
      <c r="AD177" s="93"/>
      <c r="AE177" s="94"/>
      <c r="AF177" s="94"/>
      <c r="AG177" s="94"/>
      <c r="AH177" s="94"/>
      <c r="AI177" s="94"/>
      <c r="AJ177" s="94"/>
    </row>
    <row r="178" spans="1:36" s="27" customFormat="1" ht="69" customHeight="1" x14ac:dyDescent="0.25">
      <c r="A178" s="132" t="s">
        <v>367</v>
      </c>
      <c r="B178" s="133" t="s">
        <v>327</v>
      </c>
      <c r="C178" s="134" t="s">
        <v>140</v>
      </c>
      <c r="D178" s="135" t="s">
        <v>111</v>
      </c>
      <c r="E178" s="136" t="s">
        <v>368</v>
      </c>
      <c r="F178" s="137">
        <v>0</v>
      </c>
      <c r="G178" s="138">
        <v>0</v>
      </c>
      <c r="H178" s="139"/>
      <c r="I178" s="139">
        <f>(SUM(G178:H178))</f>
        <v>0</v>
      </c>
      <c r="J178" s="139">
        <v>0</v>
      </c>
      <c r="K178" s="139">
        <f>L178+M178+N178+O178</f>
        <v>185694.48044000001</v>
      </c>
      <c r="L178" s="139">
        <v>101243.41015000001</v>
      </c>
      <c r="M178" s="139">
        <v>0</v>
      </c>
      <c r="N178" s="139">
        <v>94350</v>
      </c>
      <c r="O178" s="139">
        <v>-9898.9297100000003</v>
      </c>
      <c r="P178" s="139">
        <f>K178+J178</f>
        <v>185694.48044000001</v>
      </c>
      <c r="Q178" s="139">
        <v>0</v>
      </c>
      <c r="R178" s="139">
        <f>Q178-P178</f>
        <v>-185694.48044000001</v>
      </c>
      <c r="S178" s="140">
        <f>F178-Q178</f>
        <v>0</v>
      </c>
      <c r="T178" s="141"/>
      <c r="U178" s="139">
        <v>0</v>
      </c>
      <c r="V178" s="139">
        <v>0</v>
      </c>
      <c r="W178" s="139">
        <v>0</v>
      </c>
      <c r="X178" s="124" t="str">
        <f>VLOOKUP(A178,[1]Consolidado!$A:$W,23,FALSE)</f>
        <v>Reclasificar saldos y terminar este proyecto.</v>
      </c>
      <c r="Y178" s="121"/>
      <c r="Z178" s="89"/>
      <c r="AA178" s="9"/>
      <c r="AB178" s="89"/>
      <c r="AC178" s="93"/>
      <c r="AD178" s="93"/>
      <c r="AE178" s="94"/>
      <c r="AF178" s="94"/>
      <c r="AG178" s="94"/>
      <c r="AH178" s="94"/>
      <c r="AI178" s="94"/>
      <c r="AJ178" s="94"/>
    </row>
    <row r="179" spans="1:36" s="27" customFormat="1" ht="69" customHeight="1" x14ac:dyDescent="0.25">
      <c r="A179" s="132" t="s">
        <v>369</v>
      </c>
      <c r="B179" s="133" t="s">
        <v>327</v>
      </c>
      <c r="C179" s="134" t="s">
        <v>140</v>
      </c>
      <c r="D179" s="135" t="s">
        <v>111</v>
      </c>
      <c r="E179" s="136" t="s">
        <v>141</v>
      </c>
      <c r="F179" s="137">
        <v>1063425.5009999999</v>
      </c>
      <c r="G179" s="138">
        <v>1051197.601</v>
      </c>
      <c r="H179" s="139"/>
      <c r="I179" s="139">
        <f>(SUM(G179:H179))</f>
        <v>1051197.601</v>
      </c>
      <c r="J179" s="139">
        <v>0</v>
      </c>
      <c r="K179" s="139">
        <f>L179+M179+N179+O179</f>
        <v>1078198.6517990001</v>
      </c>
      <c r="L179" s="139">
        <v>578368.34293899999</v>
      </c>
      <c r="M179" s="139">
        <v>0</v>
      </c>
      <c r="N179" s="139">
        <v>624547.87819000008</v>
      </c>
      <c r="O179" s="139">
        <v>-124717.56933</v>
      </c>
      <c r="P179" s="139">
        <f>K179+J179</f>
        <v>1078198.6517990001</v>
      </c>
      <c r="Q179" s="139">
        <v>1051197.601</v>
      </c>
      <c r="R179" s="139">
        <f>Q179-P179</f>
        <v>-27001.050799000077</v>
      </c>
      <c r="S179" s="140">
        <f>F179-Q179</f>
        <v>12227.899999999907</v>
      </c>
      <c r="T179" s="141"/>
      <c r="U179" s="139">
        <v>1063425.5009999999</v>
      </c>
      <c r="V179" s="139">
        <v>1.64E-3</v>
      </c>
      <c r="W179" s="139">
        <v>0</v>
      </c>
      <c r="X179" s="124" t="str">
        <f>VLOOKUP(A179,[1]Consolidado!$A:$W,23,FALSE)</f>
        <v>Proyecto en etapa de reunión de cierre.</v>
      </c>
      <c r="Y179" s="121"/>
      <c r="Z179" s="89"/>
      <c r="AA179" s="9"/>
      <c r="AB179" s="89"/>
      <c r="AC179" s="93"/>
      <c r="AD179" s="93"/>
      <c r="AE179" s="94"/>
      <c r="AF179" s="94"/>
      <c r="AG179" s="94"/>
      <c r="AH179" s="94"/>
      <c r="AI179" s="94"/>
      <c r="AJ179" s="94"/>
    </row>
    <row r="180" spans="1:36" s="27" customFormat="1" ht="69" customHeight="1" x14ac:dyDescent="0.25">
      <c r="A180" s="132" t="s">
        <v>370</v>
      </c>
      <c r="B180" s="133" t="s">
        <v>327</v>
      </c>
      <c r="C180" s="134" t="s">
        <v>140</v>
      </c>
      <c r="D180" s="135" t="s">
        <v>238</v>
      </c>
      <c r="E180" s="136" t="s">
        <v>239</v>
      </c>
      <c r="F180" s="137">
        <v>3778555.827</v>
      </c>
      <c r="G180" s="138">
        <v>2118767.7757099997</v>
      </c>
      <c r="H180" s="139"/>
      <c r="I180" s="139">
        <f>(SUM(G180:H180))</f>
        <v>2118767.7757099997</v>
      </c>
      <c r="J180" s="139">
        <v>0</v>
      </c>
      <c r="K180" s="139">
        <f>L180+M180+N180+O180</f>
        <v>2782461.9667150001</v>
      </c>
      <c r="L180" s="139">
        <v>1894048.8186250001</v>
      </c>
      <c r="M180" s="139">
        <v>0</v>
      </c>
      <c r="N180" s="139">
        <v>1501.1089999999999</v>
      </c>
      <c r="O180" s="139">
        <v>886912.03909000009</v>
      </c>
      <c r="P180" s="139">
        <f>K180+J180</f>
        <v>2782461.9667150001</v>
      </c>
      <c r="Q180" s="139">
        <v>2118767.7757099997</v>
      </c>
      <c r="R180" s="139">
        <f>Q180-P180</f>
        <v>-663694.19100500038</v>
      </c>
      <c r="S180" s="140">
        <f>F180-Q180</f>
        <v>1659788.0512900003</v>
      </c>
      <c r="T180" s="141"/>
      <c r="U180" s="139">
        <v>2251192.0019999999</v>
      </c>
      <c r="V180" s="139">
        <v>0</v>
      </c>
      <c r="W180" s="139">
        <v>0</v>
      </c>
      <c r="X180" s="124" t="str">
        <f>VLOOKUP(A180,[1]Consolidado!$A:$W,23,FALSE)</f>
        <v>Adm: WSP Liquidación en curso.</v>
      </c>
      <c r="Y180" s="121"/>
      <c r="Z180" s="89"/>
      <c r="AA180" s="9"/>
      <c r="AB180" s="89"/>
      <c r="AC180" s="93"/>
      <c r="AD180" s="93"/>
      <c r="AE180" s="94"/>
      <c r="AF180" s="94"/>
      <c r="AG180" s="94"/>
      <c r="AH180" s="94"/>
      <c r="AI180" s="94"/>
      <c r="AJ180" s="94"/>
    </row>
    <row r="181" spans="1:36" s="27" customFormat="1" ht="69" customHeight="1" x14ac:dyDescent="0.25">
      <c r="A181" s="132" t="s">
        <v>371</v>
      </c>
      <c r="B181" s="133" t="s">
        <v>327</v>
      </c>
      <c r="C181" s="134" t="s">
        <v>140</v>
      </c>
      <c r="D181" s="135" t="s">
        <v>238</v>
      </c>
      <c r="E181" s="136" t="s">
        <v>239</v>
      </c>
      <c r="F181" s="137">
        <v>0</v>
      </c>
      <c r="G181" s="138">
        <v>0</v>
      </c>
      <c r="H181" s="139"/>
      <c r="I181" s="139">
        <f>(SUM(G181:H181))</f>
        <v>0</v>
      </c>
      <c r="J181" s="139">
        <v>0</v>
      </c>
      <c r="K181" s="139">
        <f>L181+M181+N181+O181</f>
        <v>8208.5450000000001</v>
      </c>
      <c r="L181" s="139">
        <v>8208.5450000000001</v>
      </c>
      <c r="M181" s="139">
        <v>0</v>
      </c>
      <c r="N181" s="139">
        <v>0</v>
      </c>
      <c r="O181" s="139">
        <v>0</v>
      </c>
      <c r="P181" s="139">
        <f>K181+J181</f>
        <v>8208.5450000000001</v>
      </c>
      <c r="Q181" s="139">
        <v>0</v>
      </c>
      <c r="R181" s="139">
        <f>Q181-P181</f>
        <v>-8208.5450000000001</v>
      </c>
      <c r="S181" s="140">
        <f>F181-Q181</f>
        <v>0</v>
      </c>
      <c r="T181" s="141"/>
      <c r="U181" s="139">
        <v>0</v>
      </c>
      <c r="V181" s="139">
        <v>0</v>
      </c>
      <c r="W181" s="139">
        <v>0</v>
      </c>
      <c r="X181" s="124" t="str">
        <f>VLOOKUP(A181,[1]Consolidado!$A:$W,23,FALSE)</f>
        <v>No información.</v>
      </c>
      <c r="Y181" s="121"/>
      <c r="Z181" s="89"/>
      <c r="AA181" s="9"/>
      <c r="AB181" s="89"/>
      <c r="AC181" s="93"/>
      <c r="AD181" s="93"/>
      <c r="AE181" s="94"/>
      <c r="AF181" s="94"/>
      <c r="AG181" s="94"/>
      <c r="AH181" s="94"/>
      <c r="AI181" s="94"/>
      <c r="AJ181" s="94"/>
    </row>
    <row r="182" spans="1:36" s="27" customFormat="1" ht="69" customHeight="1" x14ac:dyDescent="0.25">
      <c r="A182" s="132" t="s">
        <v>372</v>
      </c>
      <c r="B182" s="133" t="s">
        <v>327</v>
      </c>
      <c r="C182" s="134" t="s">
        <v>140</v>
      </c>
      <c r="D182" s="135" t="s">
        <v>181</v>
      </c>
      <c r="E182" s="136" t="s">
        <v>182</v>
      </c>
      <c r="F182" s="137">
        <v>405000</v>
      </c>
      <c r="G182" s="138">
        <v>75560</v>
      </c>
      <c r="H182" s="139"/>
      <c r="I182" s="139">
        <f>(SUM(G182:H182))</f>
        <v>75560</v>
      </c>
      <c r="J182" s="139">
        <v>0</v>
      </c>
      <c r="K182" s="139">
        <f>L182+M182+N182+O182</f>
        <v>21080.331593999999</v>
      </c>
      <c r="L182" s="139">
        <v>21080.331593999999</v>
      </c>
      <c r="M182" s="139">
        <v>0</v>
      </c>
      <c r="N182" s="139">
        <v>0</v>
      </c>
      <c r="O182" s="139">
        <v>0</v>
      </c>
      <c r="P182" s="139">
        <f>K182+J182</f>
        <v>21080.331593999999</v>
      </c>
      <c r="Q182" s="139">
        <v>75560</v>
      </c>
      <c r="R182" s="139">
        <f>Q182-P182</f>
        <v>54479.668405999997</v>
      </c>
      <c r="S182" s="140">
        <f>F182-Q182</f>
        <v>329440</v>
      </c>
      <c r="T182" s="141"/>
      <c r="U182" s="139">
        <v>405000</v>
      </c>
      <c r="V182" s="139">
        <v>0</v>
      </c>
      <c r="W182" s="139">
        <v>0</v>
      </c>
      <c r="X182" s="124" t="str">
        <f>VLOOKUP(A182,[1]Consolidado!$A:$W,23,FALSE)</f>
        <v>No información.</v>
      </c>
      <c r="Y182" s="121"/>
      <c r="Z182" s="89"/>
      <c r="AA182" s="9"/>
      <c r="AB182" s="89"/>
      <c r="AC182" s="93"/>
      <c r="AD182" s="93"/>
      <c r="AE182" s="94"/>
      <c r="AF182" s="94"/>
      <c r="AG182" s="94"/>
      <c r="AH182" s="94"/>
      <c r="AI182" s="94"/>
      <c r="AJ182" s="94"/>
    </row>
    <row r="183" spans="1:36" s="27" customFormat="1" ht="69" customHeight="1" x14ac:dyDescent="0.25">
      <c r="A183" s="132" t="s">
        <v>373</v>
      </c>
      <c r="B183" s="133" t="s">
        <v>327</v>
      </c>
      <c r="C183" s="134" t="s">
        <v>140</v>
      </c>
      <c r="D183" s="135" t="s">
        <v>374</v>
      </c>
      <c r="E183" s="136" t="s">
        <v>368</v>
      </c>
      <c r="F183" s="137">
        <v>0</v>
      </c>
      <c r="G183" s="138">
        <v>27870206.954909995</v>
      </c>
      <c r="H183" s="139"/>
      <c r="I183" s="139">
        <f>(SUM(G183:H183))</f>
        <v>27870206.954909995</v>
      </c>
      <c r="J183" s="139">
        <v>1855.65383</v>
      </c>
      <c r="K183" s="139">
        <f>L183+M183+N183+O183</f>
        <v>37501718.461627498</v>
      </c>
      <c r="L183" s="139">
        <v>26457281.591525</v>
      </c>
      <c r="M183" s="139">
        <v>3292.2890525000003</v>
      </c>
      <c r="N183" s="139">
        <v>48875.660909999999</v>
      </c>
      <c r="O183" s="139">
        <v>10992268.92014</v>
      </c>
      <c r="P183" s="139">
        <f>K183+J183</f>
        <v>37503574.115457498</v>
      </c>
      <c r="Q183" s="139">
        <v>27872062.608739994</v>
      </c>
      <c r="R183" s="139">
        <f>Q183-P183</f>
        <v>-9631511.5067175031</v>
      </c>
      <c r="S183" s="140">
        <f>F183-Q183</f>
        <v>-27872062.608739994</v>
      </c>
      <c r="T183" s="141"/>
      <c r="U183" s="139">
        <v>27486967.324999999</v>
      </c>
      <c r="V183" s="139">
        <v>0</v>
      </c>
      <c r="W183" s="139">
        <v>0</v>
      </c>
      <c r="X183" s="124" t="str">
        <f>VLOOKUP(A183,[1]Consolidado!$A:$W,23,FALSE)</f>
        <v>Adm: HMV En cierre.  Pendiente reclamación.
Actualizar Vr. Autorizado para tener Cero.</v>
      </c>
      <c r="Y183" s="121"/>
      <c r="Z183" s="89"/>
      <c r="AA183" s="9"/>
      <c r="AB183" s="89"/>
      <c r="AC183" s="93"/>
      <c r="AD183" s="93"/>
      <c r="AE183" s="94"/>
      <c r="AF183" s="94"/>
      <c r="AG183" s="94"/>
      <c r="AH183" s="94"/>
      <c r="AI183" s="94"/>
      <c r="AJ183" s="94"/>
    </row>
    <row r="184" spans="1:36" s="27" customFormat="1" ht="69" customHeight="1" x14ac:dyDescent="0.25">
      <c r="A184" s="132" t="s">
        <v>375</v>
      </c>
      <c r="B184" s="133" t="s">
        <v>327</v>
      </c>
      <c r="C184" s="134" t="s">
        <v>140</v>
      </c>
      <c r="D184" s="135" t="s">
        <v>136</v>
      </c>
      <c r="E184" s="136" t="s">
        <v>225</v>
      </c>
      <c r="F184" s="137">
        <v>190248.29699999999</v>
      </c>
      <c r="G184" s="138">
        <v>190248.29699999999</v>
      </c>
      <c r="H184" s="139"/>
      <c r="I184" s="139">
        <f>(SUM(G184:H184))</f>
        <v>190248.29699999999</v>
      </c>
      <c r="J184" s="139">
        <v>0</v>
      </c>
      <c r="K184" s="139">
        <f>L184+M184+N184+O184</f>
        <v>147311.86832499999</v>
      </c>
      <c r="L184" s="139">
        <v>25466.615375000001</v>
      </c>
      <c r="M184" s="139">
        <v>0</v>
      </c>
      <c r="N184" s="139">
        <v>107282.065</v>
      </c>
      <c r="O184" s="139">
        <v>14563.18795</v>
      </c>
      <c r="P184" s="139">
        <f>K184+J184</f>
        <v>147311.86832499999</v>
      </c>
      <c r="Q184" s="139">
        <v>190248.29699999999</v>
      </c>
      <c r="R184" s="139">
        <f>Q184-P184</f>
        <v>42936.428675000003</v>
      </c>
      <c r="S184" s="140">
        <f>F184-Q184</f>
        <v>0</v>
      </c>
      <c r="T184" s="141"/>
      <c r="U184" s="139">
        <v>190248.29699999999</v>
      </c>
      <c r="V184" s="139">
        <v>0</v>
      </c>
      <c r="W184" s="139">
        <v>-1E-3</v>
      </c>
      <c r="X184" s="124" t="str">
        <f>VLOOKUP(A184,[1]Consolidado!$A:$W,23,FALSE)</f>
        <v>No información.</v>
      </c>
      <c r="Y184" s="121"/>
      <c r="Z184" s="89"/>
      <c r="AA184" s="9"/>
      <c r="AB184" s="89"/>
      <c r="AC184" s="93"/>
      <c r="AD184" s="93"/>
      <c r="AE184" s="94"/>
      <c r="AF184" s="94"/>
      <c r="AG184" s="94"/>
      <c r="AH184" s="94"/>
      <c r="AI184" s="94"/>
      <c r="AJ184" s="94"/>
    </row>
    <row r="185" spans="1:36" s="27" customFormat="1" ht="69" customHeight="1" x14ac:dyDescent="0.25">
      <c r="A185" s="132" t="s">
        <v>376</v>
      </c>
      <c r="B185" s="133" t="s">
        <v>327</v>
      </c>
      <c r="C185" s="134" t="s">
        <v>140</v>
      </c>
      <c r="D185" s="135" t="s">
        <v>136</v>
      </c>
      <c r="E185" s="136" t="s">
        <v>225</v>
      </c>
      <c r="F185" s="137">
        <v>497984.5</v>
      </c>
      <c r="G185" s="138">
        <v>-7548.56</v>
      </c>
      <c r="H185" s="139"/>
      <c r="I185" s="139">
        <f>(SUM(G185:H185))</f>
        <v>-7548.56</v>
      </c>
      <c r="J185" s="139">
        <v>0</v>
      </c>
      <c r="K185" s="139">
        <f>L185+M185+N185+O185</f>
        <v>38080.806215000004</v>
      </c>
      <c r="L185" s="139">
        <v>33672.949724999999</v>
      </c>
      <c r="M185" s="139">
        <v>0</v>
      </c>
      <c r="N185" s="139">
        <v>163.33000000000001</v>
      </c>
      <c r="O185" s="139">
        <v>4244.5264900000002</v>
      </c>
      <c r="P185" s="139">
        <f>K185+J185</f>
        <v>38080.806215000004</v>
      </c>
      <c r="Q185" s="139">
        <v>-7548.56</v>
      </c>
      <c r="R185" s="139">
        <f>Q185-P185</f>
        <v>-45629.366215000002</v>
      </c>
      <c r="S185" s="140">
        <f>F185-Q185</f>
        <v>505533.06</v>
      </c>
      <c r="T185" s="141"/>
      <c r="U185" s="139">
        <v>16311.4</v>
      </c>
      <c r="V185" s="139">
        <v>83618.100000000006</v>
      </c>
      <c r="W185" s="139">
        <v>88651.201000000001</v>
      </c>
      <c r="X185" s="124" t="str">
        <f>VLOOKUP(A185,[1]Consolidado!$A:$W,23,FALSE)</f>
        <v>CONSORCIO SAMAN: contrato cedido a Jorge Sanchez, consorcio solo debe repartición de utilidad a WSP por $35MCOP, se espera el pago en septiembre. WIP en revisión.</v>
      </c>
      <c r="Y185" s="121"/>
      <c r="Z185" s="89"/>
      <c r="AA185" s="9"/>
      <c r="AB185" s="89"/>
      <c r="AC185" s="93"/>
      <c r="AD185" s="93"/>
      <c r="AE185" s="94"/>
      <c r="AF185" s="94"/>
      <c r="AG185" s="94"/>
      <c r="AH185" s="94"/>
      <c r="AI185" s="94"/>
      <c r="AJ185" s="94"/>
    </row>
    <row r="186" spans="1:36" s="27" customFormat="1" ht="69" customHeight="1" x14ac:dyDescent="0.25">
      <c r="A186" s="132" t="s">
        <v>377</v>
      </c>
      <c r="B186" s="133" t="s">
        <v>327</v>
      </c>
      <c r="C186" s="134" t="s">
        <v>135</v>
      </c>
      <c r="D186" s="135" t="s">
        <v>111</v>
      </c>
      <c r="E186" s="136" t="s">
        <v>141</v>
      </c>
      <c r="F186" s="137">
        <v>0</v>
      </c>
      <c r="G186" s="138">
        <v>320000</v>
      </c>
      <c r="H186" s="139"/>
      <c r="I186" s="139">
        <f>(SUM(G186:H186))</f>
        <v>320000</v>
      </c>
      <c r="J186" s="139">
        <v>0</v>
      </c>
      <c r="K186" s="139">
        <f>L186+M186+N186+O186</f>
        <v>340195.212825</v>
      </c>
      <c r="L186" s="139">
        <v>98753.285075000007</v>
      </c>
      <c r="M186" s="139">
        <v>0</v>
      </c>
      <c r="N186" s="139">
        <v>219412.34599999999</v>
      </c>
      <c r="O186" s="139">
        <v>22029.581750000001</v>
      </c>
      <c r="P186" s="139">
        <f>K186+J186</f>
        <v>340195.212825</v>
      </c>
      <c r="Q186" s="139">
        <v>320000</v>
      </c>
      <c r="R186" s="139">
        <f>Q186-P186</f>
        <v>-20195.212824999995</v>
      </c>
      <c r="S186" s="140">
        <f>F186-Q186</f>
        <v>-320000</v>
      </c>
      <c r="T186" s="141"/>
      <c r="U186" s="139">
        <v>320000</v>
      </c>
      <c r="V186" s="139">
        <v>0</v>
      </c>
      <c r="W186" s="139">
        <v>0</v>
      </c>
      <c r="X186" s="124" t="str">
        <f>VLOOKUP(A186,[1]Consolidado!$A:$W,23,FALSE)</f>
        <v>Proyecto no corresponde a Infraestructura Municipal</v>
      </c>
      <c r="Y186" s="121"/>
      <c r="Z186" s="89"/>
      <c r="AA186" s="9"/>
      <c r="AB186" s="89"/>
      <c r="AC186" s="93"/>
      <c r="AD186" s="93"/>
      <c r="AE186" s="94"/>
      <c r="AF186" s="94"/>
      <c r="AG186" s="94"/>
      <c r="AH186" s="94"/>
      <c r="AI186" s="94"/>
      <c r="AJ186" s="94"/>
    </row>
    <row r="187" spans="1:36" s="27" customFormat="1" ht="69" customHeight="1" x14ac:dyDescent="0.25">
      <c r="A187" s="132" t="s">
        <v>378</v>
      </c>
      <c r="B187" s="133" t="s">
        <v>327</v>
      </c>
      <c r="C187" s="134" t="s">
        <v>135</v>
      </c>
      <c r="D187" s="135" t="s">
        <v>111</v>
      </c>
      <c r="E187" s="136" t="s">
        <v>351</v>
      </c>
      <c r="F187" s="137">
        <v>385209.989</v>
      </c>
      <c r="G187" s="138">
        <v>415653.55499999999</v>
      </c>
      <c r="H187" s="139"/>
      <c r="I187" s="139">
        <f>(SUM(G187:H187))</f>
        <v>415653.55499999999</v>
      </c>
      <c r="J187" s="139">
        <v>0</v>
      </c>
      <c r="K187" s="139">
        <f>L187+M187+N187+O187</f>
        <v>225890.51462999999</v>
      </c>
      <c r="L187" s="139">
        <v>72004.63764999999</v>
      </c>
      <c r="M187" s="139">
        <v>0</v>
      </c>
      <c r="N187" s="139">
        <v>107815.00293</v>
      </c>
      <c r="O187" s="139">
        <v>46070.874049999999</v>
      </c>
      <c r="P187" s="139">
        <f>K187+J187</f>
        <v>225890.51462999999</v>
      </c>
      <c r="Q187" s="139">
        <v>415653.55499999999</v>
      </c>
      <c r="R187" s="139">
        <f>Q187-P187</f>
        <v>189763.04037</v>
      </c>
      <c r="S187" s="140">
        <f>F187-Q187</f>
        <v>-30443.565999999992</v>
      </c>
      <c r="T187" s="141"/>
      <c r="U187" s="139">
        <v>460576.15700000001</v>
      </c>
      <c r="V187" s="139">
        <v>5.0000000000000001E-3</v>
      </c>
      <c r="W187" s="139">
        <v>0</v>
      </c>
      <c r="X187" s="124" t="str">
        <f>VLOOKUP(A187,[1]Consolidado!$A:$W,23,FALSE)</f>
        <v>Proyecto liquidado.</v>
      </c>
      <c r="Y187" s="121"/>
      <c r="Z187" s="89"/>
      <c r="AA187" s="9"/>
      <c r="AB187" s="89"/>
      <c r="AC187" s="93"/>
      <c r="AD187" s="93"/>
      <c r="AE187" s="94"/>
      <c r="AF187" s="94"/>
      <c r="AG187" s="94"/>
      <c r="AH187" s="94"/>
      <c r="AI187" s="94"/>
      <c r="AJ187" s="94"/>
    </row>
    <row r="188" spans="1:36" s="27" customFormat="1" ht="69" customHeight="1" x14ac:dyDescent="0.25">
      <c r="A188" s="132" t="s">
        <v>379</v>
      </c>
      <c r="B188" s="133" t="s">
        <v>327</v>
      </c>
      <c r="C188" s="134" t="s">
        <v>221</v>
      </c>
      <c r="D188" s="135" t="s">
        <v>181</v>
      </c>
      <c r="E188" s="136" t="s">
        <v>182</v>
      </c>
      <c r="F188" s="137">
        <v>30948.323</v>
      </c>
      <c r="G188" s="138">
        <v>21837.985499999999</v>
      </c>
      <c r="H188" s="139"/>
      <c r="I188" s="139">
        <f>(SUM(G188:H188))</f>
        <v>21837.985499999999</v>
      </c>
      <c r="J188" s="139">
        <v>0</v>
      </c>
      <c r="K188" s="139">
        <f>L188+M188+N188+O188</f>
        <v>56822.930165000005</v>
      </c>
      <c r="L188" s="139">
        <v>55640.768775000004</v>
      </c>
      <c r="M188" s="139">
        <v>0</v>
      </c>
      <c r="N188" s="139">
        <v>4308.7849999999999</v>
      </c>
      <c r="O188" s="139">
        <v>-3126.6236100000006</v>
      </c>
      <c r="P188" s="139">
        <f>K188+J188</f>
        <v>56822.930165000005</v>
      </c>
      <c r="Q188" s="139">
        <v>21837.985499999999</v>
      </c>
      <c r="R188" s="139">
        <f>Q188-P188</f>
        <v>-34984.944665000003</v>
      </c>
      <c r="S188" s="140">
        <f>F188-Q188</f>
        <v>9110.3375000000015</v>
      </c>
      <c r="T188" s="141"/>
      <c r="U188" s="139">
        <v>30948.323</v>
      </c>
      <c r="V188" s="139">
        <v>-5.9500000000000004E-3</v>
      </c>
      <c r="W188" s="139">
        <v>2344.8879999999999</v>
      </c>
      <c r="X188" s="124" t="str">
        <f>VLOOKUP(A188,[1]Consolidado!$A:$W,23,FALSE)</f>
        <v>Adm: WSP Inactivo.</v>
      </c>
      <c r="Y188" s="121"/>
      <c r="Z188" s="89"/>
      <c r="AA188" s="9"/>
      <c r="AB188" s="89"/>
      <c r="AC188" s="93"/>
      <c r="AD188" s="93"/>
      <c r="AE188" s="94"/>
      <c r="AF188" s="94"/>
      <c r="AG188" s="94"/>
      <c r="AH188" s="94"/>
      <c r="AI188" s="94"/>
      <c r="AJ188" s="94"/>
    </row>
    <row r="189" spans="1:36" s="27" customFormat="1" ht="69" customHeight="1" x14ac:dyDescent="0.25">
      <c r="A189" s="132" t="s">
        <v>380</v>
      </c>
      <c r="B189" s="133" t="s">
        <v>327</v>
      </c>
      <c r="C189" s="134" t="s">
        <v>147</v>
      </c>
      <c r="D189" s="135" t="s">
        <v>136</v>
      </c>
      <c r="E189" s="136" t="s">
        <v>279</v>
      </c>
      <c r="F189" s="137">
        <v>0</v>
      </c>
      <c r="G189" s="138">
        <v>10000</v>
      </c>
      <c r="H189" s="139"/>
      <c r="I189" s="139">
        <f>(SUM(G189:H189))</f>
        <v>10000</v>
      </c>
      <c r="J189" s="139">
        <v>0</v>
      </c>
      <c r="K189" s="139">
        <f>L189+M189+N189+O189</f>
        <v>50104.458729999998</v>
      </c>
      <c r="L189" s="139">
        <v>25889.7156</v>
      </c>
      <c r="M189" s="139">
        <v>0</v>
      </c>
      <c r="N189" s="139">
        <v>19117.7022</v>
      </c>
      <c r="O189" s="139">
        <v>5097.0409300000001</v>
      </c>
      <c r="P189" s="139">
        <f>K189+J189</f>
        <v>50104.458729999998</v>
      </c>
      <c r="Q189" s="139">
        <v>10000</v>
      </c>
      <c r="R189" s="139">
        <f>Q189-P189</f>
        <v>-40104.458729999998</v>
      </c>
      <c r="S189" s="140">
        <f>F189-Q189</f>
        <v>-10000</v>
      </c>
      <c r="T189" s="141"/>
      <c r="U189" s="139">
        <v>10000</v>
      </c>
      <c r="V189" s="139">
        <v>0</v>
      </c>
      <c r="W189" s="139">
        <v>0</v>
      </c>
      <c r="X189" s="124" t="str">
        <f>VLOOKUP(A189,[1]Consolidado!$A:$W,23,FALSE)</f>
        <v>No información.</v>
      </c>
      <c r="Y189" s="121"/>
      <c r="Z189" s="89"/>
      <c r="AA189" s="9"/>
      <c r="AB189" s="89"/>
      <c r="AC189" s="93"/>
      <c r="AD189" s="93"/>
      <c r="AE189" s="94"/>
      <c r="AF189" s="94"/>
      <c r="AG189" s="94"/>
      <c r="AH189" s="94"/>
      <c r="AI189" s="94"/>
      <c r="AJ189" s="94"/>
    </row>
    <row r="190" spans="1:36" s="27" customFormat="1" ht="69" customHeight="1" x14ac:dyDescent="0.25">
      <c r="A190" s="132" t="s">
        <v>381</v>
      </c>
      <c r="B190" s="133" t="s">
        <v>327</v>
      </c>
      <c r="C190" s="134" t="s">
        <v>110</v>
      </c>
      <c r="D190" s="135" t="s">
        <v>111</v>
      </c>
      <c r="E190" s="136" t="s">
        <v>112</v>
      </c>
      <c r="F190" s="137">
        <v>943924.21100000001</v>
      </c>
      <c r="G190" s="138">
        <v>734884.19940000004</v>
      </c>
      <c r="H190" s="139"/>
      <c r="I190" s="139">
        <f>(SUM(G190:H190))</f>
        <v>734884.19940000004</v>
      </c>
      <c r="J190" s="139">
        <v>0</v>
      </c>
      <c r="K190" s="139">
        <f>L190+M190+N190+O190</f>
        <v>632141.89126000006</v>
      </c>
      <c r="L190" s="139">
        <v>-3135.6701600000001</v>
      </c>
      <c r="M190" s="139">
        <v>0</v>
      </c>
      <c r="N190" s="139">
        <v>9415.5030000000006</v>
      </c>
      <c r="O190" s="139">
        <v>625862.05842000002</v>
      </c>
      <c r="P190" s="139">
        <f>K190+J190</f>
        <v>632141.89126000006</v>
      </c>
      <c r="Q190" s="139">
        <v>734884.19940000004</v>
      </c>
      <c r="R190" s="139">
        <f>Q190-P190</f>
        <v>102742.30813999998</v>
      </c>
      <c r="S190" s="140">
        <f>F190-Q190</f>
        <v>209040.01159999997</v>
      </c>
      <c r="T190" s="141"/>
      <c r="U190" s="139">
        <v>754145.1862</v>
      </c>
      <c r="V190" s="139">
        <v>0</v>
      </c>
      <c r="W190" s="139">
        <v>0</v>
      </c>
      <c r="X190" s="124" t="str">
        <f>VLOOKUP(A190,[1]Consolidado!$A:$W,23,FALSE)</f>
        <v>Adm: WSP
Reclamación ante el cliente por 123MCOP fuera de balance.  A cargo HidralObras.</v>
      </c>
      <c r="Y190" s="121"/>
      <c r="Z190" s="89"/>
      <c r="AA190" s="9"/>
      <c r="AB190" s="89"/>
      <c r="AC190" s="93"/>
      <c r="AD190" s="93"/>
      <c r="AE190" s="94"/>
      <c r="AF190" s="94"/>
      <c r="AG190" s="94"/>
      <c r="AH190" s="94"/>
      <c r="AI190" s="94"/>
      <c r="AJ190" s="94"/>
    </row>
    <row r="191" spans="1:36" s="27" customFormat="1" ht="69" customHeight="1" x14ac:dyDescent="0.25">
      <c r="A191" s="132" t="s">
        <v>382</v>
      </c>
      <c r="B191" s="133" t="s">
        <v>327</v>
      </c>
      <c r="C191" s="134" t="s">
        <v>221</v>
      </c>
      <c r="D191" s="135" t="s">
        <v>111</v>
      </c>
      <c r="E191" s="136" t="s">
        <v>222</v>
      </c>
      <c r="F191" s="137">
        <v>0</v>
      </c>
      <c r="G191" s="138">
        <v>25835</v>
      </c>
      <c r="H191" s="139"/>
      <c r="I191" s="139">
        <f>(SUM(G191:H191))</f>
        <v>25835</v>
      </c>
      <c r="J191" s="139">
        <v>0</v>
      </c>
      <c r="K191" s="139">
        <f>L191+M191+N191+O191</f>
        <v>28729.734969999998</v>
      </c>
      <c r="L191" s="139">
        <v>16591.587500000001</v>
      </c>
      <c r="M191" s="139">
        <v>0</v>
      </c>
      <c r="N191" s="139">
        <v>10192.848</v>
      </c>
      <c r="O191" s="139">
        <v>1945.2994699999999</v>
      </c>
      <c r="P191" s="139">
        <f>K191+J191</f>
        <v>28729.734969999998</v>
      </c>
      <c r="Q191" s="139">
        <v>25835</v>
      </c>
      <c r="R191" s="139">
        <f>Q191-P191</f>
        <v>-2894.7349699999977</v>
      </c>
      <c r="S191" s="140">
        <f>F191-Q191</f>
        <v>-25835</v>
      </c>
      <c r="T191" s="141"/>
      <c r="U191" s="139">
        <v>25835</v>
      </c>
      <c r="V191" s="139">
        <v>0</v>
      </c>
      <c r="W191" s="139">
        <v>0</v>
      </c>
      <c r="X191" s="124" t="str">
        <f>VLOOKUP(A191,[1]Consolidado!$A:$W,23,FALSE)</f>
        <v>Terminar Proyecto</v>
      </c>
      <c r="Y191" s="121"/>
      <c r="Z191" s="89"/>
      <c r="AA191" s="9"/>
      <c r="AB191" s="89"/>
      <c r="AC191" s="93"/>
      <c r="AD191" s="93"/>
      <c r="AE191" s="94"/>
      <c r="AF191" s="94"/>
      <c r="AG191" s="94"/>
      <c r="AH191" s="94"/>
      <c r="AI191" s="94"/>
      <c r="AJ191" s="94"/>
    </row>
    <row r="192" spans="1:36" s="27" customFormat="1" ht="69" customHeight="1" x14ac:dyDescent="0.25">
      <c r="A192" s="132" t="s">
        <v>383</v>
      </c>
      <c r="B192" s="133" t="s">
        <v>327</v>
      </c>
      <c r="C192" s="134" t="s">
        <v>140</v>
      </c>
      <c r="D192" s="135" t="s">
        <v>156</v>
      </c>
      <c r="E192" s="136" t="s">
        <v>215</v>
      </c>
      <c r="F192" s="137">
        <v>18579.87</v>
      </c>
      <c r="G192" s="138">
        <v>18579.87</v>
      </c>
      <c r="H192" s="139"/>
      <c r="I192" s="139">
        <f>(SUM(G192:H192))</f>
        <v>18579.87</v>
      </c>
      <c r="J192" s="139">
        <v>0</v>
      </c>
      <c r="K192" s="139">
        <f>L192+M192+N192+O192</f>
        <v>3613.7708299999999</v>
      </c>
      <c r="L192" s="139">
        <v>3483.1148499999999</v>
      </c>
      <c r="M192" s="139">
        <v>0</v>
      </c>
      <c r="N192" s="139">
        <v>0</v>
      </c>
      <c r="O192" s="139">
        <v>130.65598</v>
      </c>
      <c r="P192" s="139">
        <f>K192+J192</f>
        <v>3613.7708299999999</v>
      </c>
      <c r="Q192" s="139">
        <v>18579.87</v>
      </c>
      <c r="R192" s="139">
        <f>Q192-P192</f>
        <v>14966.09917</v>
      </c>
      <c r="S192" s="140">
        <f>F192-Q192</f>
        <v>0</v>
      </c>
      <c r="T192" s="141"/>
      <c r="U192" s="139">
        <v>18579.87</v>
      </c>
      <c r="V192" s="139">
        <v>0</v>
      </c>
      <c r="W192" s="139">
        <v>0</v>
      </c>
      <c r="X192" s="124" t="str">
        <f>VLOOKUP(A192,[1]Consolidado!$A:$W,23,FALSE)</f>
        <v>No información.</v>
      </c>
      <c r="Y192" s="121"/>
      <c r="Z192" s="89"/>
      <c r="AA192" s="9"/>
      <c r="AB192" s="89"/>
      <c r="AC192" s="93"/>
      <c r="AD192" s="93"/>
      <c r="AE192" s="94"/>
      <c r="AF192" s="94"/>
      <c r="AG192" s="94"/>
      <c r="AH192" s="94"/>
      <c r="AI192" s="94"/>
      <c r="AJ192" s="94"/>
    </row>
    <row r="193" spans="1:36" s="27" customFormat="1" ht="69" customHeight="1" x14ac:dyDescent="0.25">
      <c r="A193" s="132" t="s">
        <v>384</v>
      </c>
      <c r="B193" s="133" t="s">
        <v>327</v>
      </c>
      <c r="C193" s="134" t="s">
        <v>140</v>
      </c>
      <c r="D193" s="135" t="s">
        <v>181</v>
      </c>
      <c r="E193" s="136" t="s">
        <v>209</v>
      </c>
      <c r="F193" s="137">
        <v>196018.67800000001</v>
      </c>
      <c r="G193" s="138">
        <v>194583.33300000001</v>
      </c>
      <c r="H193" s="139"/>
      <c r="I193" s="139">
        <f>(SUM(G193:H193))</f>
        <v>194583.33300000001</v>
      </c>
      <c r="J193" s="139">
        <v>0</v>
      </c>
      <c r="K193" s="139">
        <f>L193+M193+N193+O193</f>
        <v>155575.77934450001</v>
      </c>
      <c r="L193" s="139">
        <v>10966.9283445</v>
      </c>
      <c r="M193" s="139">
        <v>0</v>
      </c>
      <c r="N193" s="139">
        <v>118712.837</v>
      </c>
      <c r="O193" s="139">
        <v>25896.013999999999</v>
      </c>
      <c r="P193" s="139">
        <f>K193+J193</f>
        <v>155575.77934450001</v>
      </c>
      <c r="Q193" s="139">
        <v>194583.33300000001</v>
      </c>
      <c r="R193" s="139">
        <f>Q193-P193</f>
        <v>39007.5536555</v>
      </c>
      <c r="S193" s="140">
        <f>F193-Q193</f>
        <v>1435.3450000000012</v>
      </c>
      <c r="T193" s="141"/>
      <c r="U193" s="139">
        <v>189558.58900000001</v>
      </c>
      <c r="V193" s="139">
        <v>0</v>
      </c>
      <c r="W193" s="139">
        <v>0</v>
      </c>
      <c r="X193" s="124" t="str">
        <f>VLOOKUP(A193,[1]Consolidado!$A:$W,23,FALSE)</f>
        <v>No información.</v>
      </c>
      <c r="Y193" s="121"/>
      <c r="Z193" s="89"/>
      <c r="AA193" s="9"/>
      <c r="AB193" s="89"/>
      <c r="AC193" s="93"/>
      <c r="AD193" s="93"/>
      <c r="AE193" s="94"/>
      <c r="AF193" s="94"/>
      <c r="AG193" s="94"/>
      <c r="AH193" s="94"/>
      <c r="AI193" s="94"/>
      <c r="AJ193" s="94"/>
    </row>
    <row r="194" spans="1:36" s="27" customFormat="1" ht="69" customHeight="1" x14ac:dyDescent="0.25">
      <c r="A194" s="132" t="s">
        <v>385</v>
      </c>
      <c r="B194" s="133" t="s">
        <v>327</v>
      </c>
      <c r="C194" s="134" t="s">
        <v>140</v>
      </c>
      <c r="D194" s="135" t="s">
        <v>111</v>
      </c>
      <c r="E194" s="136" t="s">
        <v>141</v>
      </c>
      <c r="F194" s="137">
        <v>0</v>
      </c>
      <c r="G194" s="138">
        <v>11734.78845</v>
      </c>
      <c r="H194" s="139"/>
      <c r="I194" s="139">
        <f>(SUM(G194:H194))</f>
        <v>11734.78845</v>
      </c>
      <c r="J194" s="139">
        <v>0</v>
      </c>
      <c r="K194" s="139">
        <f>L194+M194+N194+O194</f>
        <v>18824.641974999999</v>
      </c>
      <c r="L194" s="139">
        <v>6315.2939750000005</v>
      </c>
      <c r="M194" s="139">
        <v>0</v>
      </c>
      <c r="N194" s="139">
        <v>11969.348</v>
      </c>
      <c r="O194" s="139">
        <v>540</v>
      </c>
      <c r="P194" s="139">
        <f>K194+J194</f>
        <v>18824.641974999999</v>
      </c>
      <c r="Q194" s="139">
        <v>11734.78845</v>
      </c>
      <c r="R194" s="139">
        <f>Q194-P194</f>
        <v>-7089.8535249999986</v>
      </c>
      <c r="S194" s="140">
        <f>F194-Q194</f>
        <v>-11734.78845</v>
      </c>
      <c r="T194" s="141"/>
      <c r="U194" s="139">
        <v>11734.78845</v>
      </c>
      <c r="V194" s="139">
        <v>0</v>
      </c>
      <c r="W194" s="139">
        <v>0</v>
      </c>
      <c r="X194" s="124" t="str">
        <f>VLOOKUP(A194,[1]Consolidado!$A:$W,23,FALSE)</f>
        <v>Proyecto liquidado, terminar proyecto.</v>
      </c>
      <c r="Y194" s="121"/>
      <c r="Z194" s="89"/>
      <c r="AA194" s="9"/>
      <c r="AB194" s="89"/>
      <c r="AC194" s="93"/>
      <c r="AD194" s="93"/>
      <c r="AE194" s="94"/>
      <c r="AF194" s="94"/>
      <c r="AG194" s="94"/>
      <c r="AH194" s="94"/>
      <c r="AI194" s="94"/>
      <c r="AJ194" s="94"/>
    </row>
    <row r="195" spans="1:36" s="27" customFormat="1" ht="69" customHeight="1" x14ac:dyDescent="0.25">
      <c r="A195" s="132" t="s">
        <v>386</v>
      </c>
      <c r="B195" s="133" t="s">
        <v>327</v>
      </c>
      <c r="C195" s="134" t="s">
        <v>140</v>
      </c>
      <c r="D195" s="135" t="s">
        <v>143</v>
      </c>
      <c r="E195" s="136" t="s">
        <v>168</v>
      </c>
      <c r="F195" s="137">
        <v>370278.54100000003</v>
      </c>
      <c r="G195" s="138">
        <v>370278.571</v>
      </c>
      <c r="H195" s="139"/>
      <c r="I195" s="139">
        <f>(SUM(G195:H195))</f>
        <v>370278.571</v>
      </c>
      <c r="J195" s="139">
        <v>0</v>
      </c>
      <c r="K195" s="139">
        <f>L195+M195+N195+O195</f>
        <v>448301.53531599988</v>
      </c>
      <c r="L195" s="139">
        <v>352168.12231599994</v>
      </c>
      <c r="M195" s="139">
        <v>0</v>
      </c>
      <c r="N195" s="139">
        <v>296.30099999999999</v>
      </c>
      <c r="O195" s="139">
        <v>95837.111999999994</v>
      </c>
      <c r="P195" s="139">
        <f>K195+J195</f>
        <v>448301.53531599988</v>
      </c>
      <c r="Q195" s="139">
        <v>370278.571</v>
      </c>
      <c r="R195" s="139">
        <f>Q195-P195</f>
        <v>-78022.964315999881</v>
      </c>
      <c r="S195" s="140">
        <f>F195-Q195</f>
        <v>-2.9999999969732016E-2</v>
      </c>
      <c r="T195" s="141"/>
      <c r="U195" s="139">
        <v>370278.571</v>
      </c>
      <c r="V195" s="139">
        <v>0</v>
      </c>
      <c r="W195" s="139">
        <v>0</v>
      </c>
      <c r="X195" s="124" t="str">
        <f>VLOOKUP(A195,[1]Consolidado!$A:$W,23,FALSE)</f>
        <v>No información.</v>
      </c>
      <c r="Y195" s="121"/>
      <c r="Z195" s="89"/>
      <c r="AA195" s="9"/>
      <c r="AB195" s="89"/>
      <c r="AC195" s="93"/>
      <c r="AD195" s="93"/>
      <c r="AE195" s="94"/>
      <c r="AF195" s="94"/>
      <c r="AG195" s="94"/>
      <c r="AH195" s="94"/>
      <c r="AI195" s="94"/>
      <c r="AJ195" s="94"/>
    </row>
    <row r="196" spans="1:36" s="27" customFormat="1" ht="69" customHeight="1" x14ac:dyDescent="0.25">
      <c r="A196" s="132" t="s">
        <v>387</v>
      </c>
      <c r="B196" s="133" t="s">
        <v>327</v>
      </c>
      <c r="C196" s="134" t="s">
        <v>135</v>
      </c>
      <c r="D196" s="135" t="s">
        <v>143</v>
      </c>
      <c r="E196" s="136" t="s">
        <v>202</v>
      </c>
      <c r="F196" s="137">
        <v>22864.929</v>
      </c>
      <c r="G196" s="138">
        <v>22864.929</v>
      </c>
      <c r="H196" s="139"/>
      <c r="I196" s="139">
        <f>(SUM(G196:H196))</f>
        <v>22864.929</v>
      </c>
      <c r="J196" s="139">
        <v>0</v>
      </c>
      <c r="K196" s="139">
        <f>L196+M196+N196+O196</f>
        <v>0</v>
      </c>
      <c r="L196" s="139">
        <v>0</v>
      </c>
      <c r="M196" s="139">
        <v>0</v>
      </c>
      <c r="N196" s="139">
        <v>0</v>
      </c>
      <c r="O196" s="139">
        <v>0</v>
      </c>
      <c r="P196" s="139">
        <f>K196+J196</f>
        <v>0</v>
      </c>
      <c r="Q196" s="139">
        <v>22864.929</v>
      </c>
      <c r="R196" s="139">
        <f>Q196-P196</f>
        <v>22864.929</v>
      </c>
      <c r="S196" s="140">
        <f>F196-Q196</f>
        <v>0</v>
      </c>
      <c r="T196" s="141"/>
      <c r="U196" s="139">
        <v>22864.929</v>
      </c>
      <c r="V196" s="139">
        <v>0</v>
      </c>
      <c r="W196" s="139">
        <v>0</v>
      </c>
      <c r="X196" s="124" t="str">
        <f>VLOOKUP(A196,[1]Consolidado!$A:$W,23,FALSE)</f>
        <v>No información.</v>
      </c>
      <c r="Y196" s="121"/>
      <c r="Z196" s="89"/>
      <c r="AA196" s="9"/>
      <c r="AB196" s="89"/>
      <c r="AC196" s="93"/>
      <c r="AD196" s="93"/>
      <c r="AE196" s="94"/>
      <c r="AF196" s="94"/>
      <c r="AG196" s="94"/>
      <c r="AH196" s="94"/>
      <c r="AI196" s="94"/>
      <c r="AJ196" s="94"/>
    </row>
    <row r="197" spans="1:36" s="27" customFormat="1" ht="69" customHeight="1" x14ac:dyDescent="0.25">
      <c r="A197" s="132" t="s">
        <v>388</v>
      </c>
      <c r="B197" s="133" t="s">
        <v>327</v>
      </c>
      <c r="C197" s="134" t="s">
        <v>140</v>
      </c>
      <c r="D197" s="135" t="s">
        <v>143</v>
      </c>
      <c r="E197" s="136" t="s">
        <v>177</v>
      </c>
      <c r="F197" s="137">
        <v>731861.24199999997</v>
      </c>
      <c r="G197" s="138">
        <v>731861.24165999994</v>
      </c>
      <c r="H197" s="139"/>
      <c r="I197" s="139">
        <f>(SUM(G197:H197))</f>
        <v>731861.24165999994</v>
      </c>
      <c r="J197" s="139">
        <v>0</v>
      </c>
      <c r="K197" s="139">
        <f>L197+M197+N197+O197</f>
        <v>716805.78048500011</v>
      </c>
      <c r="L197" s="139">
        <v>602002.51512500003</v>
      </c>
      <c r="M197" s="139">
        <v>0</v>
      </c>
      <c r="N197" s="139">
        <v>26993.620999999999</v>
      </c>
      <c r="O197" s="139">
        <v>87809.644360000006</v>
      </c>
      <c r="P197" s="139">
        <f>K197+J197</f>
        <v>716805.78048500011</v>
      </c>
      <c r="Q197" s="139">
        <v>731861.24165999994</v>
      </c>
      <c r="R197" s="139">
        <f>Q197-P197</f>
        <v>15055.461174999829</v>
      </c>
      <c r="S197" s="140">
        <f>F197-Q197</f>
        <v>3.4000002779066563E-4</v>
      </c>
      <c r="T197" s="141"/>
      <c r="U197" s="139">
        <v>731861.24199999997</v>
      </c>
      <c r="V197" s="139">
        <v>-3.4000000000000002E-4</v>
      </c>
      <c r="W197" s="139">
        <v>0</v>
      </c>
      <c r="X197" s="124" t="str">
        <f>VLOOKUP(A197,[1]Consolidado!$A:$W,23,FALSE)</f>
        <v>No información.</v>
      </c>
      <c r="Y197" s="121"/>
      <c r="Z197" s="89"/>
      <c r="AA197" s="9"/>
      <c r="AB197" s="89"/>
      <c r="AC197" s="93"/>
      <c r="AD197" s="93"/>
      <c r="AE197" s="94"/>
      <c r="AF197" s="94"/>
      <c r="AG197" s="94"/>
      <c r="AH197" s="94"/>
      <c r="AI197" s="94"/>
      <c r="AJ197" s="94"/>
    </row>
    <row r="198" spans="1:36" s="27" customFormat="1" ht="69" customHeight="1" x14ac:dyDescent="0.25">
      <c r="A198" s="132" t="s">
        <v>389</v>
      </c>
      <c r="B198" s="133" t="s">
        <v>327</v>
      </c>
      <c r="C198" s="134" t="s">
        <v>140</v>
      </c>
      <c r="D198" s="135" t="s">
        <v>143</v>
      </c>
      <c r="E198" s="136" t="s">
        <v>317</v>
      </c>
      <c r="F198" s="137">
        <v>213329.12</v>
      </c>
      <c r="G198" s="138">
        <v>202481.016</v>
      </c>
      <c r="H198" s="139"/>
      <c r="I198" s="139">
        <f>(SUM(G198:H198))</f>
        <v>202481.016</v>
      </c>
      <c r="J198" s="139">
        <v>0</v>
      </c>
      <c r="K198" s="139">
        <f>L198+M198+N198+O198</f>
        <v>276263.19128800003</v>
      </c>
      <c r="L198" s="139">
        <v>168530.93012800001</v>
      </c>
      <c r="M198" s="139">
        <v>0</v>
      </c>
      <c r="N198" s="139">
        <v>90672.21259000001</v>
      </c>
      <c r="O198" s="139">
        <v>17060.048569999999</v>
      </c>
      <c r="P198" s="139">
        <f>K198+J198</f>
        <v>276263.19128800003</v>
      </c>
      <c r="Q198" s="139">
        <v>202481.016</v>
      </c>
      <c r="R198" s="139">
        <f>Q198-P198</f>
        <v>-73782.175288000028</v>
      </c>
      <c r="S198" s="140">
        <f>F198-Q198</f>
        <v>10848.103999999992</v>
      </c>
      <c r="T198" s="141"/>
      <c r="U198" s="139">
        <v>162300.79500000001</v>
      </c>
      <c r="V198" s="139">
        <v>40180.220999999998</v>
      </c>
      <c r="W198" s="139">
        <v>0</v>
      </c>
      <c r="X198" s="124" t="str">
        <f>VLOOKUP(A198,[1]Consolidado!$A:$W,23,FALSE)</f>
        <v>No información.</v>
      </c>
      <c r="Y198" s="121"/>
      <c r="Z198" s="89"/>
      <c r="AA198" s="9"/>
      <c r="AB198" s="89"/>
      <c r="AC198" s="93"/>
      <c r="AD198" s="93"/>
      <c r="AE198" s="94"/>
      <c r="AF198" s="94"/>
      <c r="AG198" s="94"/>
      <c r="AH198" s="94"/>
      <c r="AI198" s="94"/>
      <c r="AJ198" s="94"/>
    </row>
    <row r="199" spans="1:36" s="27" customFormat="1" ht="69" customHeight="1" x14ac:dyDescent="0.25">
      <c r="A199" s="132" t="s">
        <v>390</v>
      </c>
      <c r="B199" s="133" t="s">
        <v>327</v>
      </c>
      <c r="C199" s="134" t="s">
        <v>221</v>
      </c>
      <c r="D199" s="135" t="s">
        <v>181</v>
      </c>
      <c r="E199" s="136" t="s">
        <v>182</v>
      </c>
      <c r="F199" s="137">
        <v>0</v>
      </c>
      <c r="G199" s="138">
        <v>-2471.3744999999999</v>
      </c>
      <c r="H199" s="139"/>
      <c r="I199" s="139">
        <f>(SUM(G199:H199))</f>
        <v>-2471.3744999999999</v>
      </c>
      <c r="J199" s="139">
        <v>0</v>
      </c>
      <c r="K199" s="139">
        <f>L199+M199+N199+O199</f>
        <v>606.95499999999993</v>
      </c>
      <c r="L199" s="139">
        <v>0</v>
      </c>
      <c r="M199" s="139">
        <v>0</v>
      </c>
      <c r="N199" s="139">
        <v>0</v>
      </c>
      <c r="O199" s="139">
        <v>606.95499999999993</v>
      </c>
      <c r="P199" s="139">
        <f>K199+J199</f>
        <v>606.95499999999993</v>
      </c>
      <c r="Q199" s="139">
        <v>-2471.3744999999999</v>
      </c>
      <c r="R199" s="139">
        <f>Q199-P199</f>
        <v>-3078.3294999999998</v>
      </c>
      <c r="S199" s="140">
        <f>F199-Q199</f>
        <v>2471.3744999999999</v>
      </c>
      <c r="T199" s="141"/>
      <c r="U199" s="139">
        <v>0</v>
      </c>
      <c r="V199" s="139">
        <v>-2680.5</v>
      </c>
      <c r="W199" s="139">
        <v>0</v>
      </c>
      <c r="X199" s="124" t="str">
        <f>VLOOKUP(A199,[1]Consolidado!$A:$W,23,FALSE)</f>
        <v xml:space="preserve">Adm: WSP </v>
      </c>
      <c r="Y199" s="121"/>
      <c r="Z199" s="89"/>
      <c r="AA199" s="9"/>
      <c r="AB199" s="89"/>
      <c r="AC199" s="93"/>
      <c r="AD199" s="93"/>
      <c r="AE199" s="94"/>
      <c r="AF199" s="94"/>
      <c r="AG199" s="94"/>
      <c r="AH199" s="94"/>
      <c r="AI199" s="94"/>
      <c r="AJ199" s="94"/>
    </row>
    <row r="200" spans="1:36" s="27" customFormat="1" ht="69" customHeight="1" x14ac:dyDescent="0.25">
      <c r="A200" s="132" t="s">
        <v>391</v>
      </c>
      <c r="B200" s="133" t="s">
        <v>327</v>
      </c>
      <c r="C200" s="134" t="s">
        <v>110</v>
      </c>
      <c r="D200" s="135" t="s">
        <v>111</v>
      </c>
      <c r="E200" s="136" t="s">
        <v>234</v>
      </c>
      <c r="F200" s="137">
        <v>26784.953000000001</v>
      </c>
      <c r="G200" s="138">
        <v>-4017.7429999999999</v>
      </c>
      <c r="H200" s="139"/>
      <c r="I200" s="139">
        <f>(SUM(G200:H200))</f>
        <v>-4017.7429999999999</v>
      </c>
      <c r="J200" s="139">
        <v>0</v>
      </c>
      <c r="K200" s="139">
        <f>L200+M200+N200+O200</f>
        <v>-3275.1790000000001</v>
      </c>
      <c r="L200" s="139">
        <v>0</v>
      </c>
      <c r="M200" s="139">
        <v>0</v>
      </c>
      <c r="N200" s="139">
        <v>-4248.0839999999998</v>
      </c>
      <c r="O200" s="139">
        <v>972.90499999999997</v>
      </c>
      <c r="P200" s="139">
        <f>K200+J200</f>
        <v>-3275.1790000000001</v>
      </c>
      <c r="Q200" s="139">
        <v>-4017.7429999999999</v>
      </c>
      <c r="R200" s="139">
        <f>Q200-P200</f>
        <v>-742.56399999999985</v>
      </c>
      <c r="S200" s="140">
        <f>F200-Q200</f>
        <v>30802.696</v>
      </c>
      <c r="T200" s="141"/>
      <c r="U200" s="139">
        <v>0</v>
      </c>
      <c r="V200" s="139">
        <v>0</v>
      </c>
      <c r="W200" s="139">
        <v>0</v>
      </c>
      <c r="X200" s="124" t="str">
        <f>VLOOKUP(A200,[1]Consolidado!$A:$W,23,FALSE)</f>
        <v>Proyecto liquidado, terminar proyecto.</v>
      </c>
      <c r="Y200" s="121"/>
      <c r="Z200" s="89"/>
      <c r="AA200" s="9"/>
      <c r="AB200" s="89"/>
      <c r="AC200" s="93"/>
      <c r="AD200" s="93"/>
      <c r="AE200" s="94"/>
      <c r="AF200" s="94"/>
      <c r="AG200" s="94"/>
      <c r="AH200" s="94"/>
      <c r="AI200" s="94"/>
      <c r="AJ200" s="94"/>
    </row>
    <row r="201" spans="1:36" s="27" customFormat="1" ht="69" customHeight="1" x14ac:dyDescent="0.25">
      <c r="A201" s="132" t="s">
        <v>392</v>
      </c>
      <c r="B201" s="133" t="s">
        <v>327</v>
      </c>
      <c r="C201" s="134" t="s">
        <v>140</v>
      </c>
      <c r="D201" s="135" t="s">
        <v>143</v>
      </c>
      <c r="E201" s="136" t="s">
        <v>168</v>
      </c>
      <c r="F201" s="137">
        <v>465202.755</v>
      </c>
      <c r="G201" s="138">
        <v>471271.33560000005</v>
      </c>
      <c r="H201" s="139"/>
      <c r="I201" s="139">
        <f>(SUM(G201:H201))</f>
        <v>471271.33560000005</v>
      </c>
      <c r="J201" s="139">
        <v>390.35500000000002</v>
      </c>
      <c r="K201" s="139">
        <f>L201+M201+N201+O201</f>
        <v>559511.41469529993</v>
      </c>
      <c r="L201" s="139">
        <v>439061.33714399999</v>
      </c>
      <c r="M201" s="139">
        <v>13075.1987613</v>
      </c>
      <c r="N201" s="139">
        <v>701.98</v>
      </c>
      <c r="O201" s="139">
        <v>106672.89879000001</v>
      </c>
      <c r="P201" s="139">
        <f>K201+J201</f>
        <v>559901.76969529991</v>
      </c>
      <c r="Q201" s="139">
        <v>471661.69060000003</v>
      </c>
      <c r="R201" s="139">
        <f>Q201-P201</f>
        <v>-88240.07909529988</v>
      </c>
      <c r="S201" s="140">
        <f>F201-Q201</f>
        <v>-6458.9356000000262</v>
      </c>
      <c r="T201" s="141"/>
      <c r="U201" s="139">
        <v>460695.47899999999</v>
      </c>
      <c r="V201" s="139">
        <v>10575.856599999999</v>
      </c>
      <c r="W201" s="139">
        <v>11684.619000000001</v>
      </c>
      <c r="X201" s="124" t="str">
        <f>VLOOKUP(A201,[1]Consolidado!$A:$W,23,FALSE)</f>
        <v>No información.</v>
      </c>
      <c r="Y201" s="121"/>
      <c r="Z201" s="89"/>
      <c r="AA201" s="9"/>
      <c r="AB201" s="89"/>
      <c r="AC201" s="93"/>
      <c r="AD201" s="93"/>
      <c r="AE201" s="94"/>
      <c r="AF201" s="94"/>
      <c r="AG201" s="94"/>
      <c r="AH201" s="94"/>
      <c r="AI201" s="94"/>
      <c r="AJ201" s="94"/>
    </row>
    <row r="202" spans="1:36" s="27" customFormat="1" ht="69" customHeight="1" x14ac:dyDescent="0.25">
      <c r="A202" s="132" t="s">
        <v>393</v>
      </c>
      <c r="B202" s="133" t="s">
        <v>327</v>
      </c>
      <c r="C202" s="134" t="s">
        <v>140</v>
      </c>
      <c r="D202" s="135" t="s">
        <v>181</v>
      </c>
      <c r="E202" s="136" t="s">
        <v>182</v>
      </c>
      <c r="F202" s="137">
        <v>41675.21</v>
      </c>
      <c r="G202" s="138">
        <v>41675.210500000001</v>
      </c>
      <c r="H202" s="139"/>
      <c r="I202" s="139">
        <f>(SUM(G202:H202))</f>
        <v>41675.210500000001</v>
      </c>
      <c r="J202" s="139">
        <v>0</v>
      </c>
      <c r="K202" s="139">
        <f>L202+M202+N202+O202</f>
        <v>44228.470758399999</v>
      </c>
      <c r="L202" s="139">
        <v>33624.110758399998</v>
      </c>
      <c r="M202" s="139">
        <v>0</v>
      </c>
      <c r="N202" s="139">
        <v>10000</v>
      </c>
      <c r="O202" s="139">
        <v>604.36</v>
      </c>
      <c r="P202" s="139">
        <f>K202+J202</f>
        <v>44228.470758399999</v>
      </c>
      <c r="Q202" s="139">
        <v>41675.210500000001</v>
      </c>
      <c r="R202" s="139">
        <f>Q202-P202</f>
        <v>-2553.2602583999978</v>
      </c>
      <c r="S202" s="140">
        <f>F202-Q202</f>
        <v>-5.0000000192085281E-4</v>
      </c>
      <c r="T202" s="141"/>
      <c r="U202" s="139">
        <v>41675.21</v>
      </c>
      <c r="V202" s="139">
        <v>5.0000000000000001E-4</v>
      </c>
      <c r="W202" s="139">
        <v>0</v>
      </c>
      <c r="X202" s="124" t="str">
        <f>VLOOKUP(A202,[1]Consolidado!$A:$W,23,FALSE)</f>
        <v>No información.</v>
      </c>
      <c r="Y202" s="121"/>
      <c r="Z202" s="89"/>
      <c r="AA202" s="9"/>
      <c r="AB202" s="89"/>
      <c r="AC202" s="93"/>
      <c r="AD202" s="93"/>
      <c r="AE202" s="94"/>
      <c r="AF202" s="94"/>
      <c r="AG202" s="94"/>
      <c r="AH202" s="94"/>
      <c r="AI202" s="94"/>
      <c r="AJ202" s="94"/>
    </row>
    <row r="203" spans="1:36" s="27" customFormat="1" ht="69" customHeight="1" x14ac:dyDescent="0.25">
      <c r="A203" s="132" t="s">
        <v>394</v>
      </c>
      <c r="B203" s="133" t="s">
        <v>327</v>
      </c>
      <c r="C203" s="134" t="s">
        <v>110</v>
      </c>
      <c r="D203" s="135" t="s">
        <v>143</v>
      </c>
      <c r="E203" s="136" t="s">
        <v>234</v>
      </c>
      <c r="F203" s="137">
        <v>51724.137999999999</v>
      </c>
      <c r="G203" s="138">
        <v>53600</v>
      </c>
      <c r="H203" s="139"/>
      <c r="I203" s="139">
        <f>(SUM(G203:H203))</f>
        <v>53600</v>
      </c>
      <c r="J203" s="139">
        <v>3131.348</v>
      </c>
      <c r="K203" s="139">
        <f>L203+M203+N203+O203</f>
        <v>41278.413574999999</v>
      </c>
      <c r="L203" s="139">
        <v>25144.123574999998</v>
      </c>
      <c r="M203" s="139">
        <v>0</v>
      </c>
      <c r="N203" s="139">
        <v>1466</v>
      </c>
      <c r="O203" s="139">
        <v>14668.29</v>
      </c>
      <c r="P203" s="139">
        <f>K203+J203</f>
        <v>44409.761574999997</v>
      </c>
      <c r="Q203" s="139">
        <v>56731.347999999998</v>
      </c>
      <c r="R203" s="139">
        <f>Q203-P203</f>
        <v>12321.586425000001</v>
      </c>
      <c r="S203" s="140">
        <f>F203-Q203</f>
        <v>-5007.2099999999991</v>
      </c>
      <c r="T203" s="141"/>
      <c r="U203" s="139">
        <v>53600</v>
      </c>
      <c r="V203" s="139">
        <v>0</v>
      </c>
      <c r="W203" s="139">
        <v>0</v>
      </c>
      <c r="X203" s="124" t="str">
        <f>VLOOKUP(A203,[1]Consolidado!$A:$W,23,FALSE)</f>
        <v>Es necesario actualizar el valor autorizado pues el valor ejecutado corresponde exactamente al valor facturado. Se espera liquidar proyecto en junio.</v>
      </c>
      <c r="Y203" s="122"/>
      <c r="Z203" s="89"/>
      <c r="AA203" s="9"/>
      <c r="AB203" s="89"/>
      <c r="AC203" s="93"/>
      <c r="AD203" s="93"/>
      <c r="AE203" s="94"/>
      <c r="AF203" s="94"/>
      <c r="AG203" s="94"/>
      <c r="AH203" s="94"/>
      <c r="AI203" s="94"/>
      <c r="AJ203" s="94"/>
    </row>
    <row r="204" spans="1:36" s="27" customFormat="1" ht="69" customHeight="1" x14ac:dyDescent="0.25">
      <c r="A204" s="132" t="s">
        <v>395</v>
      </c>
      <c r="B204" s="133" t="s">
        <v>327</v>
      </c>
      <c r="C204" s="134" t="s">
        <v>110</v>
      </c>
      <c r="D204" s="135" t="s">
        <v>143</v>
      </c>
      <c r="E204" s="136" t="s">
        <v>234</v>
      </c>
      <c r="F204" s="137">
        <v>13000</v>
      </c>
      <c r="G204" s="138">
        <v>13000</v>
      </c>
      <c r="H204" s="139"/>
      <c r="I204" s="139">
        <f>(SUM(G204:H204))</f>
        <v>13000</v>
      </c>
      <c r="J204" s="139">
        <v>0</v>
      </c>
      <c r="K204" s="139">
        <f>L204+M204+N204+O204</f>
        <v>0</v>
      </c>
      <c r="L204" s="139">
        <v>0</v>
      </c>
      <c r="M204" s="139">
        <v>0</v>
      </c>
      <c r="N204" s="139">
        <v>0</v>
      </c>
      <c r="O204" s="139">
        <v>0</v>
      </c>
      <c r="P204" s="139">
        <f>K204+J204</f>
        <v>0</v>
      </c>
      <c r="Q204" s="139">
        <v>13000</v>
      </c>
      <c r="R204" s="139">
        <f>Q204-P204</f>
        <v>13000</v>
      </c>
      <c r="S204" s="140">
        <f>F204-Q204</f>
        <v>0</v>
      </c>
      <c r="T204" s="141"/>
      <c r="U204" s="139">
        <v>13000</v>
      </c>
      <c r="V204" s="139">
        <v>0</v>
      </c>
      <c r="W204" s="139">
        <v>0</v>
      </c>
      <c r="X204" s="124" t="str">
        <f>VLOOKUP(A204,[1]Consolidado!$A:$W,23,FALSE)</f>
        <v>Proyecto finalizado.</v>
      </c>
      <c r="Y204" s="122"/>
      <c r="Z204" s="89"/>
      <c r="AA204" s="9"/>
      <c r="AB204" s="89"/>
      <c r="AC204" s="93"/>
      <c r="AD204" s="93"/>
      <c r="AE204" s="94"/>
      <c r="AF204" s="94"/>
      <c r="AG204" s="94"/>
      <c r="AH204" s="94"/>
      <c r="AI204" s="94"/>
      <c r="AJ204" s="94"/>
    </row>
    <row r="205" spans="1:36" s="27" customFormat="1" ht="69" customHeight="1" x14ac:dyDescent="0.25">
      <c r="A205" s="132" t="s">
        <v>396</v>
      </c>
      <c r="B205" s="133" t="s">
        <v>327</v>
      </c>
      <c r="C205" s="134" t="s">
        <v>135</v>
      </c>
      <c r="D205" s="135" t="s">
        <v>136</v>
      </c>
      <c r="E205" s="136" t="s">
        <v>244</v>
      </c>
      <c r="F205" s="137">
        <v>55000</v>
      </c>
      <c r="G205" s="138">
        <v>48772.758099999999</v>
      </c>
      <c r="H205" s="139"/>
      <c r="I205" s="139">
        <f>(SUM(G205:H205))</f>
        <v>48772.758099999999</v>
      </c>
      <c r="J205" s="139">
        <v>6899.8939569000004</v>
      </c>
      <c r="K205" s="139">
        <f>L205+M205+N205+O205</f>
        <v>54633.330690999996</v>
      </c>
      <c r="L205" s="139">
        <v>40427.808539999998</v>
      </c>
      <c r="M205" s="139">
        <v>8102.0211510000008</v>
      </c>
      <c r="N205" s="139">
        <v>4110.5</v>
      </c>
      <c r="O205" s="139">
        <v>1993.001</v>
      </c>
      <c r="P205" s="139">
        <f>K205+J205</f>
        <v>61533.224647899995</v>
      </c>
      <c r="Q205" s="139">
        <v>55672.652056899999</v>
      </c>
      <c r="R205" s="139">
        <f>Q205-P205</f>
        <v>-5860.5725909999965</v>
      </c>
      <c r="S205" s="140">
        <f>F205-Q205</f>
        <v>-672.65205689999857</v>
      </c>
      <c r="T205" s="141"/>
      <c r="U205" s="139">
        <v>0</v>
      </c>
      <c r="V205" s="139">
        <v>48772.758099999999</v>
      </c>
      <c r="W205" s="139">
        <v>0</v>
      </c>
      <c r="X205" s="124" t="str">
        <f>VLOOKUP(A205,[1]Consolidado!$A:$W,23,FALSE)</f>
        <v>rediseño de los puentes,  se refiere a una no conformidad del entregable que debe corregirse antes de liberarlo al cliente.</v>
      </c>
      <c r="Y205" s="122"/>
      <c r="Z205" s="89"/>
      <c r="AA205" s="9"/>
      <c r="AB205" s="89"/>
      <c r="AC205" s="93"/>
      <c r="AD205" s="93"/>
      <c r="AE205" s="94"/>
      <c r="AF205" s="94"/>
      <c r="AG205" s="94"/>
      <c r="AH205" s="94"/>
      <c r="AI205" s="94"/>
      <c r="AJ205" s="94"/>
    </row>
    <row r="206" spans="1:36" s="27" customFormat="1" ht="69" customHeight="1" x14ac:dyDescent="0.25">
      <c r="A206" s="132" t="s">
        <v>397</v>
      </c>
      <c r="B206" s="133" t="s">
        <v>327</v>
      </c>
      <c r="C206" s="134" t="s">
        <v>140</v>
      </c>
      <c r="D206" s="135" t="s">
        <v>136</v>
      </c>
      <c r="E206" s="136" t="s">
        <v>225</v>
      </c>
      <c r="F206" s="137">
        <v>29050</v>
      </c>
      <c r="G206" s="138">
        <v>26000</v>
      </c>
      <c r="H206" s="139"/>
      <c r="I206" s="139">
        <f>(SUM(G206:H206))</f>
        <v>26000</v>
      </c>
      <c r="J206" s="139">
        <v>0</v>
      </c>
      <c r="K206" s="139">
        <f>L206+M206+N206+O206</f>
        <v>0</v>
      </c>
      <c r="L206" s="139">
        <v>0</v>
      </c>
      <c r="M206" s="139">
        <v>0</v>
      </c>
      <c r="N206" s="139">
        <v>0</v>
      </c>
      <c r="O206" s="139">
        <v>0</v>
      </c>
      <c r="P206" s="139">
        <f>K206+J206</f>
        <v>0</v>
      </c>
      <c r="Q206" s="139">
        <v>26000</v>
      </c>
      <c r="R206" s="139">
        <f>Q206-P206</f>
        <v>26000</v>
      </c>
      <c r="S206" s="140">
        <f>F206-Q206</f>
        <v>3050</v>
      </c>
      <c r="T206" s="141"/>
      <c r="U206" s="139">
        <v>29050</v>
      </c>
      <c r="V206" s="139">
        <v>-3050</v>
      </c>
      <c r="W206" s="139">
        <v>0</v>
      </c>
      <c r="X206" s="124" t="str">
        <f>VLOOKUP(A206,[1]Consolidado!$A:$W,23,FALSE)</f>
        <v>No información.</v>
      </c>
      <c r="Y206" s="122"/>
      <c r="Z206" s="89"/>
      <c r="AA206" s="9"/>
      <c r="AB206" s="89"/>
      <c r="AC206" s="93"/>
      <c r="AD206" s="93"/>
      <c r="AE206" s="94"/>
      <c r="AF206" s="94"/>
      <c r="AG206" s="94"/>
      <c r="AH206" s="94"/>
      <c r="AI206" s="94"/>
      <c r="AJ206" s="94"/>
    </row>
    <row r="207" spans="1:36" s="27" customFormat="1" ht="69" customHeight="1" x14ac:dyDescent="0.25">
      <c r="A207" s="132" t="s">
        <v>398</v>
      </c>
      <c r="B207" s="133" t="s">
        <v>327</v>
      </c>
      <c r="C207" s="134" t="s">
        <v>110</v>
      </c>
      <c r="D207" s="135" t="s">
        <v>143</v>
      </c>
      <c r="E207" s="136" t="s">
        <v>185</v>
      </c>
      <c r="F207" s="137">
        <v>49290</v>
      </c>
      <c r="G207" s="138">
        <v>49447.728000000003</v>
      </c>
      <c r="H207" s="139"/>
      <c r="I207" s="139">
        <f>(SUM(G207:H207))</f>
        <v>49447.728000000003</v>
      </c>
      <c r="J207" s="139">
        <v>0</v>
      </c>
      <c r="K207" s="139">
        <f>L207+M207+N207+O207</f>
        <v>38720.718500000003</v>
      </c>
      <c r="L207" s="139">
        <v>26548.909500000002</v>
      </c>
      <c r="M207" s="139">
        <v>0</v>
      </c>
      <c r="N207" s="139">
        <v>5846.4880000000003</v>
      </c>
      <c r="O207" s="139">
        <v>6325.3209999999999</v>
      </c>
      <c r="P207" s="139">
        <f>K207+J207</f>
        <v>38720.718500000003</v>
      </c>
      <c r="Q207" s="139">
        <v>49447.728000000003</v>
      </c>
      <c r="R207" s="139">
        <f>Q207-P207</f>
        <v>10727.0095</v>
      </c>
      <c r="S207" s="140">
        <f>F207-Q207</f>
        <v>-157.72800000000279</v>
      </c>
      <c r="T207" s="141"/>
      <c r="U207" s="139">
        <v>49447.728000000003</v>
      </c>
      <c r="V207" s="139">
        <v>0</v>
      </c>
      <c r="W207" s="139">
        <v>0</v>
      </c>
      <c r="X207" s="124" t="str">
        <f>VLOOKUP(A207,[1]Consolidado!$A:$W,23,FALSE)</f>
        <v>Es necesario actualizar el valor autorizado pues el valor ejecutado corresponde exactamente al valor facturado; este proyecto fue totalmente finalizado.</v>
      </c>
      <c r="Y207" s="122"/>
      <c r="Z207" s="89"/>
      <c r="AA207" s="9"/>
      <c r="AB207" s="89"/>
      <c r="AC207" s="93"/>
      <c r="AD207" s="93"/>
      <c r="AE207" s="94"/>
      <c r="AF207" s="94"/>
      <c r="AG207" s="94"/>
      <c r="AH207" s="94"/>
      <c r="AI207" s="94"/>
      <c r="AJ207" s="94"/>
    </row>
    <row r="208" spans="1:36" s="27" customFormat="1" ht="69" customHeight="1" x14ac:dyDescent="0.25">
      <c r="A208" s="132" t="s">
        <v>399</v>
      </c>
      <c r="B208" s="133" t="s">
        <v>327</v>
      </c>
      <c r="C208" s="134" t="s">
        <v>135</v>
      </c>
      <c r="D208" s="135" t="s">
        <v>136</v>
      </c>
      <c r="E208" s="136" t="s">
        <v>244</v>
      </c>
      <c r="F208" s="137">
        <v>16509.95</v>
      </c>
      <c r="G208" s="138">
        <v>16509.95</v>
      </c>
      <c r="H208" s="139"/>
      <c r="I208" s="139">
        <f>(SUM(G208:H208))</f>
        <v>16509.95</v>
      </c>
      <c r="J208" s="139">
        <v>0</v>
      </c>
      <c r="K208" s="139">
        <f>L208+M208+N208+O208</f>
        <v>18410.023431999998</v>
      </c>
      <c r="L208" s="139">
        <v>18134.814431999999</v>
      </c>
      <c r="M208" s="139">
        <v>0</v>
      </c>
      <c r="N208" s="139">
        <v>0</v>
      </c>
      <c r="O208" s="139">
        <v>275.209</v>
      </c>
      <c r="P208" s="139">
        <f>K208+J208</f>
        <v>18410.023431999998</v>
      </c>
      <c r="Q208" s="139">
        <v>16509.95</v>
      </c>
      <c r="R208" s="139">
        <f>Q208-P208</f>
        <v>-1900.0734319999974</v>
      </c>
      <c r="S208" s="140">
        <f>F208-Q208</f>
        <v>0</v>
      </c>
      <c r="T208" s="141"/>
      <c r="U208" s="139">
        <v>16509.95</v>
      </c>
      <c r="V208" s="139">
        <v>0</v>
      </c>
      <c r="W208" s="139">
        <v>0</v>
      </c>
      <c r="X208" s="124" t="str">
        <f>VLOOKUP(A208,[1]Consolidado!$A:$W,23,FALSE)</f>
        <v>No información.</v>
      </c>
      <c r="Y208" s="122"/>
      <c r="Z208" s="89"/>
      <c r="AA208" s="9"/>
      <c r="AB208" s="89"/>
      <c r="AC208" s="93"/>
      <c r="AD208" s="93"/>
      <c r="AE208" s="94"/>
      <c r="AF208" s="94"/>
      <c r="AG208" s="94"/>
      <c r="AH208" s="94"/>
      <c r="AI208" s="94"/>
      <c r="AJ208" s="94"/>
    </row>
    <row r="209" spans="1:36" s="27" customFormat="1" ht="69" customHeight="1" x14ac:dyDescent="0.25">
      <c r="A209" s="132" t="s">
        <v>400</v>
      </c>
      <c r="B209" s="133" t="s">
        <v>327</v>
      </c>
      <c r="C209" s="134" t="s">
        <v>140</v>
      </c>
      <c r="D209" s="135" t="s">
        <v>181</v>
      </c>
      <c r="E209" s="136" t="s">
        <v>401</v>
      </c>
      <c r="F209" s="137">
        <v>44623.684999999998</v>
      </c>
      <c r="G209" s="138">
        <v>0</v>
      </c>
      <c r="H209" s="139"/>
      <c r="I209" s="139">
        <f>(SUM(G209:H209))</f>
        <v>0</v>
      </c>
      <c r="J209" s="139">
        <v>0</v>
      </c>
      <c r="K209" s="139">
        <f>L209+M209+N209+O209</f>
        <v>71260.120450000002</v>
      </c>
      <c r="L209" s="139">
        <v>71260.120450000002</v>
      </c>
      <c r="M209" s="139">
        <v>0</v>
      </c>
      <c r="N209" s="139">
        <v>0</v>
      </c>
      <c r="O209" s="139">
        <v>0</v>
      </c>
      <c r="P209" s="139">
        <f>K209+J209</f>
        <v>71260.120450000002</v>
      </c>
      <c r="Q209" s="139">
        <v>0</v>
      </c>
      <c r="R209" s="139">
        <f>Q209-P209</f>
        <v>-71260.120450000002</v>
      </c>
      <c r="S209" s="140">
        <f>F209-Q209</f>
        <v>44623.684999999998</v>
      </c>
      <c r="T209" s="141"/>
      <c r="U209" s="139">
        <v>0</v>
      </c>
      <c r="V209" s="139">
        <v>0</v>
      </c>
      <c r="W209" s="139">
        <v>0</v>
      </c>
      <c r="X209" s="124" t="str">
        <f>VLOOKUP(A209,[1]Consolidado!$A:$W,23,FALSE)</f>
        <v>No información.</v>
      </c>
      <c r="Y209" s="122"/>
      <c r="Z209" s="89"/>
      <c r="AA209" s="9"/>
      <c r="AB209" s="89"/>
      <c r="AC209" s="93"/>
      <c r="AD209" s="93"/>
      <c r="AE209" s="94"/>
      <c r="AF209" s="94"/>
      <c r="AG209" s="94"/>
      <c r="AH209" s="94"/>
      <c r="AI209" s="94"/>
      <c r="AJ209" s="94"/>
    </row>
    <row r="210" spans="1:36" s="27" customFormat="1" ht="69" customHeight="1" x14ac:dyDescent="0.25">
      <c r="A210" s="132" t="s">
        <v>402</v>
      </c>
      <c r="B210" s="133" t="s">
        <v>327</v>
      </c>
      <c r="C210" s="134" t="s">
        <v>140</v>
      </c>
      <c r="D210" s="135" t="s">
        <v>143</v>
      </c>
      <c r="E210" s="136" t="s">
        <v>168</v>
      </c>
      <c r="F210" s="137">
        <v>189250</v>
      </c>
      <c r="G210" s="138">
        <v>202615.7242</v>
      </c>
      <c r="H210" s="139"/>
      <c r="I210" s="139">
        <f>(SUM(G210:H210))</f>
        <v>202615.7242</v>
      </c>
      <c r="J210" s="139">
        <v>233.9181275</v>
      </c>
      <c r="K210" s="139">
        <f>L210+M210+N210+O210</f>
        <v>180132.3110287</v>
      </c>
      <c r="L210" s="139">
        <v>130736.80999199999</v>
      </c>
      <c r="M210" s="139">
        <v>5264.0935666999994</v>
      </c>
      <c r="N210" s="139">
        <v>0</v>
      </c>
      <c r="O210" s="139">
        <v>44131.407469999998</v>
      </c>
      <c r="P210" s="139">
        <f>K210+J210</f>
        <v>180366.22915619999</v>
      </c>
      <c r="Q210" s="139">
        <v>202849.64232749998</v>
      </c>
      <c r="R210" s="139">
        <f>Q210-P210</f>
        <v>22483.413171299995</v>
      </c>
      <c r="S210" s="140">
        <f>F210-Q210</f>
        <v>-13599.642327499983</v>
      </c>
      <c r="T210" s="141"/>
      <c r="U210" s="139">
        <v>136260</v>
      </c>
      <c r="V210" s="139">
        <v>66355.724199999997</v>
      </c>
      <c r="W210" s="139">
        <v>0</v>
      </c>
      <c r="X210" s="124" t="str">
        <f>VLOOKUP(A210,[1]Consolidado!$A:$W,23,FALSE)</f>
        <v>El dia 27 de Mayo se establecio procedimiento para la liquidacion de los contratos para poder proceder a la liquidacion de los mismos.</v>
      </c>
      <c r="Y210" s="122"/>
      <c r="Z210" s="89"/>
      <c r="AA210" s="9"/>
      <c r="AB210" s="89"/>
      <c r="AC210" s="93"/>
      <c r="AD210" s="93"/>
      <c r="AE210" s="94"/>
      <c r="AF210" s="94"/>
      <c r="AG210" s="94"/>
      <c r="AH210" s="94"/>
      <c r="AI210" s="94"/>
      <c r="AJ210" s="94"/>
    </row>
    <row r="211" spans="1:36" s="27" customFormat="1" ht="69" customHeight="1" x14ac:dyDescent="0.25">
      <c r="A211" s="132" t="s">
        <v>403</v>
      </c>
      <c r="B211" s="133" t="s">
        <v>327</v>
      </c>
      <c r="C211" s="134" t="s">
        <v>147</v>
      </c>
      <c r="D211" s="135" t="s">
        <v>374</v>
      </c>
      <c r="E211" s="136" t="s">
        <v>404</v>
      </c>
      <c r="F211" s="137">
        <v>969827.58600000001</v>
      </c>
      <c r="G211" s="138">
        <v>964902.27879000013</v>
      </c>
      <c r="H211" s="139"/>
      <c r="I211" s="139">
        <f>(SUM(G211:H211))</f>
        <v>964902.27879000013</v>
      </c>
      <c r="J211" s="139">
        <v>43.5</v>
      </c>
      <c r="K211" s="139">
        <f>L211+M211+N211+O211</f>
        <v>833327.86207999999</v>
      </c>
      <c r="L211" s="139">
        <v>230745.0301</v>
      </c>
      <c r="M211" s="139">
        <v>0</v>
      </c>
      <c r="N211" s="139">
        <v>541741.14899999998</v>
      </c>
      <c r="O211" s="139">
        <v>60841.682979999998</v>
      </c>
      <c r="P211" s="139">
        <f>K211+J211</f>
        <v>833371.36207999999</v>
      </c>
      <c r="Q211" s="139">
        <v>964945.77879000013</v>
      </c>
      <c r="R211" s="139">
        <f>Q211-P211</f>
        <v>131574.41671000014</v>
      </c>
      <c r="S211" s="140">
        <f>F211-Q211</f>
        <v>4881.8072099998826</v>
      </c>
      <c r="T211" s="141"/>
      <c r="U211" s="139">
        <v>982327.58649999998</v>
      </c>
      <c r="V211" s="139">
        <v>-18202.586950000004</v>
      </c>
      <c r="W211" s="139">
        <v>-2.5000000000000001E-4</v>
      </c>
      <c r="X211" s="124" t="str">
        <f>VLOOKUP(A211,[1]Consolidado!$A:$W,23,FALSE)</f>
        <v>Adm: WSP En liquidación.Se registró la facturación de administración como ingreso operativo, debe corregirse (12,5 MCOP). Del WIP, 5,7 MCOP</v>
      </c>
      <c r="Y211" s="122"/>
      <c r="Z211" s="89"/>
      <c r="AA211" s="9"/>
      <c r="AB211" s="89"/>
      <c r="AC211" s="93"/>
      <c r="AD211" s="93"/>
      <c r="AE211" s="94"/>
      <c r="AF211" s="94"/>
      <c r="AG211" s="94"/>
      <c r="AH211" s="94"/>
      <c r="AI211" s="94"/>
      <c r="AJ211" s="94"/>
    </row>
    <row r="212" spans="1:36" s="27" customFormat="1" ht="69" customHeight="1" x14ac:dyDescent="0.25">
      <c r="A212" s="132" t="s">
        <v>405</v>
      </c>
      <c r="B212" s="133" t="s">
        <v>327</v>
      </c>
      <c r="C212" s="134" t="s">
        <v>135</v>
      </c>
      <c r="D212" s="135" t="s">
        <v>143</v>
      </c>
      <c r="E212" s="136" t="s">
        <v>193</v>
      </c>
      <c r="F212" s="137">
        <v>7677.2420000000002</v>
      </c>
      <c r="G212" s="138">
        <v>7677.2719999999999</v>
      </c>
      <c r="H212" s="139"/>
      <c r="I212" s="139">
        <f>(SUM(G212:H212))</f>
        <v>7677.2719999999999</v>
      </c>
      <c r="J212" s="139">
        <v>0</v>
      </c>
      <c r="K212" s="139">
        <f>L212+M212+N212+O212</f>
        <v>3127.2110749999997</v>
      </c>
      <c r="L212" s="139">
        <v>2269.7380749999998</v>
      </c>
      <c r="M212" s="139">
        <v>0</v>
      </c>
      <c r="N212" s="139">
        <v>0</v>
      </c>
      <c r="O212" s="139">
        <v>857.47299999999996</v>
      </c>
      <c r="P212" s="139">
        <f>K212+J212</f>
        <v>3127.2110749999997</v>
      </c>
      <c r="Q212" s="139">
        <v>7677.2719999999999</v>
      </c>
      <c r="R212" s="139">
        <f>Q212-P212</f>
        <v>4550.0609249999998</v>
      </c>
      <c r="S212" s="140">
        <f>F212-Q212</f>
        <v>-2.9999999999745341E-2</v>
      </c>
      <c r="T212" s="141"/>
      <c r="U212" s="139">
        <v>7677.2719999999999</v>
      </c>
      <c r="V212" s="139">
        <v>0</v>
      </c>
      <c r="W212" s="139">
        <v>0</v>
      </c>
      <c r="X212" s="124" t="str">
        <f>VLOOKUP(A212,[1]Consolidado!$A:$W,23,FALSE)</f>
        <v>No información.</v>
      </c>
      <c r="Y212" s="122"/>
      <c r="Z212" s="89"/>
      <c r="AA212" s="9"/>
      <c r="AB212" s="89"/>
      <c r="AC212" s="93"/>
      <c r="AD212" s="93"/>
      <c r="AE212" s="94"/>
      <c r="AF212" s="94"/>
      <c r="AG212" s="94"/>
      <c r="AH212" s="94"/>
      <c r="AI212" s="94"/>
      <c r="AJ212" s="94"/>
    </row>
    <row r="213" spans="1:36" s="27" customFormat="1" ht="69" customHeight="1" x14ac:dyDescent="0.25">
      <c r="A213" s="132" t="s">
        <v>406</v>
      </c>
      <c r="B213" s="133" t="s">
        <v>327</v>
      </c>
      <c r="C213" s="134" t="s">
        <v>140</v>
      </c>
      <c r="D213" s="135" t="s">
        <v>238</v>
      </c>
      <c r="E213" s="136" t="s">
        <v>407</v>
      </c>
      <c r="F213" s="137">
        <v>0</v>
      </c>
      <c r="G213" s="138">
        <v>0</v>
      </c>
      <c r="H213" s="139"/>
      <c r="I213" s="139">
        <f>(SUM(G213:H213))</f>
        <v>0</v>
      </c>
      <c r="J213" s="139">
        <v>0</v>
      </c>
      <c r="K213" s="139">
        <f>L213+M213+N213+O213</f>
        <v>9116.9789999999994</v>
      </c>
      <c r="L213" s="139">
        <v>8625.6790000000001</v>
      </c>
      <c r="M213" s="139">
        <v>0</v>
      </c>
      <c r="N213" s="139">
        <v>0</v>
      </c>
      <c r="O213" s="139">
        <v>491.3</v>
      </c>
      <c r="P213" s="139">
        <f>K213+J213</f>
        <v>9116.9789999999994</v>
      </c>
      <c r="Q213" s="139">
        <v>0</v>
      </c>
      <c r="R213" s="139">
        <f>Q213-P213</f>
        <v>-9116.9789999999994</v>
      </c>
      <c r="S213" s="140">
        <f>F213-Q213</f>
        <v>0</v>
      </c>
      <c r="T213" s="141"/>
      <c r="U213" s="139">
        <v>0</v>
      </c>
      <c r="V213" s="139">
        <v>0</v>
      </c>
      <c r="W213" s="139">
        <v>0</v>
      </c>
      <c r="X213" s="124" t="str">
        <f>VLOOKUP(A213,[1]Consolidado!$A:$W,23,FALSE)</f>
        <v>No información.</v>
      </c>
      <c r="Y213" s="122"/>
      <c r="Z213" s="89"/>
      <c r="AA213" s="9"/>
      <c r="AB213" s="89"/>
      <c r="AC213" s="93"/>
      <c r="AD213" s="93"/>
      <c r="AE213" s="94"/>
      <c r="AF213" s="94"/>
      <c r="AG213" s="94"/>
      <c r="AH213" s="94"/>
      <c r="AI213" s="94"/>
      <c r="AJ213" s="94"/>
    </row>
    <row r="214" spans="1:36" s="27" customFormat="1" ht="69" customHeight="1" x14ac:dyDescent="0.25">
      <c r="A214" s="132" t="s">
        <v>408</v>
      </c>
      <c r="B214" s="133" t="s">
        <v>327</v>
      </c>
      <c r="C214" s="134" t="s">
        <v>140</v>
      </c>
      <c r="D214" s="135" t="s">
        <v>143</v>
      </c>
      <c r="E214" s="136" t="s">
        <v>409</v>
      </c>
      <c r="F214" s="137">
        <v>0</v>
      </c>
      <c r="G214" s="138">
        <v>0</v>
      </c>
      <c r="H214" s="139"/>
      <c r="I214" s="139">
        <f>(SUM(G214:H214))</f>
        <v>0</v>
      </c>
      <c r="J214" s="139">
        <v>0</v>
      </c>
      <c r="K214" s="139">
        <f>L214+M214+N214+O214</f>
        <v>34133.406199999998</v>
      </c>
      <c r="L214" s="139">
        <v>33947.406199999998</v>
      </c>
      <c r="M214" s="139">
        <v>0</v>
      </c>
      <c r="N214" s="139">
        <v>0</v>
      </c>
      <c r="O214" s="139">
        <v>186</v>
      </c>
      <c r="P214" s="139">
        <f>K214+J214</f>
        <v>34133.406199999998</v>
      </c>
      <c r="Q214" s="139">
        <v>0</v>
      </c>
      <c r="R214" s="139">
        <f>Q214-P214</f>
        <v>-34133.406199999998</v>
      </c>
      <c r="S214" s="140">
        <f>F214-Q214</f>
        <v>0</v>
      </c>
      <c r="T214" s="141"/>
      <c r="U214" s="139">
        <v>0</v>
      </c>
      <c r="V214" s="139">
        <v>0</v>
      </c>
      <c r="W214" s="139">
        <v>0</v>
      </c>
      <c r="X214" s="124" t="str">
        <f>VLOOKUP(A214,[1]Consolidado!$A:$W,23,FALSE)</f>
        <v>No información.</v>
      </c>
      <c r="Y214" s="122"/>
      <c r="Z214" s="89"/>
      <c r="AA214" s="9"/>
      <c r="AB214" s="89"/>
      <c r="AC214" s="93"/>
      <c r="AD214" s="93"/>
      <c r="AE214" s="94"/>
      <c r="AF214" s="94"/>
      <c r="AG214" s="94"/>
      <c r="AH214" s="94"/>
      <c r="AI214" s="94"/>
      <c r="AJ214" s="94"/>
    </row>
    <row r="215" spans="1:36" s="27" customFormat="1" ht="69" customHeight="1" x14ac:dyDescent="0.25">
      <c r="A215" s="132" t="s">
        <v>410</v>
      </c>
      <c r="B215" s="133" t="s">
        <v>327</v>
      </c>
      <c r="C215" s="134" t="s">
        <v>140</v>
      </c>
      <c r="D215" s="135" t="s">
        <v>264</v>
      </c>
      <c r="E215" s="136" t="s">
        <v>236</v>
      </c>
      <c r="F215" s="137">
        <v>0</v>
      </c>
      <c r="G215" s="138">
        <v>0</v>
      </c>
      <c r="H215" s="139"/>
      <c r="I215" s="139">
        <f>(SUM(G215:H215))</f>
        <v>0</v>
      </c>
      <c r="J215" s="139">
        <v>0</v>
      </c>
      <c r="K215" s="139">
        <f>L215+M215+N215+O215</f>
        <v>0</v>
      </c>
      <c r="L215" s="139">
        <v>0</v>
      </c>
      <c r="M215" s="139">
        <v>0</v>
      </c>
      <c r="N215" s="139">
        <v>0</v>
      </c>
      <c r="O215" s="139">
        <v>0</v>
      </c>
      <c r="P215" s="139">
        <f>K215+J215</f>
        <v>0</v>
      </c>
      <c r="Q215" s="139">
        <v>0</v>
      </c>
      <c r="R215" s="139">
        <f>Q215-P215</f>
        <v>0</v>
      </c>
      <c r="S215" s="140">
        <f>F215-Q215</f>
        <v>0</v>
      </c>
      <c r="T215" s="141"/>
      <c r="U215" s="139">
        <v>0</v>
      </c>
      <c r="V215" s="139">
        <v>0</v>
      </c>
      <c r="W215" s="139">
        <v>0</v>
      </c>
      <c r="X215" s="124" t="str">
        <f>VLOOKUP(A215,[1]Consolidado!$A:$W,23,FALSE)</f>
        <v>No información.</v>
      </c>
      <c r="Y215" s="122"/>
      <c r="Z215" s="89"/>
      <c r="AA215" s="9"/>
      <c r="AB215" s="89"/>
      <c r="AC215" s="93"/>
      <c r="AD215" s="93"/>
      <c r="AE215" s="94"/>
      <c r="AF215" s="94"/>
      <c r="AG215" s="94"/>
      <c r="AH215" s="94"/>
      <c r="AI215" s="94"/>
      <c r="AJ215" s="94"/>
    </row>
    <row r="216" spans="1:36" s="27" customFormat="1" ht="69" customHeight="1" x14ac:dyDescent="0.25">
      <c r="A216" s="132" t="s">
        <v>411</v>
      </c>
      <c r="B216" s="133" t="s">
        <v>327</v>
      </c>
      <c r="C216" s="134" t="s">
        <v>140</v>
      </c>
      <c r="D216" s="135" t="s">
        <v>264</v>
      </c>
      <c r="E216" s="136" t="s">
        <v>236</v>
      </c>
      <c r="F216" s="137">
        <v>0</v>
      </c>
      <c r="G216" s="138">
        <v>0</v>
      </c>
      <c r="H216" s="139"/>
      <c r="I216" s="139">
        <f>(SUM(G216:H216))</f>
        <v>0</v>
      </c>
      <c r="J216" s="139">
        <v>0</v>
      </c>
      <c r="K216" s="139">
        <f>L216+M216+N216+O216</f>
        <v>0</v>
      </c>
      <c r="L216" s="139">
        <v>0</v>
      </c>
      <c r="M216" s="139">
        <v>0</v>
      </c>
      <c r="N216" s="139">
        <v>0</v>
      </c>
      <c r="O216" s="139">
        <v>0</v>
      </c>
      <c r="P216" s="139">
        <f>K216+J216</f>
        <v>0</v>
      </c>
      <c r="Q216" s="139">
        <v>0</v>
      </c>
      <c r="R216" s="139">
        <f>Q216-P216</f>
        <v>0</v>
      </c>
      <c r="S216" s="140">
        <f>F216-Q216</f>
        <v>0</v>
      </c>
      <c r="T216" s="141"/>
      <c r="U216" s="139">
        <v>0</v>
      </c>
      <c r="V216" s="139">
        <v>0</v>
      </c>
      <c r="W216" s="139">
        <v>0</v>
      </c>
      <c r="X216" s="124" t="str">
        <f>VLOOKUP(A216,[1]Consolidado!$A:$W,23,FALSE)</f>
        <v>No información.</v>
      </c>
      <c r="Y216" s="122"/>
      <c r="Z216" s="89"/>
      <c r="AA216" s="9"/>
      <c r="AB216" s="89"/>
      <c r="AC216" s="93"/>
      <c r="AD216" s="93"/>
      <c r="AE216" s="94"/>
      <c r="AF216" s="94"/>
      <c r="AG216" s="94"/>
      <c r="AH216" s="94"/>
      <c r="AI216" s="94"/>
      <c r="AJ216" s="94"/>
    </row>
    <row r="217" spans="1:36" s="27" customFormat="1" ht="69" customHeight="1" x14ac:dyDescent="0.25">
      <c r="A217" s="132" t="s">
        <v>412</v>
      </c>
      <c r="B217" s="133" t="s">
        <v>327</v>
      </c>
      <c r="C217" s="134" t="s">
        <v>140</v>
      </c>
      <c r="D217" s="135" t="s">
        <v>111</v>
      </c>
      <c r="E217" s="136" t="s">
        <v>413</v>
      </c>
      <c r="F217" s="137">
        <v>0</v>
      </c>
      <c r="G217" s="138">
        <v>14683.168</v>
      </c>
      <c r="H217" s="139"/>
      <c r="I217" s="139">
        <f>(SUM(G217:H217))</f>
        <v>14683.168</v>
      </c>
      <c r="J217" s="139">
        <v>0</v>
      </c>
      <c r="K217" s="139">
        <f>L217+M217+N217+O217</f>
        <v>567.57500000000005</v>
      </c>
      <c r="L217" s="139">
        <v>0</v>
      </c>
      <c r="M217" s="139">
        <v>0</v>
      </c>
      <c r="N217" s="139">
        <v>0</v>
      </c>
      <c r="O217" s="139">
        <v>567.57500000000005</v>
      </c>
      <c r="P217" s="139">
        <f>K217+J217</f>
        <v>567.57500000000005</v>
      </c>
      <c r="Q217" s="139">
        <v>14683.168</v>
      </c>
      <c r="R217" s="139">
        <f>Q217-P217</f>
        <v>14115.592999999999</v>
      </c>
      <c r="S217" s="140">
        <f>F217-Q217</f>
        <v>-14683.168</v>
      </c>
      <c r="T217" s="141"/>
      <c r="U217" s="139">
        <v>14683.168</v>
      </c>
      <c r="V217" s="139">
        <v>0</v>
      </c>
      <c r="W217" s="139">
        <v>0</v>
      </c>
      <c r="X217" s="124" t="str">
        <f>VLOOKUP(A217,[1]Consolidado!$A:$W,23,FALSE)</f>
        <v>Proyecto no corresponde a Infraestructura Municipal</v>
      </c>
      <c r="Y217" s="122"/>
      <c r="Z217" s="89"/>
      <c r="AA217" s="9"/>
      <c r="AB217" s="89"/>
      <c r="AC217" s="93"/>
      <c r="AD217" s="93"/>
      <c r="AE217" s="94"/>
      <c r="AF217" s="94"/>
      <c r="AG217" s="94"/>
      <c r="AH217" s="94"/>
      <c r="AI217" s="94"/>
      <c r="AJ217" s="94"/>
    </row>
    <row r="218" spans="1:36" s="27" customFormat="1" ht="69" customHeight="1" x14ac:dyDescent="0.25">
      <c r="A218" s="132" t="s">
        <v>414</v>
      </c>
      <c r="B218" s="133" t="s">
        <v>327</v>
      </c>
      <c r="C218" s="134" t="s">
        <v>140</v>
      </c>
      <c r="D218" s="135" t="s">
        <v>264</v>
      </c>
      <c r="E218" s="136" t="s">
        <v>236</v>
      </c>
      <c r="F218" s="137">
        <v>54540.277000000002</v>
      </c>
      <c r="G218" s="138">
        <v>54540.277000000002</v>
      </c>
      <c r="H218" s="139"/>
      <c r="I218" s="139">
        <f>(SUM(G218:H218))</f>
        <v>54540.277000000002</v>
      </c>
      <c r="J218" s="139">
        <v>0</v>
      </c>
      <c r="K218" s="139">
        <f>L218+M218+N218+O218</f>
        <v>490.56599999999997</v>
      </c>
      <c r="L218" s="139">
        <v>0</v>
      </c>
      <c r="M218" s="139">
        <v>0</v>
      </c>
      <c r="N218" s="139">
        <v>0</v>
      </c>
      <c r="O218" s="139">
        <v>490.56599999999997</v>
      </c>
      <c r="P218" s="139">
        <f>K218+J218</f>
        <v>490.56599999999997</v>
      </c>
      <c r="Q218" s="139">
        <v>54540.277000000002</v>
      </c>
      <c r="R218" s="139">
        <f>Q218-P218</f>
        <v>54049.711000000003</v>
      </c>
      <c r="S218" s="140">
        <f>F218-Q218</f>
        <v>0</v>
      </c>
      <c r="T218" s="141"/>
      <c r="U218" s="139">
        <v>54540.277000000002</v>
      </c>
      <c r="V218" s="139">
        <v>0</v>
      </c>
      <c r="W218" s="139">
        <v>0</v>
      </c>
      <c r="X218" s="124" t="str">
        <f>VLOOKUP(A218,[1]Consolidado!$A:$W,23,FALSE)</f>
        <v>No información.</v>
      </c>
      <c r="Y218" s="122"/>
      <c r="Z218" s="89"/>
      <c r="AA218" s="9"/>
      <c r="AB218" s="89"/>
      <c r="AC218" s="93"/>
      <c r="AD218" s="93"/>
      <c r="AE218" s="94"/>
      <c r="AF218" s="94"/>
      <c r="AG218" s="94"/>
      <c r="AH218" s="94"/>
      <c r="AI218" s="94"/>
      <c r="AJ218" s="94"/>
    </row>
    <row r="219" spans="1:36" s="27" customFormat="1" ht="69" customHeight="1" x14ac:dyDescent="0.25">
      <c r="A219" s="132" t="s">
        <v>415</v>
      </c>
      <c r="B219" s="133" t="s">
        <v>327</v>
      </c>
      <c r="C219" s="134" t="s">
        <v>140</v>
      </c>
      <c r="D219" s="135" t="s">
        <v>264</v>
      </c>
      <c r="E219" s="136" t="s">
        <v>236</v>
      </c>
      <c r="F219" s="137">
        <v>0</v>
      </c>
      <c r="G219" s="138">
        <v>0</v>
      </c>
      <c r="H219" s="139"/>
      <c r="I219" s="139">
        <f>(SUM(G219:H219))</f>
        <v>0</v>
      </c>
      <c r="J219" s="139">
        <v>0</v>
      </c>
      <c r="K219" s="139">
        <f>L219+M219+N219+O219</f>
        <v>325.87400000000002</v>
      </c>
      <c r="L219" s="139">
        <v>0</v>
      </c>
      <c r="M219" s="139">
        <v>0</v>
      </c>
      <c r="N219" s="139">
        <v>0</v>
      </c>
      <c r="O219" s="139">
        <v>325.87400000000002</v>
      </c>
      <c r="P219" s="139">
        <f>K219+J219</f>
        <v>325.87400000000002</v>
      </c>
      <c r="Q219" s="139">
        <v>0</v>
      </c>
      <c r="R219" s="139">
        <f>Q219-P219</f>
        <v>-325.87400000000002</v>
      </c>
      <c r="S219" s="140">
        <f>F219-Q219</f>
        <v>0</v>
      </c>
      <c r="T219" s="141"/>
      <c r="U219" s="139">
        <v>0</v>
      </c>
      <c r="V219" s="139">
        <v>0</v>
      </c>
      <c r="W219" s="139">
        <v>0</v>
      </c>
      <c r="X219" s="124" t="str">
        <f>VLOOKUP(A219,[1]Consolidado!$A:$W,23,FALSE)</f>
        <v>No información.</v>
      </c>
      <c r="Y219" s="122"/>
      <c r="Z219" s="89"/>
      <c r="AA219" s="9"/>
      <c r="AB219" s="89"/>
      <c r="AC219" s="93"/>
      <c r="AD219" s="93"/>
      <c r="AE219" s="94"/>
      <c r="AF219" s="94"/>
      <c r="AG219" s="94"/>
      <c r="AH219" s="94"/>
      <c r="AI219" s="94"/>
      <c r="AJ219" s="94"/>
    </row>
    <row r="220" spans="1:36" s="27" customFormat="1" ht="69" customHeight="1" x14ac:dyDescent="0.25">
      <c r="A220" s="132" t="s">
        <v>416</v>
      </c>
      <c r="B220" s="133" t="s">
        <v>327</v>
      </c>
      <c r="C220" s="134" t="s">
        <v>140</v>
      </c>
      <c r="D220" s="135" t="s">
        <v>264</v>
      </c>
      <c r="E220" s="136" t="s">
        <v>417</v>
      </c>
      <c r="F220" s="137">
        <v>83640.695999999996</v>
      </c>
      <c r="G220" s="138">
        <v>100851.59</v>
      </c>
      <c r="H220" s="139"/>
      <c r="I220" s="139">
        <f>(SUM(G220:H220))</f>
        <v>100851.59</v>
      </c>
      <c r="J220" s="139">
        <v>0</v>
      </c>
      <c r="K220" s="139">
        <f>L220+M220+N220+O220</f>
        <v>244562.52840039998</v>
      </c>
      <c r="L220" s="139">
        <v>160842.59140039998</v>
      </c>
      <c r="M220" s="139">
        <v>0</v>
      </c>
      <c r="N220" s="139">
        <v>1842.2</v>
      </c>
      <c r="O220" s="139">
        <v>81877.736999999994</v>
      </c>
      <c r="P220" s="139">
        <f>K220+J220</f>
        <v>244562.52840039998</v>
      </c>
      <c r="Q220" s="139">
        <v>100851.59</v>
      </c>
      <c r="R220" s="139">
        <f>Q220-P220</f>
        <v>-143710.93840039999</v>
      </c>
      <c r="S220" s="140">
        <f>F220-Q220</f>
        <v>-17210.894</v>
      </c>
      <c r="T220" s="141"/>
      <c r="U220" s="139">
        <v>82740.695999999996</v>
      </c>
      <c r="V220" s="139">
        <v>900</v>
      </c>
      <c r="W220" s="139">
        <v>556805.54099999997</v>
      </c>
      <c r="X220" s="124" t="str">
        <f>VLOOKUP(A220,[1]Consolidado!$A:$W,23,FALSE)</f>
        <v>Adm:  WSP
 Venta de carros para cruzar con éste saldo.</v>
      </c>
      <c r="Y220" s="122"/>
      <c r="Z220" s="89"/>
      <c r="AA220" s="9"/>
      <c r="AB220" s="89"/>
      <c r="AC220" s="93"/>
      <c r="AD220" s="93"/>
      <c r="AE220" s="94"/>
      <c r="AF220" s="94"/>
      <c r="AG220" s="94"/>
      <c r="AH220" s="94"/>
      <c r="AI220" s="94"/>
      <c r="AJ220" s="94"/>
    </row>
    <row r="221" spans="1:36" s="27" customFormat="1" ht="69" customHeight="1" x14ac:dyDescent="0.25">
      <c r="A221" s="132" t="s">
        <v>418</v>
      </c>
      <c r="B221" s="133" t="s">
        <v>327</v>
      </c>
      <c r="C221" s="134" t="s">
        <v>140</v>
      </c>
      <c r="D221" s="135" t="s">
        <v>264</v>
      </c>
      <c r="E221" s="136" t="s">
        <v>215</v>
      </c>
      <c r="F221" s="137">
        <v>0</v>
      </c>
      <c r="G221" s="138">
        <v>0</v>
      </c>
      <c r="H221" s="139"/>
      <c r="I221" s="139">
        <f>(SUM(G221:H221))</f>
        <v>0</v>
      </c>
      <c r="J221" s="139">
        <v>0</v>
      </c>
      <c r="K221" s="139">
        <f>L221+M221+N221+O221</f>
        <v>24.2</v>
      </c>
      <c r="L221" s="139">
        <v>0</v>
      </c>
      <c r="M221" s="139">
        <v>0</v>
      </c>
      <c r="N221" s="139">
        <v>0</v>
      </c>
      <c r="O221" s="139">
        <v>24.2</v>
      </c>
      <c r="P221" s="139">
        <f>K221+J221</f>
        <v>24.2</v>
      </c>
      <c r="Q221" s="139">
        <v>0</v>
      </c>
      <c r="R221" s="139">
        <f>Q221-P221</f>
        <v>-24.2</v>
      </c>
      <c r="S221" s="140">
        <f>F221-Q221</f>
        <v>0</v>
      </c>
      <c r="T221" s="141"/>
      <c r="U221" s="139">
        <v>0</v>
      </c>
      <c r="V221" s="139">
        <v>0</v>
      </c>
      <c r="W221" s="139">
        <v>0</v>
      </c>
      <c r="X221" s="124" t="str">
        <f>VLOOKUP(A221,[1]Consolidado!$A:$W,23,FALSE)</f>
        <v>No información.</v>
      </c>
      <c r="Y221" s="122"/>
      <c r="Z221" s="89"/>
      <c r="AA221" s="9"/>
      <c r="AB221" s="89"/>
      <c r="AC221" s="93"/>
      <c r="AD221" s="93"/>
      <c r="AE221" s="94"/>
      <c r="AF221" s="94"/>
      <c r="AG221" s="94"/>
      <c r="AH221" s="94"/>
      <c r="AI221" s="94"/>
      <c r="AJ221" s="94"/>
    </row>
    <row r="222" spans="1:36" s="27" customFormat="1" ht="69" customHeight="1" x14ac:dyDescent="0.25">
      <c r="A222" s="132" t="s">
        <v>419</v>
      </c>
      <c r="B222" s="133" t="s">
        <v>327</v>
      </c>
      <c r="C222" s="134" t="s">
        <v>140</v>
      </c>
      <c r="D222" s="135" t="s">
        <v>181</v>
      </c>
      <c r="E222" s="136" t="s">
        <v>270</v>
      </c>
      <c r="F222" s="137">
        <v>0</v>
      </c>
      <c r="G222" s="138">
        <v>25610.16</v>
      </c>
      <c r="H222" s="139"/>
      <c r="I222" s="139">
        <f>(SUM(G222:H222))</f>
        <v>25610.16</v>
      </c>
      <c r="J222" s="139">
        <v>25601.75</v>
      </c>
      <c r="K222" s="139">
        <f>L222+M222+N222+O222</f>
        <v>26113.953000000001</v>
      </c>
      <c r="L222" s="139">
        <v>0</v>
      </c>
      <c r="M222" s="139">
        <v>0</v>
      </c>
      <c r="N222" s="139">
        <v>0</v>
      </c>
      <c r="O222" s="139">
        <v>26113.953000000001</v>
      </c>
      <c r="P222" s="139">
        <f>K222+J222</f>
        <v>51715.703000000001</v>
      </c>
      <c r="Q222" s="139">
        <v>51211.91</v>
      </c>
      <c r="R222" s="139">
        <f>Q222-P222</f>
        <v>-503.79299999999785</v>
      </c>
      <c r="S222" s="140">
        <f>F222-Q222</f>
        <v>-51211.91</v>
      </c>
      <c r="T222" s="141"/>
      <c r="U222" s="139">
        <v>25610.16</v>
      </c>
      <c r="V222" s="139">
        <v>0</v>
      </c>
      <c r="W222" s="139">
        <v>27379.822</v>
      </c>
      <c r="X222" s="124" t="str">
        <f>VLOOKUP(A222,[1]Consolidado!$A:$W,23,FALSE)</f>
        <v>No información.</v>
      </c>
      <c r="Y222" s="122"/>
      <c r="Z222" s="89"/>
      <c r="AA222" s="9"/>
      <c r="AB222" s="89"/>
      <c r="AC222" s="93"/>
      <c r="AD222" s="93"/>
      <c r="AE222" s="94"/>
      <c r="AF222" s="94"/>
      <c r="AG222" s="94"/>
      <c r="AH222" s="94"/>
      <c r="AI222" s="94"/>
      <c r="AJ222" s="94"/>
    </row>
    <row r="223" spans="1:36" s="27" customFormat="1" ht="69" customHeight="1" x14ac:dyDescent="0.25">
      <c r="A223" s="132" t="s">
        <v>420</v>
      </c>
      <c r="B223" s="133" t="s">
        <v>327</v>
      </c>
      <c r="C223" s="134" t="s">
        <v>140</v>
      </c>
      <c r="D223" s="135" t="s">
        <v>111</v>
      </c>
      <c r="E223" s="136" t="s">
        <v>421</v>
      </c>
      <c r="F223" s="137">
        <v>0</v>
      </c>
      <c r="G223" s="138">
        <v>0</v>
      </c>
      <c r="H223" s="139"/>
      <c r="I223" s="139">
        <f>(SUM(G223:H223))</f>
        <v>0</v>
      </c>
      <c r="J223" s="139">
        <v>0</v>
      </c>
      <c r="K223" s="139">
        <f>L223+M223+N223+O223</f>
        <v>0</v>
      </c>
      <c r="L223" s="139">
        <v>0</v>
      </c>
      <c r="M223" s="139">
        <v>0</v>
      </c>
      <c r="N223" s="139">
        <v>0</v>
      </c>
      <c r="O223" s="139">
        <v>0</v>
      </c>
      <c r="P223" s="139">
        <f>K223+J223</f>
        <v>0</v>
      </c>
      <c r="Q223" s="139">
        <v>0</v>
      </c>
      <c r="R223" s="139">
        <f>Q223-P223</f>
        <v>0</v>
      </c>
      <c r="S223" s="140">
        <f>F223-Q223</f>
        <v>0</v>
      </c>
      <c r="T223" s="141"/>
      <c r="U223" s="139">
        <v>0</v>
      </c>
      <c r="V223" s="139">
        <v>0</v>
      </c>
      <c r="W223" s="139">
        <v>0</v>
      </c>
      <c r="X223" s="124" t="str">
        <f>VLOOKUP(A223,[1]Consolidado!$A:$W,23,FALSE)</f>
        <v>PY erroneo de proyecto, PY correcto 1452 Huila Tolima</v>
      </c>
      <c r="Y223" s="122"/>
      <c r="Z223" s="89"/>
      <c r="AA223" s="9"/>
      <c r="AB223" s="89"/>
      <c r="AC223" s="93"/>
      <c r="AD223" s="93"/>
      <c r="AE223" s="94"/>
      <c r="AF223" s="94"/>
      <c r="AG223" s="94"/>
      <c r="AH223" s="94"/>
      <c r="AI223" s="94"/>
      <c r="AJ223" s="94"/>
    </row>
    <row r="224" spans="1:36" s="27" customFormat="1" ht="69" customHeight="1" x14ac:dyDescent="0.25">
      <c r="A224" s="132" t="s">
        <v>422</v>
      </c>
      <c r="B224" s="133" t="s">
        <v>327</v>
      </c>
      <c r="C224" s="134" t="s">
        <v>140</v>
      </c>
      <c r="D224" s="135" t="s">
        <v>111</v>
      </c>
      <c r="E224" s="136" t="s">
        <v>409</v>
      </c>
      <c r="F224" s="137">
        <v>0</v>
      </c>
      <c r="G224" s="138">
        <v>0</v>
      </c>
      <c r="H224" s="139"/>
      <c r="I224" s="139">
        <f>(SUM(G224:H224))</f>
        <v>0</v>
      </c>
      <c r="J224" s="139">
        <v>0</v>
      </c>
      <c r="K224" s="139">
        <f>L224+M224+N224+O224</f>
        <v>-3.0000000000000001E-3</v>
      </c>
      <c r="L224" s="139">
        <v>0</v>
      </c>
      <c r="M224" s="139">
        <v>0</v>
      </c>
      <c r="N224" s="139">
        <v>0</v>
      </c>
      <c r="O224" s="139">
        <v>-3.0000000000000001E-3</v>
      </c>
      <c r="P224" s="139">
        <f>K224+J224</f>
        <v>-3.0000000000000001E-3</v>
      </c>
      <c r="Q224" s="139">
        <v>0</v>
      </c>
      <c r="R224" s="139">
        <f>Q224-P224</f>
        <v>3.0000000000000001E-3</v>
      </c>
      <c r="S224" s="140">
        <f>F224-Q224</f>
        <v>0</v>
      </c>
      <c r="T224" s="141"/>
      <c r="U224" s="139">
        <v>0</v>
      </c>
      <c r="V224" s="139">
        <v>0</v>
      </c>
      <c r="W224" s="139">
        <v>0</v>
      </c>
      <c r="X224" s="124" t="str">
        <f>VLOOKUP(A224,[1]Consolidado!$A:$W,23,FALSE)</f>
        <v>PY erroneo de proyecto, PY correcto 1453 Norte de Santander</v>
      </c>
      <c r="Y224" s="122"/>
      <c r="Z224" s="89"/>
      <c r="AA224" s="9"/>
      <c r="AB224" s="89"/>
      <c r="AC224" s="93"/>
      <c r="AD224" s="93"/>
      <c r="AE224" s="94"/>
      <c r="AF224" s="94"/>
      <c r="AG224" s="94"/>
      <c r="AH224" s="94"/>
      <c r="AI224" s="94"/>
      <c r="AJ224" s="94"/>
    </row>
    <row r="225" spans="1:36" s="27" customFormat="1" ht="69" customHeight="1" x14ac:dyDescent="0.25">
      <c r="A225" s="132" t="s">
        <v>423</v>
      </c>
      <c r="B225" s="133" t="s">
        <v>327</v>
      </c>
      <c r="C225" s="134" t="s">
        <v>140</v>
      </c>
      <c r="D225" s="135" t="s">
        <v>181</v>
      </c>
      <c r="E225" s="136" t="s">
        <v>206</v>
      </c>
      <c r="F225" s="137">
        <v>1358841.8570000001</v>
      </c>
      <c r="G225" s="138">
        <v>1364296.4565000001</v>
      </c>
      <c r="H225" s="139"/>
      <c r="I225" s="139">
        <f>(SUM(G225:H225))</f>
        <v>1364296.4565000001</v>
      </c>
      <c r="J225" s="139">
        <v>360.64699999999999</v>
      </c>
      <c r="K225" s="139">
        <f>L225+M225+N225+O225</f>
        <v>1172050.3589646001</v>
      </c>
      <c r="L225" s="139">
        <v>857823.2982946001</v>
      </c>
      <c r="M225" s="139">
        <v>0</v>
      </c>
      <c r="N225" s="139">
        <v>0</v>
      </c>
      <c r="O225" s="139">
        <v>314227.06066999998</v>
      </c>
      <c r="P225" s="139">
        <f>K225+J225</f>
        <v>1172411.0059646002</v>
      </c>
      <c r="Q225" s="139">
        <v>1364657.1035000002</v>
      </c>
      <c r="R225" s="139">
        <f>Q225-P225</f>
        <v>192246.09753539995</v>
      </c>
      <c r="S225" s="140">
        <f>F225-Q225</f>
        <v>-5815.2465000001248</v>
      </c>
      <c r="T225" s="141"/>
      <c r="U225" s="139">
        <v>1358855.446</v>
      </c>
      <c r="V225" s="139">
        <v>0</v>
      </c>
      <c r="W225" s="139">
        <v>-5.0000000000000001E-4</v>
      </c>
      <c r="X225" s="124" t="str">
        <f>VLOOKUP(A225,[1]Consolidado!$A:$W,23,FALSE)</f>
        <v>No información.</v>
      </c>
      <c r="Y225" s="122"/>
      <c r="Z225" s="89"/>
      <c r="AA225" s="9"/>
      <c r="AB225" s="89"/>
      <c r="AC225" s="93"/>
      <c r="AD225" s="93"/>
      <c r="AE225" s="94"/>
      <c r="AF225" s="94"/>
      <c r="AG225" s="94"/>
      <c r="AH225" s="94"/>
      <c r="AI225" s="94"/>
      <c r="AJ225" s="94"/>
    </row>
    <row r="226" spans="1:36" s="27" customFormat="1" ht="69" customHeight="1" x14ac:dyDescent="0.25">
      <c r="A226" s="132" t="s">
        <v>424</v>
      </c>
      <c r="B226" s="133" t="s">
        <v>327</v>
      </c>
      <c r="C226" s="134" t="s">
        <v>140</v>
      </c>
      <c r="D226" s="135" t="s">
        <v>181</v>
      </c>
      <c r="E226" s="136" t="s">
        <v>273</v>
      </c>
      <c r="F226" s="137">
        <v>71936.353000000003</v>
      </c>
      <c r="G226" s="138">
        <v>71936.353000000003</v>
      </c>
      <c r="H226" s="139"/>
      <c r="I226" s="139">
        <f>(SUM(G226:H226))</f>
        <v>71936.353000000003</v>
      </c>
      <c r="J226" s="139">
        <v>0</v>
      </c>
      <c r="K226" s="139">
        <f>L226+M226+N226+O226</f>
        <v>6719.9979999999996</v>
      </c>
      <c r="L226" s="139">
        <v>0</v>
      </c>
      <c r="M226" s="139">
        <v>0</v>
      </c>
      <c r="N226" s="139">
        <v>510</v>
      </c>
      <c r="O226" s="139">
        <v>6209.9979999999996</v>
      </c>
      <c r="P226" s="139">
        <f>K226+J226</f>
        <v>6719.9979999999996</v>
      </c>
      <c r="Q226" s="139">
        <v>71936.353000000003</v>
      </c>
      <c r="R226" s="139">
        <f>Q226-P226</f>
        <v>65216.355000000003</v>
      </c>
      <c r="S226" s="140">
        <f>F226-Q226</f>
        <v>0</v>
      </c>
      <c r="T226" s="141"/>
      <c r="U226" s="139">
        <v>71936.353000000003</v>
      </c>
      <c r="V226" s="139">
        <v>0</v>
      </c>
      <c r="W226" s="139">
        <v>70497.627999999997</v>
      </c>
      <c r="X226" s="124" t="str">
        <f>VLOOKUP(A226,[1]Consolidado!$A:$W,23,FALSE)</f>
        <v>No información.</v>
      </c>
      <c r="Y226" s="122"/>
      <c r="Z226" s="89"/>
      <c r="AA226" s="9"/>
      <c r="AB226" s="89"/>
      <c r="AC226" s="93"/>
      <c r="AD226" s="93"/>
      <c r="AE226" s="94"/>
      <c r="AF226" s="94"/>
      <c r="AG226" s="94"/>
      <c r="AH226" s="94"/>
      <c r="AI226" s="94"/>
      <c r="AJ226" s="94"/>
    </row>
    <row r="227" spans="1:36" s="27" customFormat="1" ht="69" customHeight="1" x14ac:dyDescent="0.25">
      <c r="A227" s="132" t="s">
        <v>425</v>
      </c>
      <c r="B227" s="133" t="s">
        <v>327</v>
      </c>
      <c r="C227" s="134" t="s">
        <v>140</v>
      </c>
      <c r="D227" s="135" t="s">
        <v>181</v>
      </c>
      <c r="E227" s="136" t="s">
        <v>273</v>
      </c>
      <c r="F227" s="137">
        <v>0</v>
      </c>
      <c r="G227" s="138">
        <v>0</v>
      </c>
      <c r="H227" s="139"/>
      <c r="I227" s="139">
        <f>(SUM(G227:H227))</f>
        <v>0</v>
      </c>
      <c r="J227" s="139">
        <v>0</v>
      </c>
      <c r="K227" s="139">
        <f>L227+M227+N227+O227</f>
        <v>-1843.7049999999999</v>
      </c>
      <c r="L227" s="139">
        <v>0</v>
      </c>
      <c r="M227" s="139">
        <v>0</v>
      </c>
      <c r="N227" s="139">
        <v>0</v>
      </c>
      <c r="O227" s="139">
        <v>-1843.7049999999999</v>
      </c>
      <c r="P227" s="139">
        <f>K227+J227</f>
        <v>-1843.7049999999999</v>
      </c>
      <c r="Q227" s="139">
        <v>0</v>
      </c>
      <c r="R227" s="139">
        <f>Q227-P227</f>
        <v>1843.7049999999999</v>
      </c>
      <c r="S227" s="140">
        <f>F227-Q227</f>
        <v>0</v>
      </c>
      <c r="T227" s="141"/>
      <c r="U227" s="139">
        <v>0</v>
      </c>
      <c r="V227" s="139">
        <v>0</v>
      </c>
      <c r="W227" s="139">
        <v>0</v>
      </c>
      <c r="X227" s="124" t="str">
        <f>VLOOKUP(A227,[1]Consolidado!$A:$W,23,FALSE)</f>
        <v>No información.</v>
      </c>
      <c r="Y227" s="122"/>
      <c r="Z227" s="89"/>
      <c r="AA227" s="9"/>
      <c r="AB227" s="89"/>
      <c r="AC227" s="93"/>
      <c r="AD227" s="93"/>
      <c r="AE227" s="94"/>
      <c r="AF227" s="94"/>
      <c r="AG227" s="94"/>
      <c r="AH227" s="94"/>
      <c r="AI227" s="94"/>
      <c r="AJ227" s="94"/>
    </row>
    <row r="228" spans="1:36" s="27" customFormat="1" ht="69" customHeight="1" x14ac:dyDescent="0.25">
      <c r="A228" s="132" t="s">
        <v>426</v>
      </c>
      <c r="B228" s="133" t="s">
        <v>327</v>
      </c>
      <c r="C228" s="134" t="s">
        <v>140</v>
      </c>
      <c r="D228" s="135" t="s">
        <v>181</v>
      </c>
      <c r="E228" s="136" t="s">
        <v>236</v>
      </c>
      <c r="F228" s="137">
        <v>0</v>
      </c>
      <c r="G228" s="138">
        <v>0</v>
      </c>
      <c r="H228" s="139"/>
      <c r="I228" s="139">
        <f>(SUM(G228:H228))</f>
        <v>0</v>
      </c>
      <c r="J228" s="139">
        <v>0</v>
      </c>
      <c r="K228" s="139">
        <f>L228+M228+N228+O228</f>
        <v>-712.35799999999995</v>
      </c>
      <c r="L228" s="139">
        <v>0</v>
      </c>
      <c r="M228" s="139">
        <v>0</v>
      </c>
      <c r="N228" s="139">
        <v>0</v>
      </c>
      <c r="O228" s="139">
        <v>-712.35799999999995</v>
      </c>
      <c r="P228" s="139">
        <f>K228+J228</f>
        <v>-712.35799999999995</v>
      </c>
      <c r="Q228" s="139">
        <v>0</v>
      </c>
      <c r="R228" s="139">
        <f>Q228-P228</f>
        <v>712.35799999999995</v>
      </c>
      <c r="S228" s="140">
        <f>F228-Q228</f>
        <v>0</v>
      </c>
      <c r="T228" s="141"/>
      <c r="U228" s="139">
        <v>0</v>
      </c>
      <c r="V228" s="139">
        <v>0</v>
      </c>
      <c r="W228" s="139">
        <v>0</v>
      </c>
      <c r="X228" s="124" t="str">
        <f>VLOOKUP(A228,[1]Consolidado!$A:$W,23,FALSE)</f>
        <v>No información.</v>
      </c>
      <c r="Y228" s="122"/>
      <c r="Z228" s="89"/>
      <c r="AA228" s="9"/>
      <c r="AB228" s="89"/>
      <c r="AC228" s="93"/>
      <c r="AD228" s="93"/>
      <c r="AE228" s="94"/>
      <c r="AF228" s="94"/>
      <c r="AG228" s="94"/>
      <c r="AH228" s="94"/>
      <c r="AI228" s="94"/>
      <c r="AJ228" s="94"/>
    </row>
    <row r="229" spans="1:36" s="27" customFormat="1" ht="69" customHeight="1" x14ac:dyDescent="0.25">
      <c r="A229" s="132" t="s">
        <v>427</v>
      </c>
      <c r="B229" s="133" t="s">
        <v>327</v>
      </c>
      <c r="C229" s="134" t="s">
        <v>140</v>
      </c>
      <c r="D229" s="135" t="s">
        <v>181</v>
      </c>
      <c r="E229" s="136" t="s">
        <v>270</v>
      </c>
      <c r="F229" s="137">
        <v>1183690.0819999999</v>
      </c>
      <c r="G229" s="138">
        <v>1183706.5930000001</v>
      </c>
      <c r="H229" s="139"/>
      <c r="I229" s="139">
        <f>(SUM(G229:H229))</f>
        <v>1183706.5930000001</v>
      </c>
      <c r="J229" s="139">
        <v>1296.3510000000001</v>
      </c>
      <c r="K229" s="139">
        <f>L229+M229+N229+O229</f>
        <v>709898.44949999987</v>
      </c>
      <c r="L229" s="139">
        <v>176133.63250000001</v>
      </c>
      <c r="M229" s="139">
        <v>0</v>
      </c>
      <c r="N229" s="139">
        <v>0</v>
      </c>
      <c r="O229" s="139">
        <v>533764.81699999992</v>
      </c>
      <c r="P229" s="139">
        <f>K229+J229</f>
        <v>711194.8004999999</v>
      </c>
      <c r="Q229" s="139">
        <v>1185002.9440000001</v>
      </c>
      <c r="R229" s="139">
        <f>Q229-P229</f>
        <v>473808.14350000024</v>
      </c>
      <c r="S229" s="140">
        <f>F229-Q229</f>
        <v>-1312.8620000001974</v>
      </c>
      <c r="T229" s="141"/>
      <c r="U229" s="139">
        <v>1183690.0819999999</v>
      </c>
      <c r="V229" s="139">
        <v>0</v>
      </c>
      <c r="W229" s="139">
        <v>9504.1309999999994</v>
      </c>
      <c r="X229" s="124" t="str">
        <f>VLOOKUP(A229,[1]Consolidado!$A:$W,23,FALSE)</f>
        <v>No información.</v>
      </c>
      <c r="Y229" s="122"/>
      <c r="Z229" s="89"/>
      <c r="AA229" s="9"/>
      <c r="AB229" s="89"/>
      <c r="AC229" s="93"/>
      <c r="AD229" s="93"/>
      <c r="AE229" s="94"/>
      <c r="AF229" s="94"/>
      <c r="AG229" s="94"/>
      <c r="AH229" s="94"/>
      <c r="AI229" s="94"/>
      <c r="AJ229" s="94"/>
    </row>
    <row r="230" spans="1:36" s="27" customFormat="1" ht="69" customHeight="1" x14ac:dyDescent="0.25">
      <c r="A230" s="132" t="s">
        <v>428</v>
      </c>
      <c r="B230" s="133" t="s">
        <v>327</v>
      </c>
      <c r="C230" s="134" t="s">
        <v>140</v>
      </c>
      <c r="D230" s="135" t="s">
        <v>181</v>
      </c>
      <c r="E230" s="136" t="s">
        <v>270</v>
      </c>
      <c r="F230" s="137">
        <v>1650754.7760000001</v>
      </c>
      <c r="G230" s="138">
        <v>1656102.4979999999</v>
      </c>
      <c r="H230" s="139"/>
      <c r="I230" s="139">
        <f>(SUM(G230:H230))</f>
        <v>1656102.4979999999</v>
      </c>
      <c r="J230" s="139">
        <v>3874.6350000000002</v>
      </c>
      <c r="K230" s="139">
        <f>L230+M230+N230+O230</f>
        <v>1864855.4052500001</v>
      </c>
      <c r="L230" s="139">
        <v>1508501.51725</v>
      </c>
      <c r="M230" s="139">
        <v>0</v>
      </c>
      <c r="N230" s="139">
        <v>0</v>
      </c>
      <c r="O230" s="139">
        <v>356353.88799999998</v>
      </c>
      <c r="P230" s="139">
        <f>K230+J230</f>
        <v>1868730.0402500001</v>
      </c>
      <c r="Q230" s="139">
        <v>1659977.1329999999</v>
      </c>
      <c r="R230" s="139">
        <f>Q230-P230</f>
        <v>-208752.90725000016</v>
      </c>
      <c r="S230" s="140">
        <f>F230-Q230</f>
        <v>-9222.3569999998435</v>
      </c>
      <c r="T230" s="141"/>
      <c r="U230" s="139">
        <v>1650754.7760000001</v>
      </c>
      <c r="V230" s="139">
        <v>0</v>
      </c>
      <c r="W230" s="139">
        <v>0</v>
      </c>
      <c r="X230" s="124" t="str">
        <f>VLOOKUP(A230,[1]Consolidado!$A:$W,23,FALSE)</f>
        <v>No información.</v>
      </c>
      <c r="Y230" s="122"/>
      <c r="Z230" s="89"/>
      <c r="AA230" s="9"/>
      <c r="AB230" s="89"/>
      <c r="AC230" s="93"/>
      <c r="AD230" s="93"/>
      <c r="AE230" s="94"/>
      <c r="AF230" s="94"/>
      <c r="AG230" s="94"/>
      <c r="AH230" s="94"/>
      <c r="AI230" s="94"/>
      <c r="AJ230" s="94"/>
    </row>
    <row r="231" spans="1:36" s="27" customFormat="1" ht="69" customHeight="1" x14ac:dyDescent="0.25">
      <c r="A231" s="132" t="s">
        <v>429</v>
      </c>
      <c r="B231" s="133" t="s">
        <v>327</v>
      </c>
      <c r="C231" s="134" t="s">
        <v>140</v>
      </c>
      <c r="D231" s="135" t="s">
        <v>181</v>
      </c>
      <c r="E231" s="136" t="s">
        <v>270</v>
      </c>
      <c r="F231" s="137">
        <v>0</v>
      </c>
      <c r="G231" s="138">
        <v>0.67100000000000004</v>
      </c>
      <c r="H231" s="139"/>
      <c r="I231" s="139">
        <f>(SUM(G231:H231))</f>
        <v>0.67100000000000004</v>
      </c>
      <c r="J231" s="139">
        <v>1439.85</v>
      </c>
      <c r="K231" s="139">
        <f>L231+M231+N231+O231</f>
        <v>-127400.993</v>
      </c>
      <c r="L231" s="139">
        <v>0</v>
      </c>
      <c r="M231" s="139">
        <v>0</v>
      </c>
      <c r="N231" s="139">
        <v>0</v>
      </c>
      <c r="O231" s="139">
        <v>-127400.993</v>
      </c>
      <c r="P231" s="139">
        <f>K231+J231</f>
        <v>-125961.143</v>
      </c>
      <c r="Q231" s="139">
        <v>1440.521</v>
      </c>
      <c r="R231" s="139">
        <f>Q231-P231</f>
        <v>127401.66399999999</v>
      </c>
      <c r="S231" s="140">
        <f>F231-Q231</f>
        <v>-1440.521</v>
      </c>
      <c r="T231" s="141"/>
      <c r="U231" s="139">
        <v>0</v>
      </c>
      <c r="V231" s="139">
        <v>0</v>
      </c>
      <c r="W231" s="139">
        <v>0</v>
      </c>
      <c r="X231" s="124" t="str">
        <f>VLOOKUP(A231,[1]Consolidado!$A:$W,23,FALSE)</f>
        <v>No información.</v>
      </c>
      <c r="Y231" s="122"/>
      <c r="Z231" s="89"/>
      <c r="AA231" s="9"/>
      <c r="AB231" s="89"/>
      <c r="AC231" s="93"/>
      <c r="AD231" s="93"/>
      <c r="AE231" s="94"/>
      <c r="AF231" s="94"/>
      <c r="AG231" s="94"/>
      <c r="AH231" s="94"/>
      <c r="AI231" s="94"/>
      <c r="AJ231" s="94"/>
    </row>
    <row r="232" spans="1:36" s="27" customFormat="1" ht="69" customHeight="1" x14ac:dyDescent="0.25">
      <c r="A232" s="132" t="s">
        <v>430</v>
      </c>
      <c r="B232" s="133" t="s">
        <v>327</v>
      </c>
      <c r="C232" s="134" t="s">
        <v>140</v>
      </c>
      <c r="D232" s="135" t="s">
        <v>143</v>
      </c>
      <c r="E232" s="136" t="s">
        <v>431</v>
      </c>
      <c r="F232" s="137">
        <v>342636.38299999997</v>
      </c>
      <c r="G232" s="138">
        <v>403349.50780000002</v>
      </c>
      <c r="H232" s="139"/>
      <c r="I232" s="139">
        <f>(SUM(G232:H232))</f>
        <v>403349.50780000002</v>
      </c>
      <c r="J232" s="139">
        <v>0</v>
      </c>
      <c r="K232" s="139">
        <f>L232+M232+N232+O232</f>
        <v>400557.35868</v>
      </c>
      <c r="L232" s="139">
        <v>0</v>
      </c>
      <c r="M232" s="139">
        <v>0</v>
      </c>
      <c r="N232" s="139">
        <v>384653.31479999999</v>
      </c>
      <c r="O232" s="139">
        <v>15904.043879999999</v>
      </c>
      <c r="P232" s="139">
        <f>K232+J232</f>
        <v>400557.35868</v>
      </c>
      <c r="Q232" s="139">
        <v>403349.50780000002</v>
      </c>
      <c r="R232" s="139">
        <f>Q232-P232</f>
        <v>2792.1491200000164</v>
      </c>
      <c r="S232" s="140">
        <f>F232-Q232</f>
        <v>-60713.124800000049</v>
      </c>
      <c r="T232" s="141"/>
      <c r="U232" s="139">
        <v>403349.50780000002</v>
      </c>
      <c r="V232" s="139">
        <v>0</v>
      </c>
      <c r="W232" s="139">
        <v>0</v>
      </c>
      <c r="X232" s="124" t="str">
        <f>VLOOKUP(A232,[1]Consolidado!$A:$W,23,FALSE)</f>
        <v>No información.</v>
      </c>
      <c r="Y232" s="122"/>
      <c r="Z232" s="89"/>
      <c r="AA232" s="9"/>
      <c r="AB232" s="89"/>
      <c r="AC232" s="93"/>
      <c r="AD232" s="93"/>
      <c r="AE232" s="94"/>
      <c r="AF232" s="94"/>
      <c r="AG232" s="94"/>
      <c r="AH232" s="94"/>
      <c r="AI232" s="94"/>
      <c r="AJ232" s="94"/>
    </row>
    <row r="233" spans="1:36" s="27" customFormat="1" ht="69" customHeight="1" x14ac:dyDescent="0.25">
      <c r="A233" s="132" t="s">
        <v>432</v>
      </c>
      <c r="B233" s="133" t="s">
        <v>327</v>
      </c>
      <c r="C233" s="134" t="s">
        <v>140</v>
      </c>
      <c r="D233" s="135" t="s">
        <v>181</v>
      </c>
      <c r="E233" s="136" t="s">
        <v>270</v>
      </c>
      <c r="F233" s="137">
        <v>120733.74099999999</v>
      </c>
      <c r="G233" s="138">
        <v>120734.016</v>
      </c>
      <c r="H233" s="139"/>
      <c r="I233" s="139">
        <f>(SUM(G233:H233))</f>
        <v>120734.016</v>
      </c>
      <c r="J233" s="139">
        <v>1132.749</v>
      </c>
      <c r="K233" s="139">
        <f>L233+M233+N233+O233</f>
        <v>143030.70600000001</v>
      </c>
      <c r="L233" s="139">
        <v>0</v>
      </c>
      <c r="M233" s="139">
        <v>0</v>
      </c>
      <c r="N233" s="139">
        <v>0</v>
      </c>
      <c r="O233" s="139">
        <v>143030.70600000001</v>
      </c>
      <c r="P233" s="139">
        <f>K233+J233</f>
        <v>144163.45500000002</v>
      </c>
      <c r="Q233" s="139">
        <v>121866.765</v>
      </c>
      <c r="R233" s="139">
        <f>Q233-P233</f>
        <v>-22296.690000000017</v>
      </c>
      <c r="S233" s="140">
        <f>F233-Q233</f>
        <v>-1133.0240000000049</v>
      </c>
      <c r="T233" s="141"/>
      <c r="U233" s="139">
        <v>120733.74099999999</v>
      </c>
      <c r="V233" s="139">
        <v>0</v>
      </c>
      <c r="W233" s="139">
        <v>-297378.85399999999</v>
      </c>
      <c r="X233" s="124" t="str">
        <f>VLOOKUP(A233,[1]Consolidado!$A:$W,23,FALSE)</f>
        <v>No información.</v>
      </c>
      <c r="Y233" s="122"/>
      <c r="Z233" s="89"/>
      <c r="AA233" s="9"/>
      <c r="AB233" s="89"/>
      <c r="AC233" s="93"/>
      <c r="AD233" s="93"/>
      <c r="AE233" s="94"/>
      <c r="AF233" s="94"/>
      <c r="AG233" s="94"/>
      <c r="AH233" s="94"/>
      <c r="AI233" s="94"/>
      <c r="AJ233" s="94"/>
    </row>
    <row r="234" spans="1:36" s="27" customFormat="1" ht="69" customHeight="1" x14ac:dyDescent="0.25">
      <c r="A234" s="132" t="s">
        <v>433</v>
      </c>
      <c r="B234" s="133" t="s">
        <v>327</v>
      </c>
      <c r="C234" s="134" t="s">
        <v>140</v>
      </c>
      <c r="D234" s="135" t="s">
        <v>143</v>
      </c>
      <c r="E234" s="136" t="s">
        <v>150</v>
      </c>
      <c r="F234" s="137">
        <v>0</v>
      </c>
      <c r="G234" s="138">
        <v>0</v>
      </c>
      <c r="H234" s="139"/>
      <c r="I234" s="139">
        <f>(SUM(G234:H234))</f>
        <v>0</v>
      </c>
      <c r="J234" s="139">
        <v>0</v>
      </c>
      <c r="K234" s="139">
        <f>L234+M234+N234+O234</f>
        <v>0</v>
      </c>
      <c r="L234" s="139">
        <v>0</v>
      </c>
      <c r="M234" s="139">
        <v>0</v>
      </c>
      <c r="N234" s="139">
        <v>0</v>
      </c>
      <c r="O234" s="139">
        <v>0</v>
      </c>
      <c r="P234" s="139">
        <f>K234+J234</f>
        <v>0</v>
      </c>
      <c r="Q234" s="139">
        <v>0</v>
      </c>
      <c r="R234" s="139">
        <f>Q234-P234</f>
        <v>0</v>
      </c>
      <c r="S234" s="140">
        <f>F234-Q234</f>
        <v>0</v>
      </c>
      <c r="T234" s="141"/>
      <c r="U234" s="139">
        <v>0</v>
      </c>
      <c r="V234" s="139">
        <v>0</v>
      </c>
      <c r="W234" s="139">
        <v>0</v>
      </c>
      <c r="X234" s="124" t="str">
        <f>VLOOKUP(A234,[1]Consolidado!$A:$W,23,FALSE)</f>
        <v>No información.</v>
      </c>
      <c r="Y234" s="122"/>
      <c r="Z234" s="89"/>
      <c r="AA234" s="9"/>
      <c r="AB234" s="89"/>
      <c r="AC234" s="93"/>
      <c r="AD234" s="93"/>
      <c r="AE234" s="94"/>
      <c r="AF234" s="94"/>
      <c r="AG234" s="94"/>
      <c r="AH234" s="94"/>
      <c r="AI234" s="94"/>
      <c r="AJ234" s="94"/>
    </row>
    <row r="235" spans="1:36" s="27" customFormat="1" ht="69" customHeight="1" x14ac:dyDescent="0.25">
      <c r="A235" s="132" t="s">
        <v>434</v>
      </c>
      <c r="B235" s="133" t="s">
        <v>327</v>
      </c>
      <c r="C235" s="134" t="s">
        <v>140</v>
      </c>
      <c r="D235" s="135" t="s">
        <v>264</v>
      </c>
      <c r="E235" s="136" t="s">
        <v>215</v>
      </c>
      <c r="F235" s="137">
        <v>0</v>
      </c>
      <c r="G235" s="138">
        <v>0</v>
      </c>
      <c r="H235" s="139"/>
      <c r="I235" s="139">
        <f>(SUM(G235:H235))</f>
        <v>0</v>
      </c>
      <c r="J235" s="139">
        <v>0</v>
      </c>
      <c r="K235" s="139">
        <f>L235+M235+N235+O235</f>
        <v>0</v>
      </c>
      <c r="L235" s="139">
        <v>0</v>
      </c>
      <c r="M235" s="139">
        <v>0</v>
      </c>
      <c r="N235" s="139">
        <v>0</v>
      </c>
      <c r="O235" s="139">
        <v>0</v>
      </c>
      <c r="P235" s="139">
        <f>K235+J235</f>
        <v>0</v>
      </c>
      <c r="Q235" s="139">
        <v>0</v>
      </c>
      <c r="R235" s="139">
        <f>Q235-P235</f>
        <v>0</v>
      </c>
      <c r="S235" s="140">
        <f>F235-Q235</f>
        <v>0</v>
      </c>
      <c r="T235" s="141"/>
      <c r="U235" s="139">
        <v>0</v>
      </c>
      <c r="V235" s="139">
        <v>0</v>
      </c>
      <c r="W235" s="139">
        <v>0</v>
      </c>
      <c r="X235" s="124" t="str">
        <f>VLOOKUP(A235,[1]Consolidado!$A:$W,23,FALSE)</f>
        <v>No información.</v>
      </c>
      <c r="Y235" s="122"/>
      <c r="Z235" s="89"/>
      <c r="AA235" s="9"/>
      <c r="AB235" s="89"/>
      <c r="AC235" s="93"/>
      <c r="AD235" s="93"/>
      <c r="AE235" s="94"/>
      <c r="AF235" s="94"/>
      <c r="AG235" s="94"/>
      <c r="AH235" s="94"/>
      <c r="AI235" s="94"/>
      <c r="AJ235" s="94"/>
    </row>
    <row r="236" spans="1:36" s="34" customFormat="1" ht="69" customHeight="1" x14ac:dyDescent="0.25">
      <c r="A236" s="132" t="s">
        <v>435</v>
      </c>
      <c r="B236" s="133" t="s">
        <v>327</v>
      </c>
      <c r="C236" s="134" t="s">
        <v>140</v>
      </c>
      <c r="D236" s="135" t="s">
        <v>136</v>
      </c>
      <c r="E236" s="136" t="s">
        <v>225</v>
      </c>
      <c r="F236" s="137">
        <v>0</v>
      </c>
      <c r="G236" s="138">
        <v>0</v>
      </c>
      <c r="H236" s="139"/>
      <c r="I236" s="139">
        <f>(SUM(G236:H236))</f>
        <v>0</v>
      </c>
      <c r="J236" s="139">
        <v>0</v>
      </c>
      <c r="K236" s="139">
        <f>L236+M236+N236+O236</f>
        <v>0</v>
      </c>
      <c r="L236" s="139">
        <v>0</v>
      </c>
      <c r="M236" s="139">
        <v>0</v>
      </c>
      <c r="N236" s="139">
        <v>0</v>
      </c>
      <c r="O236" s="139">
        <v>0</v>
      </c>
      <c r="P236" s="139">
        <f>K236+J236</f>
        <v>0</v>
      </c>
      <c r="Q236" s="139">
        <v>0</v>
      </c>
      <c r="R236" s="139">
        <f>Q236-P236</f>
        <v>0</v>
      </c>
      <c r="S236" s="140">
        <f>F236-Q236</f>
        <v>0</v>
      </c>
      <c r="T236" s="141"/>
      <c r="U236" s="139">
        <v>0</v>
      </c>
      <c r="V236" s="139">
        <v>0</v>
      </c>
      <c r="W236" s="139">
        <v>0</v>
      </c>
      <c r="X236" s="124" t="str">
        <f>VLOOKUP(A236,[1]Consolidado!$A:$W,23,FALSE)</f>
        <v>No información.</v>
      </c>
      <c r="Y236" s="122"/>
      <c r="Z236" s="89"/>
      <c r="AA236" s="9"/>
      <c r="AB236" s="89"/>
      <c r="AC236" s="95"/>
      <c r="AD236" s="95"/>
      <c r="AE236" s="96"/>
      <c r="AF236" s="96"/>
      <c r="AG236" s="96"/>
      <c r="AH236" s="96"/>
      <c r="AI236" s="96"/>
      <c r="AJ236" s="96"/>
    </row>
    <row r="237" spans="1:36" s="34" customFormat="1" ht="69" customHeight="1" x14ac:dyDescent="0.25">
      <c r="A237" s="132" t="s">
        <v>436</v>
      </c>
      <c r="B237" s="133" t="s">
        <v>327</v>
      </c>
      <c r="C237" s="134" t="s">
        <v>140</v>
      </c>
      <c r="D237" s="135" t="s">
        <v>111</v>
      </c>
      <c r="E237" s="136" t="s">
        <v>141</v>
      </c>
      <c r="F237" s="137">
        <v>0</v>
      </c>
      <c r="G237" s="138">
        <v>0</v>
      </c>
      <c r="H237" s="139"/>
      <c r="I237" s="139">
        <f>(SUM(G237:H237))</f>
        <v>0</v>
      </c>
      <c r="J237" s="139">
        <v>0</v>
      </c>
      <c r="K237" s="139">
        <f>L237+M237+N237+O237</f>
        <v>0</v>
      </c>
      <c r="L237" s="139">
        <v>0</v>
      </c>
      <c r="M237" s="139">
        <v>0</v>
      </c>
      <c r="N237" s="139">
        <v>0</v>
      </c>
      <c r="O237" s="139">
        <v>0</v>
      </c>
      <c r="P237" s="139">
        <f>K237+J237</f>
        <v>0</v>
      </c>
      <c r="Q237" s="139">
        <v>0</v>
      </c>
      <c r="R237" s="139">
        <f>Q237-P237</f>
        <v>0</v>
      </c>
      <c r="S237" s="140">
        <f>F237-Q237</f>
        <v>0</v>
      </c>
      <c r="T237" s="141"/>
      <c r="U237" s="139">
        <v>0</v>
      </c>
      <c r="V237" s="139">
        <v>0</v>
      </c>
      <c r="W237" s="139">
        <v>0</v>
      </c>
      <c r="X237" s="124" t="str">
        <f>VLOOKUP(A237,[1]Consolidado!$A:$W,23,FALSE)</f>
        <v>Proyecto no corresponde a Infraestructura Municipal</v>
      </c>
      <c r="Y237" s="122"/>
      <c r="Z237" s="89"/>
      <c r="AA237" s="9"/>
      <c r="AB237" s="89"/>
      <c r="AC237" s="95"/>
      <c r="AD237" s="95"/>
      <c r="AE237" s="96"/>
      <c r="AF237" s="96"/>
      <c r="AG237" s="96"/>
      <c r="AH237" s="96"/>
      <c r="AI237" s="96"/>
      <c r="AJ237" s="96"/>
    </row>
    <row r="238" spans="1:36" s="34" customFormat="1" ht="69" customHeight="1" x14ac:dyDescent="0.25">
      <c r="A238" s="132" t="s">
        <v>437</v>
      </c>
      <c r="B238" s="133" t="s">
        <v>327</v>
      </c>
      <c r="C238" s="134" t="s">
        <v>140</v>
      </c>
      <c r="D238" s="135" t="s">
        <v>181</v>
      </c>
      <c r="E238" s="136" t="s">
        <v>182</v>
      </c>
      <c r="F238" s="137">
        <v>0</v>
      </c>
      <c r="G238" s="138">
        <v>0</v>
      </c>
      <c r="H238" s="139"/>
      <c r="I238" s="139">
        <f>(SUM(G238:H238))</f>
        <v>0</v>
      </c>
      <c r="J238" s="139">
        <v>0</v>
      </c>
      <c r="K238" s="139">
        <f>L238+M238+N238+O238</f>
        <v>4.9000000000000004</v>
      </c>
      <c r="L238" s="139">
        <v>0</v>
      </c>
      <c r="M238" s="139">
        <v>0</v>
      </c>
      <c r="N238" s="139">
        <v>0</v>
      </c>
      <c r="O238" s="139">
        <v>4.9000000000000004</v>
      </c>
      <c r="P238" s="139">
        <f>K238+J238</f>
        <v>4.9000000000000004</v>
      </c>
      <c r="Q238" s="139">
        <v>0</v>
      </c>
      <c r="R238" s="139">
        <f>Q238-P238</f>
        <v>-4.9000000000000004</v>
      </c>
      <c r="S238" s="140">
        <f>F238-Q238</f>
        <v>0</v>
      </c>
      <c r="T238" s="141"/>
      <c r="U238" s="139">
        <v>0</v>
      </c>
      <c r="V238" s="139">
        <v>0</v>
      </c>
      <c r="W238" s="139">
        <v>0</v>
      </c>
      <c r="X238" s="124" t="str">
        <f>VLOOKUP(A238,[1]Consolidado!$A:$W,23,FALSE)</f>
        <v>No información.</v>
      </c>
      <c r="Y238" s="122"/>
      <c r="Z238" s="89"/>
      <c r="AA238" s="9"/>
      <c r="AB238" s="89"/>
      <c r="AC238" s="95"/>
      <c r="AD238" s="95"/>
      <c r="AE238" s="96"/>
      <c r="AF238" s="96"/>
      <c r="AG238" s="96"/>
      <c r="AH238" s="96"/>
      <c r="AI238" s="96"/>
      <c r="AJ238" s="96"/>
    </row>
    <row r="239" spans="1:36" s="34" customFormat="1" ht="69" customHeight="1" x14ac:dyDescent="0.25">
      <c r="A239" s="132" t="s">
        <v>438</v>
      </c>
      <c r="B239" s="133" t="s">
        <v>327</v>
      </c>
      <c r="C239" s="134" t="s">
        <v>140</v>
      </c>
      <c r="D239" s="135" t="s">
        <v>264</v>
      </c>
      <c r="E239" s="136" t="s">
        <v>215</v>
      </c>
      <c r="F239" s="137">
        <v>0</v>
      </c>
      <c r="G239" s="138">
        <v>0</v>
      </c>
      <c r="H239" s="139"/>
      <c r="I239" s="139">
        <f>(SUM(G239:H239))</f>
        <v>0</v>
      </c>
      <c r="J239" s="139">
        <v>0</v>
      </c>
      <c r="K239" s="139">
        <f>L239+M239+N239+O239</f>
        <v>1.55</v>
      </c>
      <c r="L239" s="139">
        <v>0</v>
      </c>
      <c r="M239" s="139">
        <v>0</v>
      </c>
      <c r="N239" s="139">
        <v>0</v>
      </c>
      <c r="O239" s="139">
        <v>1.55</v>
      </c>
      <c r="P239" s="139">
        <f>K239+J239</f>
        <v>1.55</v>
      </c>
      <c r="Q239" s="139">
        <v>0</v>
      </c>
      <c r="R239" s="139">
        <f>Q239-P239</f>
        <v>-1.55</v>
      </c>
      <c r="S239" s="140">
        <f>F239-Q239</f>
        <v>0</v>
      </c>
      <c r="T239" s="141"/>
      <c r="U239" s="139">
        <v>0</v>
      </c>
      <c r="V239" s="139">
        <v>0</v>
      </c>
      <c r="W239" s="139">
        <v>0</v>
      </c>
      <c r="X239" s="124" t="str">
        <f>VLOOKUP(A239,[1]Consolidado!$A:$W,23,FALSE)</f>
        <v>No información.</v>
      </c>
      <c r="Y239" s="122"/>
      <c r="Z239" s="89"/>
      <c r="AA239" s="9"/>
      <c r="AB239" s="89"/>
      <c r="AC239" s="95"/>
      <c r="AD239" s="95"/>
      <c r="AE239" s="96"/>
      <c r="AF239" s="96"/>
      <c r="AG239" s="96"/>
      <c r="AH239" s="96"/>
      <c r="AI239" s="96"/>
      <c r="AJ239" s="96"/>
    </row>
    <row r="240" spans="1:36" s="34" customFormat="1" ht="69" customHeight="1" x14ac:dyDescent="0.25">
      <c r="A240" s="132" t="s">
        <v>439</v>
      </c>
      <c r="B240" s="133" t="s">
        <v>327</v>
      </c>
      <c r="C240" s="134" t="s">
        <v>140</v>
      </c>
      <c r="D240" s="135" t="s">
        <v>181</v>
      </c>
      <c r="E240" s="136" t="s">
        <v>182</v>
      </c>
      <c r="F240" s="137">
        <v>0</v>
      </c>
      <c r="G240" s="138">
        <v>0</v>
      </c>
      <c r="H240" s="139"/>
      <c r="I240" s="139">
        <f>(SUM(G240:H240))</f>
        <v>0</v>
      </c>
      <c r="J240" s="139">
        <v>0</v>
      </c>
      <c r="K240" s="139">
        <f>L240+M240+N240+O240</f>
        <v>1.55</v>
      </c>
      <c r="L240" s="139">
        <v>0</v>
      </c>
      <c r="M240" s="139">
        <v>0</v>
      </c>
      <c r="N240" s="139">
        <v>0</v>
      </c>
      <c r="O240" s="139">
        <v>1.55</v>
      </c>
      <c r="P240" s="139">
        <f>K240+J240</f>
        <v>1.55</v>
      </c>
      <c r="Q240" s="139">
        <v>0</v>
      </c>
      <c r="R240" s="139">
        <f>Q240-P240</f>
        <v>-1.55</v>
      </c>
      <c r="S240" s="140">
        <f>F240-Q240</f>
        <v>0</v>
      </c>
      <c r="T240" s="141"/>
      <c r="U240" s="139">
        <v>0</v>
      </c>
      <c r="V240" s="139">
        <v>0</v>
      </c>
      <c r="W240" s="139">
        <v>0</v>
      </c>
      <c r="X240" s="124" t="str">
        <f>VLOOKUP(A240,[1]Consolidado!$A:$W,23,FALSE)</f>
        <v>No información.</v>
      </c>
      <c r="Y240" s="122"/>
      <c r="Z240" s="89"/>
      <c r="AA240" s="9"/>
      <c r="AB240" s="89"/>
      <c r="AC240" s="95"/>
      <c r="AD240" s="95"/>
      <c r="AE240" s="96"/>
      <c r="AF240" s="96"/>
      <c r="AG240" s="96"/>
      <c r="AH240" s="96"/>
      <c r="AI240" s="96"/>
      <c r="AJ240" s="96"/>
    </row>
    <row r="241" spans="1:36" s="34" customFormat="1" ht="69" customHeight="1" x14ac:dyDescent="0.25">
      <c r="A241" s="132" t="s">
        <v>440</v>
      </c>
      <c r="B241" s="133" t="s">
        <v>327</v>
      </c>
      <c r="C241" s="134" t="s">
        <v>140</v>
      </c>
      <c r="D241" s="135" t="s">
        <v>264</v>
      </c>
      <c r="E241" s="136" t="s">
        <v>215</v>
      </c>
      <c r="F241" s="137">
        <v>0</v>
      </c>
      <c r="G241" s="138">
        <v>0</v>
      </c>
      <c r="H241" s="139"/>
      <c r="I241" s="139">
        <f>(SUM(G241:H241))</f>
        <v>0</v>
      </c>
      <c r="J241" s="139">
        <v>0</v>
      </c>
      <c r="K241" s="139">
        <f>L241+M241+N241+O241</f>
        <v>0</v>
      </c>
      <c r="L241" s="139">
        <v>0</v>
      </c>
      <c r="M241" s="139">
        <v>0</v>
      </c>
      <c r="N241" s="139">
        <v>0</v>
      </c>
      <c r="O241" s="139">
        <v>0</v>
      </c>
      <c r="P241" s="139">
        <f>K241+J241</f>
        <v>0</v>
      </c>
      <c r="Q241" s="139">
        <v>0</v>
      </c>
      <c r="R241" s="139">
        <f>Q241-P241</f>
        <v>0</v>
      </c>
      <c r="S241" s="140">
        <f>F241-Q241</f>
        <v>0</v>
      </c>
      <c r="T241" s="141"/>
      <c r="U241" s="139">
        <v>0</v>
      </c>
      <c r="V241" s="139">
        <v>0</v>
      </c>
      <c r="W241" s="139">
        <v>0</v>
      </c>
      <c r="X241" s="124" t="str">
        <f>VLOOKUP(A241,[1]Consolidado!$A:$W,23,FALSE)</f>
        <v>No información.</v>
      </c>
      <c r="Y241" s="122"/>
      <c r="Z241" s="89"/>
      <c r="AA241" s="9"/>
      <c r="AB241" s="89"/>
      <c r="AC241" s="95"/>
      <c r="AD241" s="95"/>
      <c r="AE241" s="96"/>
      <c r="AF241" s="96"/>
      <c r="AG241" s="96"/>
      <c r="AH241" s="96"/>
      <c r="AI241" s="96"/>
      <c r="AJ241" s="96"/>
    </row>
    <row r="242" spans="1:36" s="21" customFormat="1" ht="46.5" x14ac:dyDescent="0.25">
      <c r="A242" s="132" t="s">
        <v>441</v>
      </c>
      <c r="B242" s="133" t="s">
        <v>327</v>
      </c>
      <c r="C242" s="134" t="s">
        <v>140</v>
      </c>
      <c r="D242" s="135" t="s">
        <v>264</v>
      </c>
      <c r="E242" s="136" t="s">
        <v>215</v>
      </c>
      <c r="F242" s="137">
        <v>0</v>
      </c>
      <c r="G242" s="138">
        <v>0</v>
      </c>
      <c r="H242" s="139"/>
      <c r="I242" s="139">
        <f>(SUM(G242:H242))</f>
        <v>0</v>
      </c>
      <c r="J242" s="139">
        <v>0</v>
      </c>
      <c r="K242" s="139">
        <f>L242+M242+N242+O242</f>
        <v>186.43</v>
      </c>
      <c r="L242" s="139">
        <v>0</v>
      </c>
      <c r="M242" s="139">
        <v>0</v>
      </c>
      <c r="N242" s="139">
        <v>0</v>
      </c>
      <c r="O242" s="139">
        <v>186.43</v>
      </c>
      <c r="P242" s="139">
        <f>K242+J242</f>
        <v>186.43</v>
      </c>
      <c r="Q242" s="139">
        <v>0</v>
      </c>
      <c r="R242" s="139">
        <f>Q242-P242</f>
        <v>-186.43</v>
      </c>
      <c r="S242" s="140">
        <f>F242-Q242</f>
        <v>0</v>
      </c>
      <c r="T242" s="141"/>
      <c r="U242" s="139">
        <v>0</v>
      </c>
      <c r="V242" s="139">
        <v>0</v>
      </c>
      <c r="W242" s="139">
        <v>0</v>
      </c>
      <c r="X242" s="124" t="str">
        <f>VLOOKUP(A242,[1]Consolidado!$A:$W,23,FALSE)</f>
        <v>No información.</v>
      </c>
      <c r="Y242" s="122"/>
      <c r="Z242" s="89"/>
      <c r="AA242" s="9"/>
      <c r="AB242" s="89"/>
      <c r="AC242" s="89"/>
      <c r="AD242" s="89"/>
      <c r="AE242" s="32"/>
      <c r="AF242" s="32"/>
      <c r="AG242" s="32"/>
      <c r="AH242" s="32"/>
      <c r="AI242" s="32"/>
      <c r="AJ242" s="32"/>
    </row>
    <row r="243" spans="1:36" s="21" customFormat="1" ht="55.5" x14ac:dyDescent="0.25">
      <c r="A243" s="132" t="s">
        <v>442</v>
      </c>
      <c r="B243" s="151" t="s">
        <v>327</v>
      </c>
      <c r="C243" s="134" t="s">
        <v>140</v>
      </c>
      <c r="D243" s="134" t="s">
        <v>181</v>
      </c>
      <c r="E243" s="151" t="s">
        <v>182</v>
      </c>
      <c r="F243" s="137">
        <v>0</v>
      </c>
      <c r="G243" s="138">
        <v>968.86500000000001</v>
      </c>
      <c r="H243" s="139"/>
      <c r="I243" s="139">
        <f>(SUM(G243:H243))</f>
        <v>968.86500000000001</v>
      </c>
      <c r="J243" s="139">
        <v>0</v>
      </c>
      <c r="K243" s="139">
        <f>L243+M243+N243+O243</f>
        <v>33342.403999999995</v>
      </c>
      <c r="L243" s="139">
        <v>8142</v>
      </c>
      <c r="M243" s="139">
        <v>0</v>
      </c>
      <c r="N243" s="139">
        <v>0</v>
      </c>
      <c r="O243" s="139">
        <v>25200.403999999999</v>
      </c>
      <c r="P243" s="139">
        <f>K243+J243</f>
        <v>33342.403999999995</v>
      </c>
      <c r="Q243" s="139">
        <v>968.86500000000001</v>
      </c>
      <c r="R243" s="139">
        <f>Q243-P243</f>
        <v>-32373.538999999993</v>
      </c>
      <c r="S243" s="140">
        <f>F243-Q243</f>
        <v>-968.86500000000001</v>
      </c>
      <c r="T243" s="139"/>
      <c r="U243" s="139">
        <v>0</v>
      </c>
      <c r="V243" s="139">
        <v>0</v>
      </c>
      <c r="W243" s="139">
        <v>0</v>
      </c>
      <c r="X243" s="124" t="str">
        <f>VLOOKUP(A243,[1]Consolidado!$A:$W,23,FALSE)</f>
        <v>No información.</v>
      </c>
      <c r="Y243" s="123"/>
      <c r="Z243" s="89"/>
      <c r="AA243" s="9"/>
      <c r="AB243" s="89"/>
      <c r="AC243" s="89"/>
      <c r="AD243" s="89"/>
      <c r="AE243" s="32"/>
      <c r="AF243" s="32"/>
      <c r="AG243" s="32"/>
      <c r="AH243" s="32"/>
      <c r="AI243" s="32"/>
      <c r="AJ243" s="32"/>
    </row>
    <row r="244" spans="1:36" s="21" customFormat="1" ht="55.5" x14ac:dyDescent="0.25">
      <c r="A244" s="132" t="s">
        <v>443</v>
      </c>
      <c r="B244" s="151" t="s">
        <v>327</v>
      </c>
      <c r="C244" s="134" t="s">
        <v>140</v>
      </c>
      <c r="D244" s="134" t="s">
        <v>143</v>
      </c>
      <c r="E244" s="151" t="s">
        <v>200</v>
      </c>
      <c r="F244" s="137">
        <v>85903.592000000004</v>
      </c>
      <c r="G244" s="138">
        <v>105903.59224</v>
      </c>
      <c r="H244" s="139"/>
      <c r="I244" s="139">
        <f>(SUM(G244:H244))</f>
        <v>105903.59224</v>
      </c>
      <c r="J244" s="139">
        <v>0</v>
      </c>
      <c r="K244" s="139">
        <f>L244+M244+N244+O244</f>
        <v>95808.294662</v>
      </c>
      <c r="L244" s="139">
        <v>61587.906072000005</v>
      </c>
      <c r="M244" s="139">
        <v>0</v>
      </c>
      <c r="N244" s="139">
        <v>26916.52</v>
      </c>
      <c r="O244" s="139">
        <v>7303.86859</v>
      </c>
      <c r="P244" s="139">
        <f>K244+J244</f>
        <v>95808.294662</v>
      </c>
      <c r="Q244" s="139">
        <v>105903.59224</v>
      </c>
      <c r="R244" s="139">
        <f>Q244-P244</f>
        <v>10095.297577999998</v>
      </c>
      <c r="S244" s="140">
        <f>F244-Q244</f>
        <v>-20000.000239999994</v>
      </c>
      <c r="T244" s="139"/>
      <c r="U244" s="139">
        <v>85903.592000000004</v>
      </c>
      <c r="V244" s="139">
        <v>20000.000239999998</v>
      </c>
      <c r="W244" s="139">
        <v>0</v>
      </c>
      <c r="X244" s="124" t="str">
        <f>VLOOKUP(A244,[1]Consolidado!$A:$W,23,FALSE)</f>
        <v>No información.</v>
      </c>
      <c r="Y244" s="123"/>
      <c r="Z244" s="89"/>
      <c r="AA244" s="9"/>
      <c r="AB244" s="89"/>
      <c r="AC244" s="89"/>
      <c r="AD244" s="89"/>
      <c r="AE244" s="32"/>
      <c r="AF244" s="32"/>
      <c r="AG244" s="32"/>
      <c r="AH244" s="32"/>
      <c r="AI244" s="32"/>
      <c r="AJ244" s="32"/>
    </row>
    <row r="245" spans="1:36" s="21" customFormat="1" ht="60.75" x14ac:dyDescent="0.25">
      <c r="A245" s="132" t="s">
        <v>444</v>
      </c>
      <c r="B245" s="151" t="s">
        <v>327</v>
      </c>
      <c r="C245" s="134" t="s">
        <v>140</v>
      </c>
      <c r="D245" s="134" t="s">
        <v>181</v>
      </c>
      <c r="E245" s="151" t="s">
        <v>409</v>
      </c>
      <c r="F245" s="137">
        <v>33408.372000000003</v>
      </c>
      <c r="G245" s="138">
        <v>33408.372000000003</v>
      </c>
      <c r="H245" s="139"/>
      <c r="I245" s="139">
        <f>(SUM(G245:H245))</f>
        <v>33408.372000000003</v>
      </c>
      <c r="J245" s="139">
        <v>0</v>
      </c>
      <c r="K245" s="139">
        <f>L245+M245+N245+O245</f>
        <v>24181.279699999999</v>
      </c>
      <c r="L245" s="139">
        <v>0</v>
      </c>
      <c r="M245" s="139">
        <v>0</v>
      </c>
      <c r="N245" s="139">
        <v>24181.279699999999</v>
      </c>
      <c r="O245" s="139">
        <v>0</v>
      </c>
      <c r="P245" s="139">
        <f>K245+J245</f>
        <v>24181.279699999999</v>
      </c>
      <c r="Q245" s="139">
        <v>33408.372000000003</v>
      </c>
      <c r="R245" s="139">
        <f>Q245-P245</f>
        <v>9227.0923000000039</v>
      </c>
      <c r="S245" s="140">
        <f>F245-Q245</f>
        <v>0</v>
      </c>
      <c r="T245" s="139"/>
      <c r="U245" s="139">
        <v>33408.372000000003</v>
      </c>
      <c r="V245" s="139">
        <v>0</v>
      </c>
      <c r="W245" s="139">
        <v>0</v>
      </c>
      <c r="X245" s="124" t="str">
        <f>VLOOKUP(A245,[1]Consolidado!$A:$W,23,FALSE)</f>
        <v>No información.</v>
      </c>
      <c r="Y245" s="123"/>
      <c r="Z245" s="89"/>
      <c r="AA245" s="9"/>
      <c r="AB245" s="89"/>
      <c r="AC245" s="89"/>
      <c r="AD245" s="89"/>
      <c r="AE245" s="32"/>
      <c r="AF245" s="32"/>
      <c r="AG245" s="32"/>
      <c r="AH245" s="32"/>
      <c r="AI245" s="32"/>
      <c r="AJ245" s="32"/>
    </row>
    <row r="246" spans="1:36" s="21" customFormat="1" ht="60.75" x14ac:dyDescent="0.25">
      <c r="A246" s="132" t="s">
        <v>445</v>
      </c>
      <c r="B246" s="151" t="s">
        <v>327</v>
      </c>
      <c r="C246" s="134" t="s">
        <v>140</v>
      </c>
      <c r="D246" s="134" t="s">
        <v>111</v>
      </c>
      <c r="E246" s="151" t="s">
        <v>141</v>
      </c>
      <c r="F246" s="137">
        <v>0</v>
      </c>
      <c r="G246" s="138">
        <v>0</v>
      </c>
      <c r="H246" s="139"/>
      <c r="I246" s="139">
        <f>(SUM(G246:H246))</f>
        <v>0</v>
      </c>
      <c r="J246" s="139">
        <v>0</v>
      </c>
      <c r="K246" s="139">
        <f>L246+M246+N246+O246</f>
        <v>14182.1649672</v>
      </c>
      <c r="L246" s="139">
        <v>6472.3729672000009</v>
      </c>
      <c r="M246" s="139">
        <v>0</v>
      </c>
      <c r="N246" s="139">
        <v>7500</v>
      </c>
      <c r="O246" s="139">
        <v>209.792</v>
      </c>
      <c r="P246" s="139">
        <f>K246+J246</f>
        <v>14182.1649672</v>
      </c>
      <c r="Q246" s="139">
        <v>0</v>
      </c>
      <c r="R246" s="139">
        <f>Q246-P246</f>
        <v>-14182.1649672</v>
      </c>
      <c r="S246" s="140">
        <f>F246-Q246</f>
        <v>0</v>
      </c>
      <c r="T246" s="139"/>
      <c r="U246" s="139">
        <v>0</v>
      </c>
      <c r="V246" s="139">
        <v>542290.06999999995</v>
      </c>
      <c r="W246" s="139">
        <v>0</v>
      </c>
      <c r="X246" s="124" t="str">
        <f>VLOOKUP(A246,[1]Consolidado!$A:$W,23,FALSE)</f>
        <v>Proyecto en revisión para evitar no cumplimiento por parte del cliente</v>
      </c>
      <c r="Y246" s="123"/>
      <c r="Z246" s="89"/>
      <c r="AA246" s="9"/>
      <c r="AB246" s="89"/>
      <c r="AC246" s="89"/>
      <c r="AD246" s="89"/>
      <c r="AE246" s="32"/>
      <c r="AF246" s="32"/>
      <c r="AG246" s="32"/>
      <c r="AH246" s="32"/>
      <c r="AI246" s="32"/>
      <c r="AJ246" s="32"/>
    </row>
    <row r="247" spans="1:36" s="21" customFormat="1" ht="64.5" x14ac:dyDescent="0.25">
      <c r="A247" s="132" t="s">
        <v>446</v>
      </c>
      <c r="B247" s="151" t="s">
        <v>327</v>
      </c>
      <c r="C247" s="134" t="s">
        <v>110</v>
      </c>
      <c r="D247" s="134" t="s">
        <v>111</v>
      </c>
      <c r="E247" s="151" t="s">
        <v>112</v>
      </c>
      <c r="F247" s="137">
        <v>855000</v>
      </c>
      <c r="G247" s="138">
        <v>0</v>
      </c>
      <c r="H247" s="139"/>
      <c r="I247" s="139">
        <f>(SUM(G247:H247))</f>
        <v>0</v>
      </c>
      <c r="J247" s="139">
        <v>0</v>
      </c>
      <c r="K247" s="139">
        <f>L247+M247+N247+O247</f>
        <v>9313.9618750000009</v>
      </c>
      <c r="L247" s="139">
        <v>8654.4758750000001</v>
      </c>
      <c r="M247" s="139">
        <v>0</v>
      </c>
      <c r="N247" s="139">
        <v>0</v>
      </c>
      <c r="O247" s="139">
        <v>659.48599999999999</v>
      </c>
      <c r="P247" s="139">
        <f>K247+J247</f>
        <v>9313.9618750000009</v>
      </c>
      <c r="Q247" s="139">
        <v>0</v>
      </c>
      <c r="R247" s="139">
        <f>Q247-P247</f>
        <v>-9313.9618750000009</v>
      </c>
      <c r="S247" s="140">
        <f>F247-Q247</f>
        <v>855000</v>
      </c>
      <c r="T247" s="139"/>
      <c r="U247" s="139">
        <v>0</v>
      </c>
      <c r="V247" s="139">
        <v>0</v>
      </c>
      <c r="W247" s="139">
        <v>0</v>
      </c>
      <c r="X247" s="124" t="str">
        <f>VLOOKUP(A247,[1]Consolidado!$A:$W,23,FALSE)</f>
        <v>OK</v>
      </c>
      <c r="Y247" s="123"/>
      <c r="Z247" s="89"/>
      <c r="AA247" s="9"/>
      <c r="AB247" s="89"/>
      <c r="AC247" s="89"/>
      <c r="AD247" s="89"/>
      <c r="AE247" s="32"/>
      <c r="AF247" s="32"/>
      <c r="AG247" s="32"/>
      <c r="AH247" s="32"/>
      <c r="AI247" s="32"/>
      <c r="AJ247" s="32"/>
    </row>
    <row r="248" spans="1:36" s="21" customFormat="1" ht="59.25" x14ac:dyDescent="0.25">
      <c r="A248" s="132" t="s">
        <v>447</v>
      </c>
      <c r="B248" s="151" t="s">
        <v>327</v>
      </c>
      <c r="C248" s="134" t="s">
        <v>147</v>
      </c>
      <c r="D248" s="134" t="s">
        <v>143</v>
      </c>
      <c r="E248" s="151" t="s">
        <v>174</v>
      </c>
      <c r="F248" s="137">
        <v>192693.72899999999</v>
      </c>
      <c r="G248" s="138">
        <v>181313.90299999999</v>
      </c>
      <c r="H248" s="139"/>
      <c r="I248" s="139">
        <f>(SUM(G248:H248))</f>
        <v>181313.90299999999</v>
      </c>
      <c r="J248" s="139">
        <v>2484.482</v>
      </c>
      <c r="K248" s="139">
        <f>L248+M248+N248+O248</f>
        <v>173209.292625</v>
      </c>
      <c r="L248" s="139">
        <v>102571.45359999999</v>
      </c>
      <c r="M248" s="139">
        <v>35798.752865000002</v>
      </c>
      <c r="N248" s="139">
        <v>7456</v>
      </c>
      <c r="O248" s="139">
        <v>27383.086159999999</v>
      </c>
      <c r="P248" s="139">
        <f>K248+J248</f>
        <v>175693.77462499999</v>
      </c>
      <c r="Q248" s="139">
        <v>183798.38499999998</v>
      </c>
      <c r="R248" s="139">
        <f>Q248-P248</f>
        <v>8104.6103749999893</v>
      </c>
      <c r="S248" s="140">
        <f>F248-Q248</f>
        <v>8895.3440000000119</v>
      </c>
      <c r="T248" s="139"/>
      <c r="U248" s="139">
        <v>152220.26699999999</v>
      </c>
      <c r="V248" s="139">
        <v>29093.635999999999</v>
      </c>
      <c r="W248" s="139">
        <v>65071.985999999997</v>
      </c>
      <c r="X248" s="124" t="str">
        <f>VLOOKUP(A248,[1]Consolidado!$A:$W,23,FALSE)</f>
        <v>Cliente con problemas de liquidez.  60MCOP fin de Jun. Saldo 65MCOP aún no se ha programado.</v>
      </c>
      <c r="Y248" s="123"/>
      <c r="Z248" s="89"/>
      <c r="AA248" s="9"/>
      <c r="AB248" s="89"/>
      <c r="AC248" s="89"/>
      <c r="AD248" s="89"/>
      <c r="AE248" s="32"/>
      <c r="AF248" s="32"/>
      <c r="AG248" s="32"/>
      <c r="AH248" s="32"/>
      <c r="AI248" s="32"/>
      <c r="AJ248" s="32"/>
    </row>
    <row r="249" spans="1:36" s="21" customFormat="1" ht="60" x14ac:dyDescent="0.25">
      <c r="A249" s="132" t="s">
        <v>448</v>
      </c>
      <c r="B249" s="151" t="s">
        <v>327</v>
      </c>
      <c r="C249" s="134" t="s">
        <v>110</v>
      </c>
      <c r="D249" s="134" t="s">
        <v>143</v>
      </c>
      <c r="E249" s="151" t="s">
        <v>198</v>
      </c>
      <c r="F249" s="137">
        <v>2156.3710000000001</v>
      </c>
      <c r="G249" s="138">
        <v>2156.3718699999999</v>
      </c>
      <c r="H249" s="139"/>
      <c r="I249" s="139">
        <f>(SUM(G249:H249))</f>
        <v>2156.3718699999999</v>
      </c>
      <c r="J249" s="139">
        <v>0</v>
      </c>
      <c r="K249" s="139">
        <f>L249+M249+N249+O249</f>
        <v>2049.326325</v>
      </c>
      <c r="L249" s="139">
        <v>1783.826325</v>
      </c>
      <c r="M249" s="139">
        <v>0</v>
      </c>
      <c r="N249" s="139">
        <v>0</v>
      </c>
      <c r="O249" s="139">
        <v>265.5</v>
      </c>
      <c r="P249" s="139">
        <f>K249+J249</f>
        <v>2049.326325</v>
      </c>
      <c r="Q249" s="139">
        <v>2156.3718699999999</v>
      </c>
      <c r="R249" s="139">
        <f>Q249-P249</f>
        <v>107.04554499999995</v>
      </c>
      <c r="S249" s="140">
        <f>F249-Q249</f>
        <v>-8.6999999984982423E-4</v>
      </c>
      <c r="T249" s="139"/>
      <c r="U249" s="139">
        <v>2156.3718699999999</v>
      </c>
      <c r="V249" s="139">
        <v>-1.3000000000000002E-4</v>
      </c>
      <c r="W249" s="139">
        <v>0</v>
      </c>
      <c r="X249" s="124" t="str">
        <f>VLOOKUP(A249,[1]Consolidado!$A:$W,23,FALSE)</f>
        <v>El proyecto ya finalizó.</v>
      </c>
      <c r="Y249" s="123"/>
      <c r="Z249" s="89"/>
      <c r="AA249" s="9"/>
      <c r="AB249" s="89"/>
      <c r="AC249" s="89"/>
      <c r="AD249" s="89"/>
      <c r="AE249" s="32"/>
      <c r="AF249" s="32"/>
      <c r="AG249" s="32"/>
      <c r="AH249" s="32"/>
      <c r="AI249" s="32"/>
      <c r="AJ249" s="32"/>
    </row>
    <row r="250" spans="1:36" s="21" customFormat="1" ht="58.5" x14ac:dyDescent="0.25">
      <c r="A250" s="132" t="s">
        <v>449</v>
      </c>
      <c r="B250" s="151" t="s">
        <v>327</v>
      </c>
      <c r="C250" s="134" t="s">
        <v>147</v>
      </c>
      <c r="D250" s="134" t="s">
        <v>374</v>
      </c>
      <c r="E250" s="151" t="s">
        <v>404</v>
      </c>
      <c r="F250" s="137">
        <v>32900</v>
      </c>
      <c r="G250" s="138">
        <v>20532.473000000002</v>
      </c>
      <c r="H250" s="139"/>
      <c r="I250" s="139">
        <f>(SUM(G250:H250))</f>
        <v>20532.473000000002</v>
      </c>
      <c r="J250" s="139">
        <v>-4375.1675000000005</v>
      </c>
      <c r="K250" s="139">
        <f>L250+M250+N250+O250</f>
        <v>0</v>
      </c>
      <c r="L250" s="139">
        <v>0</v>
      </c>
      <c r="M250" s="139">
        <v>0</v>
      </c>
      <c r="N250" s="139">
        <v>0</v>
      </c>
      <c r="O250" s="139">
        <v>0</v>
      </c>
      <c r="P250" s="139">
        <f>K250+J250</f>
        <v>-4375.1675000000005</v>
      </c>
      <c r="Q250" s="139">
        <v>16157.305500000002</v>
      </c>
      <c r="R250" s="139">
        <f>Q250-P250</f>
        <v>20532.473000000002</v>
      </c>
      <c r="S250" s="140">
        <f>F250-Q250</f>
        <v>16742.694499999998</v>
      </c>
      <c r="T250" s="139"/>
      <c r="U250" s="139">
        <v>25948.083910000001</v>
      </c>
      <c r="V250" s="139">
        <v>-5415.6109100000003</v>
      </c>
      <c r="W250" s="139">
        <v>0</v>
      </c>
      <c r="X250" s="124" t="str">
        <f>VLOOKUP(A250,[1]Consolidado!$A:$W,23,FALSE)</f>
        <v>Se debe ajustar el Vr. Autorizado a 25,9 MCOP, ya se facturó el total del contrato.</v>
      </c>
      <c r="Y250" s="123"/>
      <c r="Z250" s="89"/>
      <c r="AA250" s="9"/>
      <c r="AB250" s="89"/>
      <c r="AC250" s="89"/>
      <c r="AD250" s="89"/>
      <c r="AE250" s="32"/>
      <c r="AF250" s="32"/>
      <c r="AG250" s="32"/>
      <c r="AH250" s="32"/>
      <c r="AI250" s="32"/>
      <c r="AJ250" s="32"/>
    </row>
    <row r="251" spans="1:36" s="21" customFormat="1" ht="66" x14ac:dyDescent="0.25">
      <c r="A251" s="132" t="s">
        <v>450</v>
      </c>
      <c r="B251" s="151">
        <v>100</v>
      </c>
      <c r="C251" s="134" t="s">
        <v>135</v>
      </c>
      <c r="D251" s="134" t="s">
        <v>136</v>
      </c>
      <c r="E251" s="151" t="s">
        <v>244</v>
      </c>
      <c r="F251" s="137">
        <v>0</v>
      </c>
      <c r="G251" s="138">
        <v>0</v>
      </c>
      <c r="H251" s="139"/>
      <c r="I251" s="139">
        <f>(SUM(G251:H251))</f>
        <v>0</v>
      </c>
      <c r="J251" s="139">
        <v>0</v>
      </c>
      <c r="K251" s="139">
        <f>L251+M251+N251+O251</f>
        <v>417.3</v>
      </c>
      <c r="L251" s="139">
        <v>0</v>
      </c>
      <c r="M251" s="139">
        <v>0</v>
      </c>
      <c r="N251" s="139">
        <v>0</v>
      </c>
      <c r="O251" s="139">
        <v>417.3</v>
      </c>
      <c r="P251" s="139">
        <f>K251+J251</f>
        <v>417.3</v>
      </c>
      <c r="Q251" s="139">
        <v>0</v>
      </c>
      <c r="R251" s="139">
        <f>Q251-P251</f>
        <v>-417.3</v>
      </c>
      <c r="S251" s="140">
        <f>F251-Q251</f>
        <v>0</v>
      </c>
      <c r="T251" s="139"/>
      <c r="U251" s="139">
        <v>0</v>
      </c>
      <c r="V251" s="139">
        <v>0</v>
      </c>
      <c r="W251" s="139">
        <v>0</v>
      </c>
      <c r="X251" s="124" t="e">
        <f>VLOOKUP(A251,[1]Consolidado!$A:$W,23,FALSE)</f>
        <v>#N/A</v>
      </c>
      <c r="Y251" s="123"/>
      <c r="Z251" s="89"/>
      <c r="AA251" s="9"/>
      <c r="AB251" s="89"/>
      <c r="AC251" s="89"/>
      <c r="AD251" s="89"/>
      <c r="AE251" s="32"/>
      <c r="AF251" s="32"/>
      <c r="AG251" s="32"/>
      <c r="AH251" s="32"/>
      <c r="AI251" s="32"/>
      <c r="AJ251" s="32"/>
    </row>
    <row r="252" spans="1:36" s="21" customFormat="1" ht="65.25" x14ac:dyDescent="0.25">
      <c r="A252" s="132" t="s">
        <v>451</v>
      </c>
      <c r="B252" s="151">
        <v>100</v>
      </c>
      <c r="C252" s="134" t="s">
        <v>147</v>
      </c>
      <c r="D252" s="134" t="s">
        <v>143</v>
      </c>
      <c r="E252" s="151" t="s">
        <v>164</v>
      </c>
      <c r="F252" s="137">
        <v>0</v>
      </c>
      <c r="G252" s="138">
        <v>0</v>
      </c>
      <c r="H252" s="139"/>
      <c r="I252" s="139">
        <f>(SUM(G252:H252))</f>
        <v>0</v>
      </c>
      <c r="J252" s="139">
        <v>0</v>
      </c>
      <c r="K252" s="139">
        <f>L252+M252+N252+O252</f>
        <v>6628</v>
      </c>
      <c r="L252" s="139">
        <v>0</v>
      </c>
      <c r="M252" s="139">
        <v>0</v>
      </c>
      <c r="N252" s="139">
        <v>0</v>
      </c>
      <c r="O252" s="139">
        <v>6628</v>
      </c>
      <c r="P252" s="139">
        <f>K252+J252</f>
        <v>6628</v>
      </c>
      <c r="Q252" s="139">
        <v>0</v>
      </c>
      <c r="R252" s="139">
        <f>Q252-P252</f>
        <v>-6628</v>
      </c>
      <c r="S252" s="140">
        <f>F252-Q252</f>
        <v>0</v>
      </c>
      <c r="T252" s="139"/>
      <c r="U252" s="139">
        <v>0</v>
      </c>
      <c r="V252" s="139">
        <v>0</v>
      </c>
      <c r="W252" s="139">
        <v>0</v>
      </c>
      <c r="X252" s="124" t="e">
        <f>VLOOKUP(A252,[1]Consolidado!$A:$W,23,FALSE)</f>
        <v>#N/A</v>
      </c>
      <c r="Y252" s="123"/>
      <c r="Z252" s="89"/>
      <c r="AA252" s="9"/>
      <c r="AB252" s="89"/>
      <c r="AC252" s="89"/>
      <c r="AD252" s="89"/>
      <c r="AE252" s="32"/>
      <c r="AF252" s="32"/>
      <c r="AG252" s="32"/>
      <c r="AH252" s="32"/>
      <c r="AI252" s="32"/>
      <c r="AJ252" s="32"/>
    </row>
    <row r="253" spans="1:36" s="21" customFormat="1" ht="57" x14ac:dyDescent="0.25">
      <c r="A253" s="132" t="s">
        <v>452</v>
      </c>
      <c r="B253" s="151">
        <v>100</v>
      </c>
      <c r="C253" s="134" t="s">
        <v>135</v>
      </c>
      <c r="D253" s="134" t="s">
        <v>143</v>
      </c>
      <c r="E253" s="151" t="s">
        <v>179</v>
      </c>
      <c r="F253" s="137">
        <v>0</v>
      </c>
      <c r="G253" s="138">
        <v>0</v>
      </c>
      <c r="H253" s="139"/>
      <c r="I253" s="139">
        <f>(SUM(G253:H253))</f>
        <v>0</v>
      </c>
      <c r="J253" s="139">
        <v>0</v>
      </c>
      <c r="K253" s="139">
        <f>L253+M253+N253+O253</f>
        <v>3.83</v>
      </c>
      <c r="L253" s="139">
        <v>0</v>
      </c>
      <c r="M253" s="139">
        <v>0</v>
      </c>
      <c r="N253" s="139">
        <v>3.83</v>
      </c>
      <c r="O253" s="139">
        <v>0</v>
      </c>
      <c r="P253" s="139">
        <f>K253+J253</f>
        <v>3.83</v>
      </c>
      <c r="Q253" s="139">
        <v>0</v>
      </c>
      <c r="R253" s="139">
        <f>Q253-P253</f>
        <v>-3.83</v>
      </c>
      <c r="S253" s="140">
        <f>F253-Q253</f>
        <v>0</v>
      </c>
      <c r="T253" s="139"/>
      <c r="U253" s="139">
        <v>0</v>
      </c>
      <c r="V253" s="139">
        <v>0</v>
      </c>
      <c r="W253" s="139">
        <v>0</v>
      </c>
      <c r="X253" s="124" t="e">
        <f>VLOOKUP(A253,[1]Consolidado!$A:$W,23,FALSE)</f>
        <v>#N/A</v>
      </c>
      <c r="Y253" s="123"/>
      <c r="Z253" s="89"/>
      <c r="AA253" s="9"/>
      <c r="AB253" s="89"/>
      <c r="AC253" s="89"/>
      <c r="AD253" s="89"/>
      <c r="AE253" s="32"/>
      <c r="AF253" s="32"/>
      <c r="AG253" s="32"/>
      <c r="AH253" s="32"/>
      <c r="AI253" s="32"/>
      <c r="AJ253" s="32"/>
    </row>
    <row r="254" spans="1:36" s="21" customFormat="1" ht="57" x14ac:dyDescent="0.25">
      <c r="A254" s="132" t="s">
        <v>453</v>
      </c>
      <c r="B254" s="151">
        <v>100</v>
      </c>
      <c r="C254" s="134" t="s">
        <v>135</v>
      </c>
      <c r="D254" s="134" t="s">
        <v>143</v>
      </c>
      <c r="E254" s="151" t="s">
        <v>179</v>
      </c>
      <c r="F254" s="137">
        <v>0</v>
      </c>
      <c r="G254" s="138">
        <v>0</v>
      </c>
      <c r="H254" s="139"/>
      <c r="I254" s="139">
        <f>(SUM(G254:H254))</f>
        <v>0</v>
      </c>
      <c r="J254" s="139">
        <v>0</v>
      </c>
      <c r="K254" s="139">
        <f>L254+M254+N254+O254</f>
        <v>1076</v>
      </c>
      <c r="L254" s="139">
        <v>0</v>
      </c>
      <c r="M254" s="139">
        <v>0</v>
      </c>
      <c r="N254" s="139">
        <v>1076</v>
      </c>
      <c r="O254" s="139">
        <v>0</v>
      </c>
      <c r="P254" s="139">
        <f>K254+J254</f>
        <v>1076</v>
      </c>
      <c r="Q254" s="139">
        <v>0</v>
      </c>
      <c r="R254" s="139">
        <f>Q254-P254</f>
        <v>-1076</v>
      </c>
      <c r="S254" s="140">
        <f>F254-Q254</f>
        <v>0</v>
      </c>
      <c r="T254" s="139"/>
      <c r="U254" s="139">
        <v>0</v>
      </c>
      <c r="V254" s="139">
        <v>0</v>
      </c>
      <c r="W254" s="139">
        <v>0</v>
      </c>
      <c r="X254" s="124" t="e">
        <f>VLOOKUP(A254,[1]Consolidado!$A:$W,23,FALSE)</f>
        <v>#N/A</v>
      </c>
      <c r="Y254" s="123"/>
      <c r="Z254" s="89"/>
      <c r="AA254" s="9"/>
      <c r="AB254" s="89"/>
      <c r="AC254" s="89"/>
      <c r="AD254" s="89"/>
      <c r="AE254" s="32"/>
      <c r="AF254" s="32"/>
      <c r="AG254" s="32"/>
      <c r="AH254" s="32"/>
      <c r="AI254" s="32"/>
      <c r="AJ254" s="32"/>
    </row>
    <row r="255" spans="1:36" s="21" customFormat="1" ht="57" x14ac:dyDescent="0.25">
      <c r="A255" s="132" t="s">
        <v>454</v>
      </c>
      <c r="B255" s="151">
        <v>100</v>
      </c>
      <c r="C255" s="134" t="s">
        <v>135</v>
      </c>
      <c r="D255" s="134" t="s">
        <v>143</v>
      </c>
      <c r="E255" s="151" t="s">
        <v>179</v>
      </c>
      <c r="F255" s="137">
        <v>0</v>
      </c>
      <c r="G255" s="138">
        <v>0</v>
      </c>
      <c r="H255" s="139"/>
      <c r="I255" s="139">
        <f>(SUM(G255:H255))</f>
        <v>0</v>
      </c>
      <c r="J255" s="139">
        <v>0</v>
      </c>
      <c r="K255" s="139">
        <f>L255+M255+N255+O255</f>
        <v>507</v>
      </c>
      <c r="L255" s="139">
        <v>0</v>
      </c>
      <c r="M255" s="139">
        <v>0</v>
      </c>
      <c r="N255" s="139">
        <v>0</v>
      </c>
      <c r="O255" s="139">
        <v>507</v>
      </c>
      <c r="P255" s="139">
        <f>K255+J255</f>
        <v>507</v>
      </c>
      <c r="Q255" s="139">
        <v>0</v>
      </c>
      <c r="R255" s="139">
        <f>Q255-P255</f>
        <v>-507</v>
      </c>
      <c r="S255" s="140">
        <f>F255-Q255</f>
        <v>0</v>
      </c>
      <c r="T255" s="139"/>
      <c r="U255" s="139">
        <v>0</v>
      </c>
      <c r="V255" s="139">
        <v>0</v>
      </c>
      <c r="W255" s="139">
        <v>0</v>
      </c>
      <c r="X255" s="124" t="e">
        <f>VLOOKUP(A255,[1]Consolidado!$A:$W,23,FALSE)</f>
        <v>#N/A</v>
      </c>
      <c r="Y255" s="123"/>
      <c r="Z255" s="89"/>
      <c r="AA255" s="9"/>
      <c r="AB255" s="89"/>
      <c r="AC255" s="89"/>
      <c r="AD255" s="89"/>
      <c r="AE255" s="32"/>
      <c r="AF255" s="32"/>
      <c r="AG255" s="32"/>
      <c r="AH255" s="32"/>
      <c r="AI255" s="32"/>
      <c r="AJ255" s="32"/>
    </row>
    <row r="256" spans="1:36" s="21" customFormat="1" ht="49.5" x14ac:dyDescent="0.25">
      <c r="A256" s="132" t="s">
        <v>455</v>
      </c>
      <c r="B256" s="151">
        <v>100</v>
      </c>
      <c r="C256" s="134" t="s">
        <v>135</v>
      </c>
      <c r="D256" s="134" t="s">
        <v>143</v>
      </c>
      <c r="E256" s="151" t="s">
        <v>228</v>
      </c>
      <c r="F256" s="137">
        <v>0</v>
      </c>
      <c r="G256" s="138">
        <v>0</v>
      </c>
      <c r="H256" s="139"/>
      <c r="I256" s="139">
        <f>(SUM(G256:H256))</f>
        <v>0</v>
      </c>
      <c r="J256" s="139">
        <v>0</v>
      </c>
      <c r="K256" s="139">
        <f>L256+M256+N256+O256</f>
        <v>0</v>
      </c>
      <c r="L256" s="139">
        <v>0</v>
      </c>
      <c r="M256" s="139">
        <v>0</v>
      </c>
      <c r="N256" s="139">
        <v>0</v>
      </c>
      <c r="O256" s="139">
        <v>0</v>
      </c>
      <c r="P256" s="139">
        <f>K256+J256</f>
        <v>0</v>
      </c>
      <c r="Q256" s="139">
        <v>0</v>
      </c>
      <c r="R256" s="139">
        <f>Q256-P256</f>
        <v>0</v>
      </c>
      <c r="S256" s="140">
        <f>F256-Q256</f>
        <v>0</v>
      </c>
      <c r="T256" s="139"/>
      <c r="U256" s="139">
        <v>0</v>
      </c>
      <c r="V256" s="139">
        <v>0</v>
      </c>
      <c r="W256" s="139">
        <v>0</v>
      </c>
      <c r="X256" s="124" t="e">
        <f>VLOOKUP(A256,[1]Consolidado!$A:$W,23,FALSE)</f>
        <v>#N/A</v>
      </c>
      <c r="Y256" s="123"/>
      <c r="Z256" s="89"/>
      <c r="AA256" s="9"/>
      <c r="AB256" s="89"/>
      <c r="AC256" s="89"/>
      <c r="AD256" s="89"/>
      <c r="AE256" s="32"/>
      <c r="AF256" s="32"/>
      <c r="AG256" s="32"/>
      <c r="AH256" s="32"/>
      <c r="AI256" s="32"/>
      <c r="AJ256" s="32"/>
    </row>
    <row r="257" spans="1:36" s="21" customFormat="1" ht="66" x14ac:dyDescent="0.25">
      <c r="A257" s="132" t="s">
        <v>456</v>
      </c>
      <c r="B257" s="151">
        <v>100</v>
      </c>
      <c r="C257" s="134" t="s">
        <v>135</v>
      </c>
      <c r="D257" s="134" t="s">
        <v>143</v>
      </c>
      <c r="E257" s="151" t="s">
        <v>457</v>
      </c>
      <c r="F257" s="137">
        <v>0</v>
      </c>
      <c r="G257" s="138">
        <v>0</v>
      </c>
      <c r="H257" s="139"/>
      <c r="I257" s="139">
        <f>(SUM(G257:H257))</f>
        <v>0</v>
      </c>
      <c r="J257" s="139">
        <v>0</v>
      </c>
      <c r="K257" s="139">
        <f>L257+M257+N257+O257</f>
        <v>0</v>
      </c>
      <c r="L257" s="139">
        <v>0</v>
      </c>
      <c r="M257" s="139">
        <v>0</v>
      </c>
      <c r="N257" s="139">
        <v>0</v>
      </c>
      <c r="O257" s="139">
        <v>0</v>
      </c>
      <c r="P257" s="139">
        <f>K257+J257</f>
        <v>0</v>
      </c>
      <c r="Q257" s="139">
        <v>0</v>
      </c>
      <c r="R257" s="139">
        <f>Q257-P257</f>
        <v>0</v>
      </c>
      <c r="S257" s="140">
        <f>F257-Q257</f>
        <v>0</v>
      </c>
      <c r="T257" s="139"/>
      <c r="U257" s="139">
        <v>0</v>
      </c>
      <c r="V257" s="139">
        <v>0</v>
      </c>
      <c r="W257" s="139">
        <v>0</v>
      </c>
      <c r="X257" s="124" t="e">
        <f>VLOOKUP(A257,[1]Consolidado!$A:$W,23,FALSE)</f>
        <v>#N/A</v>
      </c>
      <c r="Y257" s="123"/>
      <c r="Z257" s="89"/>
      <c r="AA257" s="9"/>
      <c r="AB257" s="89"/>
      <c r="AC257" s="89"/>
      <c r="AD257" s="89"/>
      <c r="AE257" s="32"/>
      <c r="AF257" s="32"/>
      <c r="AG257" s="32"/>
      <c r="AH257" s="32"/>
      <c r="AI257" s="32"/>
      <c r="AJ257" s="32"/>
    </row>
    <row r="258" spans="1:36" s="21" customFormat="1" ht="66" x14ac:dyDescent="0.25">
      <c r="A258" s="132" t="s">
        <v>458</v>
      </c>
      <c r="B258" s="151">
        <v>100</v>
      </c>
      <c r="C258" s="134" t="s">
        <v>135</v>
      </c>
      <c r="D258" s="134" t="s">
        <v>136</v>
      </c>
      <c r="E258" s="151" t="s">
        <v>244</v>
      </c>
      <c r="F258" s="137">
        <v>0</v>
      </c>
      <c r="G258" s="138">
        <v>0</v>
      </c>
      <c r="H258" s="139"/>
      <c r="I258" s="139">
        <f>(SUM(G258:H258))</f>
        <v>0</v>
      </c>
      <c r="J258" s="139">
        <v>0</v>
      </c>
      <c r="K258" s="139">
        <f>L258+M258+N258+O258</f>
        <v>413.4</v>
      </c>
      <c r="L258" s="139">
        <v>0</v>
      </c>
      <c r="M258" s="139">
        <v>0</v>
      </c>
      <c r="N258" s="139">
        <v>0</v>
      </c>
      <c r="O258" s="139">
        <v>413.4</v>
      </c>
      <c r="P258" s="139">
        <f>K258+J258</f>
        <v>413.4</v>
      </c>
      <c r="Q258" s="139">
        <v>0</v>
      </c>
      <c r="R258" s="139">
        <f>Q258-P258</f>
        <v>-413.4</v>
      </c>
      <c r="S258" s="140">
        <f>F258-Q258</f>
        <v>0</v>
      </c>
      <c r="T258" s="139"/>
      <c r="U258" s="139">
        <v>0</v>
      </c>
      <c r="V258" s="139">
        <v>0</v>
      </c>
      <c r="W258" s="139">
        <v>0</v>
      </c>
      <c r="X258" s="124" t="e">
        <f>VLOOKUP(A258,[1]Consolidado!$A:$W,23,FALSE)</f>
        <v>#N/A</v>
      </c>
      <c r="Y258" s="123"/>
      <c r="Z258" s="89"/>
      <c r="AA258" s="9"/>
      <c r="AB258" s="89"/>
      <c r="AC258" s="89"/>
      <c r="AD258" s="89"/>
      <c r="AE258" s="32"/>
      <c r="AF258" s="32"/>
      <c r="AG258" s="32"/>
      <c r="AH258" s="32"/>
      <c r="AI258" s="32"/>
      <c r="AJ258" s="32"/>
    </row>
    <row r="259" spans="1:36" x14ac:dyDescent="0.25">
      <c r="A259" s="98"/>
      <c r="H259" s="101"/>
      <c r="I259" s="101"/>
      <c r="J259" s="101"/>
      <c r="K259" s="101"/>
      <c r="L259" s="101"/>
      <c r="M259" s="101"/>
      <c r="N259" s="101"/>
      <c r="O259" s="101"/>
      <c r="P259" s="101"/>
      <c r="Q259" s="101"/>
      <c r="R259" s="101"/>
      <c r="S259" s="110"/>
      <c r="T259" s="102"/>
      <c r="U259" s="101"/>
      <c r="V259" s="103"/>
      <c r="W259" s="101"/>
    </row>
    <row r="260" spans="1:36" x14ac:dyDescent="0.25">
      <c r="A260" s="98"/>
      <c r="H260" s="101"/>
      <c r="I260" s="101"/>
      <c r="J260" s="101"/>
      <c r="K260" s="101"/>
      <c r="L260" s="101"/>
      <c r="M260" s="101"/>
      <c r="N260" s="101"/>
      <c r="O260" s="101"/>
      <c r="P260" s="101"/>
      <c r="Q260" s="101"/>
      <c r="R260" s="101"/>
      <c r="S260" s="110"/>
      <c r="T260" s="102"/>
      <c r="U260" s="101"/>
      <c r="V260" s="103"/>
      <c r="W260" s="101"/>
    </row>
    <row r="261" spans="1:36" x14ac:dyDescent="0.25">
      <c r="A261" s="98"/>
      <c r="H261" s="101"/>
      <c r="I261" s="101"/>
      <c r="J261" s="101"/>
      <c r="K261" s="101"/>
      <c r="L261" s="101"/>
      <c r="M261" s="101"/>
      <c r="N261" s="101"/>
      <c r="O261" s="101"/>
      <c r="P261" s="101"/>
      <c r="Q261" s="101"/>
      <c r="R261" s="101"/>
      <c r="S261" s="110"/>
      <c r="T261" s="102"/>
      <c r="U261" s="101"/>
      <c r="V261" s="103"/>
      <c r="W261" s="101"/>
    </row>
    <row r="262" spans="1:36" x14ac:dyDescent="0.25">
      <c r="A262" s="98"/>
      <c r="H262" s="101"/>
      <c r="I262" s="101"/>
      <c r="J262" s="101"/>
      <c r="K262" s="101"/>
      <c r="L262" s="101"/>
      <c r="M262" s="101"/>
      <c r="N262" s="101"/>
      <c r="O262" s="101"/>
      <c r="P262" s="101"/>
      <c r="Q262" s="101"/>
      <c r="R262" s="101"/>
      <c r="S262" s="110"/>
      <c r="T262" s="102"/>
      <c r="U262" s="101"/>
      <c r="V262" s="103"/>
      <c r="W262" s="101"/>
    </row>
    <row r="263" spans="1:36" x14ac:dyDescent="0.25">
      <c r="A263" s="98"/>
      <c r="H263" s="101"/>
      <c r="I263" s="101"/>
      <c r="J263" s="101"/>
      <c r="K263" s="101"/>
      <c r="L263" s="101"/>
      <c r="M263" s="101"/>
      <c r="N263" s="101"/>
      <c r="O263" s="101"/>
      <c r="P263" s="101"/>
      <c r="Q263" s="101"/>
      <c r="R263" s="101"/>
      <c r="S263" s="110"/>
      <c r="T263" s="102"/>
      <c r="U263" s="101"/>
      <c r="V263" s="103"/>
      <c r="W263" s="101"/>
    </row>
    <row r="264" spans="1:36" x14ac:dyDescent="0.25">
      <c r="A264" s="98"/>
      <c r="H264" s="101"/>
      <c r="I264" s="101"/>
      <c r="J264" s="101"/>
      <c r="K264" s="101"/>
      <c r="L264" s="101"/>
      <c r="M264" s="101"/>
      <c r="N264" s="101"/>
      <c r="O264" s="101"/>
      <c r="P264" s="101"/>
      <c r="Q264" s="101"/>
      <c r="R264" s="101"/>
      <c r="S264" s="110"/>
      <c r="T264" s="102"/>
      <c r="U264" s="101"/>
      <c r="V264" s="103"/>
      <c r="W264" s="101"/>
    </row>
    <row r="265" spans="1:36" x14ac:dyDescent="0.25">
      <c r="A265" s="98"/>
      <c r="H265" s="101"/>
      <c r="I265" s="101"/>
      <c r="J265" s="101"/>
      <c r="K265" s="101"/>
      <c r="L265" s="101"/>
      <c r="M265" s="101"/>
      <c r="N265" s="101"/>
      <c r="O265" s="101"/>
      <c r="P265" s="101"/>
      <c r="Q265" s="101"/>
      <c r="R265" s="101"/>
      <c r="S265" s="110"/>
      <c r="T265" s="102"/>
      <c r="U265" s="101"/>
      <c r="V265" s="103"/>
      <c r="W265" s="101"/>
    </row>
    <row r="266" spans="1:36" x14ac:dyDescent="0.25">
      <c r="A266" s="98"/>
      <c r="H266" s="101"/>
      <c r="I266" s="101"/>
      <c r="J266" s="101"/>
      <c r="K266" s="101"/>
      <c r="L266" s="101"/>
      <c r="M266" s="101"/>
      <c r="N266" s="101"/>
      <c r="O266" s="101"/>
      <c r="P266" s="101"/>
      <c r="Q266" s="101"/>
      <c r="R266" s="101"/>
      <c r="S266" s="110"/>
      <c r="T266" s="102"/>
      <c r="U266" s="101"/>
      <c r="V266" s="103"/>
      <c r="W266" s="101"/>
    </row>
    <row r="267" spans="1:36" x14ac:dyDescent="0.25">
      <c r="A267" s="98"/>
      <c r="H267" s="101"/>
      <c r="I267" s="101"/>
      <c r="J267" s="101"/>
      <c r="K267" s="101"/>
      <c r="L267" s="101"/>
      <c r="M267" s="101"/>
      <c r="N267" s="101"/>
      <c r="O267" s="101"/>
      <c r="P267" s="101"/>
      <c r="Q267" s="101"/>
      <c r="R267" s="101"/>
      <c r="S267" s="110"/>
      <c r="T267" s="102"/>
      <c r="U267" s="101"/>
      <c r="V267" s="103"/>
      <c r="W267" s="101"/>
    </row>
    <row r="268" spans="1:36" x14ac:dyDescent="0.25">
      <c r="A268" s="98"/>
      <c r="H268" s="101"/>
      <c r="I268" s="101"/>
      <c r="J268" s="101"/>
      <c r="K268" s="101"/>
      <c r="L268" s="101"/>
      <c r="M268" s="101"/>
      <c r="N268" s="101"/>
      <c r="O268" s="101"/>
      <c r="P268" s="101"/>
      <c r="Q268" s="101"/>
      <c r="R268" s="101"/>
      <c r="S268" s="110"/>
      <c r="T268" s="102"/>
      <c r="U268" s="101"/>
      <c r="V268" s="103"/>
      <c r="W268" s="101"/>
    </row>
    <row r="269" spans="1:36" x14ac:dyDescent="0.25">
      <c r="A269" s="98"/>
      <c r="H269" s="101"/>
      <c r="I269" s="101"/>
      <c r="J269" s="101"/>
      <c r="K269" s="101"/>
      <c r="L269" s="101"/>
      <c r="M269" s="101"/>
      <c r="N269" s="101"/>
      <c r="O269" s="101"/>
      <c r="P269" s="101"/>
      <c r="Q269" s="101"/>
      <c r="R269" s="101"/>
      <c r="S269" s="110"/>
      <c r="T269" s="102"/>
      <c r="U269" s="101"/>
      <c r="V269" s="103"/>
      <c r="W269" s="101"/>
    </row>
    <row r="270" spans="1:36" x14ac:dyDescent="0.25">
      <c r="A270" s="98"/>
      <c r="H270" s="101"/>
      <c r="I270" s="101"/>
      <c r="J270" s="101"/>
      <c r="K270" s="101"/>
      <c r="L270" s="101"/>
      <c r="M270" s="101"/>
      <c r="N270" s="101"/>
      <c r="O270" s="101"/>
      <c r="P270" s="101"/>
      <c r="Q270" s="101"/>
      <c r="R270" s="101"/>
      <c r="S270" s="110"/>
      <c r="T270" s="102"/>
      <c r="U270" s="101"/>
      <c r="V270" s="103"/>
      <c r="W270" s="101"/>
    </row>
    <row r="271" spans="1:36" x14ac:dyDescent="0.25">
      <c r="A271" s="98"/>
      <c r="H271" s="101"/>
      <c r="I271" s="101"/>
      <c r="J271" s="101"/>
      <c r="K271" s="101"/>
      <c r="L271" s="101"/>
      <c r="M271" s="101"/>
      <c r="N271" s="101"/>
      <c r="O271" s="101"/>
      <c r="P271" s="101"/>
      <c r="Q271" s="101"/>
      <c r="R271" s="101"/>
      <c r="S271" s="110"/>
      <c r="T271" s="102"/>
      <c r="U271" s="101"/>
      <c r="V271" s="103"/>
      <c r="W271" s="101"/>
    </row>
    <row r="272" spans="1:36" x14ac:dyDescent="0.25">
      <c r="A272" s="98"/>
      <c r="H272" s="101"/>
      <c r="I272" s="101"/>
      <c r="J272" s="101"/>
      <c r="K272" s="101"/>
      <c r="L272" s="101"/>
      <c r="M272" s="101"/>
      <c r="N272" s="101"/>
      <c r="O272" s="101"/>
      <c r="P272" s="101"/>
      <c r="Q272" s="101"/>
      <c r="R272" s="101"/>
      <c r="S272" s="110"/>
      <c r="T272" s="102"/>
      <c r="U272" s="101"/>
      <c r="V272" s="103"/>
      <c r="W272" s="101"/>
    </row>
    <row r="273" spans="1:23" x14ac:dyDescent="0.25">
      <c r="A273" s="98"/>
      <c r="H273" s="101"/>
      <c r="I273" s="101"/>
      <c r="J273" s="101"/>
      <c r="K273" s="101"/>
      <c r="L273" s="101"/>
      <c r="M273" s="101"/>
      <c r="N273" s="101"/>
      <c r="O273" s="101"/>
      <c r="P273" s="101"/>
      <c r="Q273" s="101"/>
      <c r="R273" s="101"/>
      <c r="S273" s="110"/>
      <c r="T273" s="102"/>
      <c r="U273" s="101"/>
      <c r="V273" s="103"/>
      <c r="W273" s="101"/>
    </row>
    <row r="274" spans="1:23" x14ac:dyDescent="0.25">
      <c r="A274" s="98"/>
      <c r="H274" s="101"/>
      <c r="I274" s="101"/>
      <c r="J274" s="101"/>
      <c r="K274" s="101"/>
      <c r="L274" s="101"/>
      <c r="M274" s="101"/>
      <c r="N274" s="101"/>
      <c r="O274" s="101"/>
      <c r="P274" s="101"/>
      <c r="Q274" s="101"/>
      <c r="R274" s="101"/>
      <c r="S274" s="110"/>
      <c r="T274" s="102"/>
      <c r="U274" s="101"/>
      <c r="V274" s="103"/>
      <c r="W274" s="101"/>
    </row>
    <row r="275" spans="1:23" x14ac:dyDescent="0.25">
      <c r="A275" s="98"/>
      <c r="H275" s="101"/>
      <c r="I275" s="101"/>
      <c r="J275" s="101"/>
      <c r="K275" s="101"/>
      <c r="L275" s="101"/>
      <c r="M275" s="101"/>
      <c r="N275" s="101"/>
      <c r="O275" s="101"/>
      <c r="P275" s="101"/>
      <c r="Q275" s="101"/>
      <c r="R275" s="101"/>
      <c r="S275" s="110"/>
      <c r="T275" s="102"/>
      <c r="U275" s="101"/>
      <c r="V275" s="103"/>
      <c r="W275" s="101"/>
    </row>
    <row r="276" spans="1:23" x14ac:dyDescent="0.25">
      <c r="A276" s="98"/>
      <c r="H276" s="101"/>
      <c r="I276" s="101"/>
      <c r="J276" s="101"/>
      <c r="K276" s="101"/>
      <c r="L276" s="101"/>
      <c r="M276" s="101"/>
      <c r="N276" s="101"/>
      <c r="O276" s="101"/>
      <c r="P276" s="101"/>
      <c r="Q276" s="101"/>
      <c r="R276" s="101"/>
      <c r="S276" s="110"/>
      <c r="T276" s="102"/>
      <c r="U276" s="101"/>
      <c r="V276" s="103"/>
      <c r="W276" s="101"/>
    </row>
    <row r="277" spans="1:23" x14ac:dyDescent="0.25">
      <c r="A277" s="98"/>
      <c r="H277" s="101"/>
      <c r="I277" s="101"/>
      <c r="J277" s="101"/>
      <c r="K277" s="101"/>
      <c r="L277" s="101"/>
      <c r="M277" s="101"/>
      <c r="N277" s="101"/>
      <c r="O277" s="101"/>
      <c r="P277" s="101"/>
      <c r="Q277" s="101"/>
      <c r="R277" s="101"/>
      <c r="S277" s="110"/>
      <c r="T277" s="102"/>
      <c r="U277" s="101"/>
      <c r="V277" s="103"/>
      <c r="W277" s="101"/>
    </row>
    <row r="278" spans="1:23" x14ac:dyDescent="0.25">
      <c r="A278" s="98"/>
      <c r="H278" s="101"/>
      <c r="I278" s="101"/>
      <c r="J278" s="101"/>
      <c r="K278" s="101"/>
      <c r="L278" s="101"/>
      <c r="M278" s="101"/>
      <c r="N278" s="101"/>
      <c r="O278" s="101"/>
      <c r="P278" s="101"/>
      <c r="Q278" s="101"/>
      <c r="R278" s="101"/>
      <c r="S278" s="110"/>
      <c r="T278" s="102"/>
      <c r="U278" s="101"/>
      <c r="V278" s="103"/>
      <c r="W278" s="101"/>
    </row>
    <row r="279" spans="1:23" x14ac:dyDescent="0.25">
      <c r="A279" s="98"/>
      <c r="H279" s="101"/>
      <c r="I279" s="101"/>
      <c r="J279" s="101"/>
      <c r="K279" s="101"/>
      <c r="L279" s="101"/>
      <c r="M279" s="101"/>
      <c r="N279" s="101"/>
      <c r="O279" s="101"/>
      <c r="P279" s="101"/>
      <c r="Q279" s="101"/>
      <c r="R279" s="101"/>
      <c r="S279" s="110"/>
      <c r="T279" s="102"/>
      <c r="U279" s="101"/>
      <c r="V279" s="103"/>
      <c r="W279" s="101"/>
    </row>
    <row r="280" spans="1:23" x14ac:dyDescent="0.25">
      <c r="A280" s="98"/>
      <c r="H280" s="101"/>
      <c r="I280" s="101"/>
      <c r="J280" s="101"/>
      <c r="K280" s="101"/>
      <c r="L280" s="101"/>
      <c r="M280" s="101"/>
      <c r="N280" s="101"/>
      <c r="O280" s="101"/>
      <c r="P280" s="101"/>
      <c r="Q280" s="101"/>
      <c r="R280" s="101"/>
      <c r="S280" s="110"/>
      <c r="T280" s="102"/>
      <c r="U280" s="101"/>
      <c r="V280" s="103"/>
      <c r="W280" s="101"/>
    </row>
    <row r="281" spans="1:23" x14ac:dyDescent="0.25">
      <c r="A281" s="98"/>
      <c r="H281" s="101"/>
      <c r="I281" s="101"/>
      <c r="J281" s="101"/>
      <c r="K281" s="101"/>
      <c r="L281" s="101"/>
      <c r="M281" s="101"/>
      <c r="N281" s="101"/>
      <c r="O281" s="101"/>
      <c r="P281" s="101"/>
      <c r="Q281" s="101"/>
      <c r="R281" s="101"/>
      <c r="S281" s="110"/>
      <c r="T281" s="102"/>
      <c r="U281" s="101"/>
      <c r="V281" s="103"/>
      <c r="W281" s="101"/>
    </row>
    <row r="282" spans="1:23" x14ac:dyDescent="0.25">
      <c r="A282" s="98"/>
      <c r="H282" s="101"/>
      <c r="I282" s="101"/>
      <c r="J282" s="101"/>
      <c r="K282" s="101"/>
      <c r="L282" s="101"/>
      <c r="M282" s="101"/>
      <c r="N282" s="101"/>
      <c r="O282" s="101"/>
      <c r="P282" s="101"/>
      <c r="Q282" s="101"/>
      <c r="R282" s="101"/>
      <c r="S282" s="110"/>
      <c r="T282" s="102"/>
      <c r="U282" s="101"/>
      <c r="V282" s="103"/>
      <c r="W282" s="101"/>
    </row>
    <row r="283" spans="1:23" x14ac:dyDescent="0.25">
      <c r="A283" s="98"/>
      <c r="H283" s="101"/>
      <c r="I283" s="101"/>
      <c r="J283" s="101"/>
      <c r="K283" s="101"/>
      <c r="L283" s="101"/>
      <c r="M283" s="101"/>
      <c r="N283" s="101"/>
      <c r="O283" s="101"/>
      <c r="P283" s="101"/>
      <c r="Q283" s="101"/>
      <c r="R283" s="101"/>
      <c r="S283" s="110"/>
      <c r="T283" s="102"/>
      <c r="U283" s="101"/>
      <c r="V283" s="103"/>
      <c r="W283" s="101"/>
    </row>
    <row r="284" spans="1:23" x14ac:dyDescent="0.25">
      <c r="A284" s="98"/>
      <c r="H284" s="101"/>
      <c r="I284" s="101"/>
      <c r="J284" s="101"/>
      <c r="K284" s="101"/>
      <c r="L284" s="101"/>
      <c r="M284" s="101"/>
      <c r="N284" s="101"/>
      <c r="O284" s="101"/>
      <c r="P284" s="101"/>
      <c r="Q284" s="101"/>
      <c r="R284" s="101"/>
      <c r="S284" s="110"/>
      <c r="T284" s="102"/>
      <c r="U284" s="101"/>
      <c r="V284" s="103"/>
      <c r="W284" s="101"/>
    </row>
    <row r="285" spans="1:23" x14ac:dyDescent="0.25">
      <c r="A285" s="98"/>
      <c r="H285" s="101"/>
      <c r="I285" s="101"/>
      <c r="J285" s="101"/>
      <c r="K285" s="101"/>
      <c r="L285" s="101"/>
      <c r="M285" s="101"/>
      <c r="N285" s="101"/>
      <c r="O285" s="101"/>
      <c r="P285" s="101"/>
      <c r="Q285" s="101"/>
      <c r="R285" s="101"/>
      <c r="S285" s="110"/>
      <c r="T285" s="102"/>
      <c r="U285" s="101"/>
      <c r="V285" s="103"/>
      <c r="W285" s="101"/>
    </row>
    <row r="286" spans="1:23" x14ac:dyDescent="0.25">
      <c r="A286" s="98"/>
      <c r="H286" s="101"/>
      <c r="I286" s="101"/>
      <c r="J286" s="101"/>
      <c r="K286" s="101"/>
      <c r="L286" s="101"/>
      <c r="M286" s="101"/>
      <c r="N286" s="101"/>
      <c r="O286" s="101"/>
      <c r="P286" s="101"/>
      <c r="Q286" s="101"/>
      <c r="R286" s="101"/>
      <c r="S286" s="110"/>
      <c r="T286" s="102"/>
      <c r="U286" s="101"/>
      <c r="V286" s="103"/>
      <c r="W286" s="101"/>
    </row>
    <row r="287" spans="1:23" x14ac:dyDescent="0.25">
      <c r="A287" s="98"/>
      <c r="H287" s="101"/>
      <c r="I287" s="101"/>
      <c r="J287" s="101"/>
      <c r="K287" s="101"/>
      <c r="L287" s="101"/>
      <c r="M287" s="101"/>
      <c r="N287" s="101"/>
      <c r="O287" s="101"/>
      <c r="P287" s="101"/>
      <c r="Q287" s="101"/>
      <c r="R287" s="101"/>
      <c r="S287" s="110"/>
      <c r="T287" s="102"/>
      <c r="U287" s="101"/>
      <c r="V287" s="103"/>
      <c r="W287" s="101"/>
    </row>
    <row r="288" spans="1:23" x14ac:dyDescent="0.25">
      <c r="A288" s="98"/>
      <c r="H288" s="101"/>
      <c r="I288" s="101"/>
      <c r="J288" s="101"/>
      <c r="K288" s="101"/>
      <c r="L288" s="101"/>
      <c r="M288" s="101"/>
      <c r="N288" s="101"/>
      <c r="O288" s="101"/>
      <c r="P288" s="101"/>
      <c r="Q288" s="101"/>
      <c r="R288" s="101"/>
      <c r="S288" s="110"/>
      <c r="T288" s="102"/>
      <c r="U288" s="101"/>
      <c r="V288" s="103"/>
      <c r="W288" s="101"/>
    </row>
    <row r="289" spans="1:23" x14ac:dyDescent="0.25">
      <c r="A289" s="98"/>
      <c r="H289" s="101"/>
      <c r="I289" s="101"/>
      <c r="J289" s="101"/>
      <c r="K289" s="101"/>
      <c r="L289" s="101"/>
      <c r="M289" s="101"/>
      <c r="N289" s="101"/>
      <c r="O289" s="101"/>
      <c r="P289" s="101"/>
      <c r="Q289" s="101"/>
      <c r="R289" s="101"/>
      <c r="S289" s="110"/>
      <c r="T289" s="102"/>
      <c r="U289" s="101"/>
      <c r="V289" s="103"/>
      <c r="W289" s="101"/>
    </row>
    <row r="290" spans="1:23" x14ac:dyDescent="0.25">
      <c r="A290" s="98"/>
      <c r="H290" s="101"/>
      <c r="I290" s="101"/>
      <c r="J290" s="101"/>
      <c r="K290" s="101"/>
      <c r="L290" s="101"/>
      <c r="M290" s="101"/>
      <c r="N290" s="101"/>
      <c r="O290" s="101"/>
      <c r="P290" s="101"/>
      <c r="Q290" s="101"/>
      <c r="R290" s="101"/>
      <c r="S290" s="110"/>
      <c r="T290" s="102"/>
      <c r="U290" s="101"/>
      <c r="V290" s="103"/>
      <c r="W290" s="101"/>
    </row>
    <row r="291" spans="1:23" x14ac:dyDescent="0.25">
      <c r="A291" s="98"/>
      <c r="H291" s="101"/>
      <c r="I291" s="101"/>
      <c r="J291" s="101"/>
      <c r="K291" s="101"/>
      <c r="L291" s="101"/>
      <c r="M291" s="101"/>
      <c r="N291" s="101"/>
      <c r="O291" s="101"/>
      <c r="P291" s="101"/>
      <c r="Q291" s="101"/>
      <c r="R291" s="101"/>
      <c r="S291" s="110"/>
      <c r="T291" s="102"/>
      <c r="U291" s="101"/>
      <c r="V291" s="103"/>
      <c r="W291" s="101"/>
    </row>
    <row r="292" spans="1:23" x14ac:dyDescent="0.25">
      <c r="A292" s="98"/>
      <c r="H292" s="101"/>
      <c r="I292" s="101"/>
      <c r="J292" s="101"/>
      <c r="K292" s="101"/>
      <c r="L292" s="101"/>
      <c r="M292" s="101"/>
      <c r="N292" s="101"/>
      <c r="O292" s="101"/>
      <c r="P292" s="101"/>
      <c r="Q292" s="101"/>
      <c r="R292" s="101"/>
      <c r="S292" s="110"/>
      <c r="T292" s="102"/>
      <c r="U292" s="101"/>
      <c r="V292" s="103"/>
      <c r="W292" s="101"/>
    </row>
    <row r="293" spans="1:23" x14ac:dyDescent="0.25">
      <c r="A293" s="98"/>
      <c r="H293" s="101"/>
      <c r="I293" s="101"/>
      <c r="J293" s="101"/>
      <c r="K293" s="101"/>
      <c r="L293" s="101"/>
      <c r="M293" s="101"/>
      <c r="N293" s="101"/>
      <c r="O293" s="101"/>
      <c r="P293" s="101"/>
      <c r="Q293" s="101"/>
      <c r="R293" s="101"/>
      <c r="S293" s="110"/>
      <c r="T293" s="102"/>
      <c r="U293" s="101"/>
      <c r="V293" s="103"/>
      <c r="W293" s="101"/>
    </row>
    <row r="294" spans="1:23" x14ac:dyDescent="0.25">
      <c r="A294" s="98"/>
      <c r="H294" s="101"/>
      <c r="I294" s="101"/>
      <c r="J294" s="101"/>
      <c r="K294" s="101"/>
      <c r="L294" s="101"/>
      <c r="M294" s="101"/>
      <c r="N294" s="101"/>
      <c r="O294" s="101"/>
      <c r="P294" s="101"/>
      <c r="Q294" s="101"/>
      <c r="R294" s="101"/>
      <c r="S294" s="110"/>
      <c r="T294" s="102"/>
      <c r="U294" s="101"/>
      <c r="V294" s="103"/>
      <c r="W294" s="101"/>
    </row>
    <row r="295" spans="1:23" x14ac:dyDescent="0.25">
      <c r="A295" s="98"/>
      <c r="H295" s="101"/>
      <c r="I295" s="101"/>
      <c r="J295" s="101"/>
      <c r="K295" s="101"/>
      <c r="L295" s="101"/>
      <c r="M295" s="101"/>
      <c r="N295" s="101"/>
      <c r="O295" s="101"/>
      <c r="P295" s="101"/>
      <c r="Q295" s="101"/>
      <c r="R295" s="101"/>
      <c r="S295" s="110"/>
      <c r="T295" s="102"/>
      <c r="U295" s="101"/>
      <c r="V295" s="103"/>
      <c r="W295" s="101"/>
    </row>
    <row r="296" spans="1:23" x14ac:dyDescent="0.25">
      <c r="A296" s="98"/>
      <c r="H296" s="101"/>
      <c r="I296" s="101"/>
      <c r="J296" s="101"/>
      <c r="K296" s="101"/>
      <c r="L296" s="101"/>
      <c r="M296" s="101"/>
      <c r="N296" s="101"/>
      <c r="O296" s="101"/>
      <c r="P296" s="101"/>
      <c r="Q296" s="101"/>
      <c r="R296" s="101"/>
      <c r="S296" s="110"/>
      <c r="T296" s="102"/>
      <c r="U296" s="101"/>
      <c r="V296" s="103"/>
      <c r="W296" s="101"/>
    </row>
    <row r="297" spans="1:23" x14ac:dyDescent="0.25">
      <c r="A297" s="98"/>
      <c r="H297" s="101"/>
      <c r="I297" s="101"/>
      <c r="J297" s="101"/>
      <c r="K297" s="101"/>
      <c r="L297" s="101"/>
      <c r="M297" s="101"/>
      <c r="N297" s="101"/>
      <c r="O297" s="101"/>
      <c r="P297" s="101"/>
      <c r="Q297" s="101"/>
      <c r="R297" s="101"/>
      <c r="S297" s="110"/>
      <c r="T297" s="102"/>
      <c r="U297" s="101"/>
      <c r="V297" s="103"/>
      <c r="W297" s="101"/>
    </row>
    <row r="298" spans="1:23" x14ac:dyDescent="0.25">
      <c r="A298" s="98"/>
      <c r="H298" s="101"/>
      <c r="I298" s="101"/>
      <c r="J298" s="101"/>
      <c r="K298" s="101"/>
      <c r="L298" s="101"/>
      <c r="M298" s="101"/>
      <c r="N298" s="101"/>
      <c r="O298" s="101"/>
      <c r="P298" s="101"/>
      <c r="Q298" s="101"/>
      <c r="R298" s="101"/>
      <c r="S298" s="110"/>
      <c r="T298" s="102"/>
      <c r="U298" s="101"/>
      <c r="V298" s="103"/>
      <c r="W298" s="101"/>
    </row>
    <row r="299" spans="1:23" x14ac:dyDescent="0.25">
      <c r="A299" s="98"/>
      <c r="H299" s="101"/>
      <c r="I299" s="101"/>
      <c r="J299" s="101"/>
      <c r="K299" s="101"/>
      <c r="L299" s="101"/>
      <c r="M299" s="101"/>
      <c r="N299" s="101"/>
      <c r="O299" s="101"/>
      <c r="P299" s="101"/>
      <c r="Q299" s="101"/>
      <c r="R299" s="101"/>
      <c r="S299" s="110"/>
      <c r="T299" s="102"/>
      <c r="U299" s="101"/>
      <c r="V299" s="103"/>
      <c r="W299" s="101"/>
    </row>
    <row r="300" spans="1:23" x14ac:dyDescent="0.25">
      <c r="A300" s="98"/>
      <c r="H300" s="101"/>
      <c r="I300" s="101"/>
      <c r="J300" s="101"/>
      <c r="K300" s="101"/>
      <c r="L300" s="101"/>
      <c r="M300" s="101"/>
      <c r="N300" s="101"/>
      <c r="O300" s="101"/>
      <c r="P300" s="101"/>
      <c r="Q300" s="101"/>
      <c r="R300" s="101"/>
      <c r="S300" s="110"/>
      <c r="T300" s="102"/>
      <c r="U300" s="101"/>
      <c r="V300" s="103"/>
      <c r="W300" s="101"/>
    </row>
    <row r="301" spans="1:23" x14ac:dyDescent="0.25">
      <c r="A301" s="98"/>
      <c r="H301" s="101"/>
      <c r="I301" s="101"/>
      <c r="J301" s="101"/>
      <c r="K301" s="101"/>
      <c r="L301" s="101"/>
      <c r="M301" s="101"/>
      <c r="N301" s="101"/>
      <c r="O301" s="101"/>
      <c r="P301" s="101"/>
      <c r="Q301" s="101"/>
      <c r="R301" s="101"/>
      <c r="S301" s="110"/>
      <c r="T301" s="102"/>
      <c r="U301" s="101"/>
      <c r="V301" s="103"/>
      <c r="W301" s="101"/>
    </row>
    <row r="302" spans="1:23" x14ac:dyDescent="0.25">
      <c r="A302" s="98"/>
      <c r="H302" s="101"/>
      <c r="I302" s="101"/>
      <c r="J302" s="101"/>
      <c r="K302" s="101"/>
      <c r="L302" s="101"/>
      <c r="M302" s="101"/>
      <c r="N302" s="101"/>
      <c r="O302" s="101"/>
      <c r="P302" s="101"/>
      <c r="Q302" s="101"/>
      <c r="R302" s="101"/>
      <c r="S302" s="110"/>
      <c r="T302" s="102"/>
      <c r="U302" s="101"/>
      <c r="V302" s="103"/>
      <c r="W302" s="101"/>
    </row>
    <row r="303" spans="1:23" x14ac:dyDescent="0.25">
      <c r="A303" s="98"/>
      <c r="H303" s="101"/>
      <c r="I303" s="101"/>
      <c r="J303" s="101"/>
      <c r="K303" s="101"/>
      <c r="L303" s="101"/>
      <c r="M303" s="101"/>
      <c r="N303" s="101"/>
      <c r="O303" s="101"/>
      <c r="P303" s="101"/>
      <c r="Q303" s="101"/>
      <c r="R303" s="101"/>
      <c r="S303" s="110"/>
      <c r="T303" s="102"/>
      <c r="U303" s="101"/>
      <c r="V303" s="103"/>
      <c r="W303" s="101"/>
    </row>
    <row r="304" spans="1:23" x14ac:dyDescent="0.25">
      <c r="A304" s="98"/>
      <c r="H304" s="101"/>
      <c r="I304" s="101"/>
      <c r="J304" s="101"/>
      <c r="K304" s="101"/>
      <c r="L304" s="101"/>
      <c r="M304" s="101"/>
      <c r="N304" s="101"/>
      <c r="O304" s="101"/>
      <c r="P304" s="101"/>
      <c r="Q304" s="101"/>
      <c r="R304" s="101"/>
      <c r="S304" s="110"/>
      <c r="T304" s="102"/>
      <c r="U304" s="101"/>
      <c r="V304" s="103"/>
      <c r="W304" s="101"/>
    </row>
    <row r="305" spans="1:23" x14ac:dyDescent="0.25">
      <c r="A305" s="98"/>
      <c r="H305" s="101"/>
      <c r="I305" s="101"/>
      <c r="J305" s="101"/>
      <c r="K305" s="101"/>
      <c r="L305" s="101"/>
      <c r="M305" s="101"/>
      <c r="N305" s="101"/>
      <c r="O305" s="101"/>
      <c r="P305" s="101"/>
      <c r="Q305" s="101"/>
      <c r="R305" s="101"/>
      <c r="S305" s="110"/>
      <c r="T305" s="102"/>
      <c r="U305" s="101"/>
      <c r="V305" s="103"/>
      <c r="W305" s="101"/>
    </row>
    <row r="306" spans="1:23" x14ac:dyDescent="0.25">
      <c r="A306" s="98"/>
      <c r="H306" s="101"/>
      <c r="I306" s="101"/>
      <c r="J306" s="101"/>
      <c r="K306" s="101"/>
      <c r="L306" s="101"/>
      <c r="M306" s="101"/>
      <c r="N306" s="101"/>
      <c r="O306" s="101"/>
      <c r="P306" s="101"/>
      <c r="Q306" s="101"/>
      <c r="R306" s="101"/>
      <c r="S306" s="110"/>
      <c r="T306" s="102"/>
      <c r="U306" s="101"/>
      <c r="V306" s="103"/>
      <c r="W306" s="101"/>
    </row>
    <row r="307" spans="1:23" x14ac:dyDescent="0.25">
      <c r="A307" s="98"/>
      <c r="H307" s="101"/>
      <c r="I307" s="101"/>
      <c r="J307" s="101"/>
      <c r="K307" s="101"/>
      <c r="L307" s="101"/>
      <c r="M307" s="101"/>
      <c r="N307" s="101"/>
      <c r="O307" s="101"/>
      <c r="P307" s="101"/>
      <c r="Q307" s="101"/>
      <c r="R307" s="101"/>
      <c r="S307" s="110"/>
      <c r="T307" s="102"/>
      <c r="U307" s="101"/>
      <c r="V307" s="103"/>
      <c r="W307" s="101"/>
    </row>
    <row r="308" spans="1:23" x14ac:dyDescent="0.25">
      <c r="A308" s="98"/>
      <c r="H308" s="101"/>
      <c r="I308" s="101"/>
      <c r="J308" s="101"/>
      <c r="K308" s="101"/>
      <c r="L308" s="101"/>
      <c r="M308" s="101"/>
      <c r="N308" s="101"/>
      <c r="O308" s="101"/>
      <c r="P308" s="101"/>
      <c r="Q308" s="101"/>
      <c r="R308" s="101"/>
      <c r="S308" s="110"/>
      <c r="T308" s="102"/>
      <c r="U308" s="101"/>
      <c r="V308" s="103"/>
      <c r="W308" s="101"/>
    </row>
    <row r="309" spans="1:23" x14ac:dyDescent="0.25">
      <c r="A309" s="98"/>
      <c r="H309" s="101"/>
      <c r="I309" s="101"/>
      <c r="J309" s="101"/>
      <c r="K309" s="101"/>
      <c r="L309" s="101"/>
      <c r="M309" s="101"/>
      <c r="N309" s="101"/>
      <c r="O309" s="101"/>
      <c r="P309" s="101"/>
      <c r="Q309" s="101"/>
      <c r="R309" s="101"/>
      <c r="S309" s="110"/>
      <c r="T309" s="102"/>
      <c r="U309" s="101"/>
      <c r="V309" s="103"/>
      <c r="W309" s="101"/>
    </row>
    <row r="310" spans="1:23" x14ac:dyDescent="0.25">
      <c r="A310" s="98"/>
      <c r="H310" s="101"/>
      <c r="I310" s="101"/>
      <c r="J310" s="101"/>
      <c r="K310" s="101"/>
      <c r="L310" s="101"/>
      <c r="M310" s="101"/>
      <c r="N310" s="101"/>
      <c r="O310" s="101"/>
      <c r="P310" s="101"/>
      <c r="Q310" s="101"/>
      <c r="R310" s="101"/>
      <c r="S310" s="110"/>
      <c r="T310" s="102"/>
      <c r="U310" s="101"/>
      <c r="V310" s="103"/>
      <c r="W310" s="101"/>
    </row>
    <row r="311" spans="1:23" x14ac:dyDescent="0.25">
      <c r="A311" s="98"/>
      <c r="H311" s="101"/>
      <c r="I311" s="101"/>
      <c r="J311" s="101"/>
      <c r="K311" s="101"/>
      <c r="L311" s="101"/>
      <c r="M311" s="101"/>
      <c r="N311" s="101"/>
      <c r="O311" s="101"/>
      <c r="P311" s="101"/>
      <c r="Q311" s="101"/>
      <c r="R311" s="101"/>
      <c r="S311" s="110"/>
      <c r="T311" s="102"/>
      <c r="U311" s="101"/>
      <c r="V311" s="103"/>
      <c r="W311" s="101"/>
    </row>
    <row r="312" spans="1:23" x14ac:dyDescent="0.25">
      <c r="A312" s="98"/>
      <c r="H312" s="101"/>
      <c r="I312" s="101"/>
      <c r="J312" s="101"/>
      <c r="K312" s="101"/>
      <c r="L312" s="101"/>
      <c r="M312" s="101"/>
      <c r="N312" s="101"/>
      <c r="O312" s="101"/>
      <c r="P312" s="101"/>
      <c r="Q312" s="101"/>
      <c r="R312" s="101"/>
      <c r="S312" s="110"/>
      <c r="T312" s="102"/>
      <c r="U312" s="101"/>
      <c r="V312" s="103"/>
      <c r="W312" s="101"/>
    </row>
    <row r="313" spans="1:23" x14ac:dyDescent="0.25">
      <c r="A313" s="98"/>
      <c r="H313" s="101"/>
      <c r="I313" s="101"/>
      <c r="J313" s="101"/>
      <c r="K313" s="101"/>
      <c r="L313" s="101"/>
      <c r="M313" s="101"/>
      <c r="N313" s="101"/>
      <c r="O313" s="101"/>
      <c r="P313" s="101"/>
      <c r="Q313" s="101"/>
      <c r="R313" s="101"/>
      <c r="S313" s="110"/>
      <c r="T313" s="102"/>
      <c r="U313" s="101"/>
      <c r="V313" s="103"/>
      <c r="W313" s="101"/>
    </row>
    <row r="314" spans="1:23" x14ac:dyDescent="0.25">
      <c r="A314" s="98"/>
      <c r="H314" s="101"/>
      <c r="I314" s="101"/>
      <c r="J314" s="101"/>
      <c r="K314" s="101"/>
      <c r="L314" s="101"/>
      <c r="M314" s="101"/>
      <c r="N314" s="101"/>
      <c r="O314" s="101"/>
      <c r="P314" s="101"/>
      <c r="Q314" s="101"/>
      <c r="R314" s="101"/>
      <c r="S314" s="110"/>
      <c r="T314" s="102"/>
      <c r="U314" s="101"/>
      <c r="V314" s="103"/>
      <c r="W314" s="101"/>
    </row>
    <row r="315" spans="1:23" x14ac:dyDescent="0.25">
      <c r="A315" s="98"/>
      <c r="H315" s="101"/>
      <c r="I315" s="101"/>
      <c r="J315" s="101"/>
      <c r="K315" s="101"/>
      <c r="L315" s="101"/>
      <c r="M315" s="101"/>
      <c r="N315" s="101"/>
      <c r="O315" s="101"/>
      <c r="P315" s="101"/>
      <c r="Q315" s="101"/>
      <c r="R315" s="101"/>
      <c r="S315" s="110"/>
      <c r="T315" s="102"/>
      <c r="U315" s="101"/>
      <c r="V315" s="103"/>
      <c r="W315" s="101"/>
    </row>
    <row r="316" spans="1:23" x14ac:dyDescent="0.25">
      <c r="A316" s="98"/>
      <c r="H316" s="101"/>
      <c r="I316" s="101"/>
      <c r="J316" s="101"/>
      <c r="K316" s="101"/>
      <c r="L316" s="101"/>
      <c r="M316" s="101"/>
      <c r="N316" s="101"/>
      <c r="O316" s="101"/>
      <c r="P316" s="101"/>
      <c r="Q316" s="101"/>
      <c r="R316" s="101"/>
      <c r="S316" s="110"/>
      <c r="T316" s="102"/>
      <c r="U316" s="101"/>
      <c r="V316" s="103"/>
      <c r="W316" s="101"/>
    </row>
    <row r="317" spans="1:23" x14ac:dyDescent="0.25">
      <c r="A317" s="98"/>
      <c r="H317" s="101"/>
      <c r="I317" s="101"/>
      <c r="J317" s="101"/>
      <c r="K317" s="101"/>
      <c r="L317" s="101"/>
      <c r="M317" s="101"/>
      <c r="N317" s="101"/>
      <c r="O317" s="101"/>
      <c r="P317" s="101"/>
      <c r="Q317" s="101"/>
      <c r="R317" s="101"/>
      <c r="S317" s="110"/>
      <c r="T317" s="102"/>
      <c r="U317" s="101"/>
      <c r="V317" s="103"/>
      <c r="W317" s="101"/>
    </row>
    <row r="318" spans="1:23" x14ac:dyDescent="0.25">
      <c r="A318" s="98"/>
      <c r="H318" s="101"/>
      <c r="I318" s="101"/>
      <c r="J318" s="101"/>
      <c r="K318" s="101"/>
      <c r="L318" s="101"/>
      <c r="M318" s="101"/>
      <c r="N318" s="101"/>
      <c r="O318" s="101"/>
      <c r="P318" s="101"/>
      <c r="Q318" s="101"/>
      <c r="R318" s="101"/>
      <c r="S318" s="110"/>
      <c r="T318" s="102"/>
      <c r="U318" s="101"/>
      <c r="V318" s="103"/>
      <c r="W318" s="101"/>
    </row>
    <row r="319" spans="1:23" x14ac:dyDescent="0.25">
      <c r="A319" s="98"/>
      <c r="H319" s="101"/>
      <c r="I319" s="101"/>
      <c r="J319" s="101"/>
      <c r="K319" s="101"/>
      <c r="L319" s="101"/>
      <c r="M319" s="101"/>
      <c r="N319" s="101"/>
      <c r="O319" s="101"/>
      <c r="P319" s="101"/>
      <c r="Q319" s="101"/>
      <c r="R319" s="101"/>
      <c r="S319" s="110"/>
      <c r="T319" s="102"/>
      <c r="U319" s="101"/>
      <c r="V319" s="103"/>
      <c r="W319" s="101"/>
    </row>
    <row r="320" spans="1:23" x14ac:dyDescent="0.25">
      <c r="A320" s="98"/>
      <c r="H320" s="101"/>
      <c r="I320" s="101"/>
      <c r="J320" s="101"/>
      <c r="K320" s="101"/>
      <c r="L320" s="101"/>
      <c r="M320" s="101"/>
      <c r="N320" s="101"/>
      <c r="O320" s="101"/>
      <c r="P320" s="101"/>
      <c r="Q320" s="101"/>
      <c r="R320" s="101"/>
      <c r="S320" s="110"/>
      <c r="T320" s="102"/>
      <c r="U320" s="101"/>
      <c r="V320" s="103"/>
      <c r="W320" s="101"/>
    </row>
    <row r="321" spans="1:23" x14ac:dyDescent="0.25">
      <c r="A321" s="98"/>
      <c r="H321" s="101"/>
      <c r="I321" s="101"/>
      <c r="J321" s="101"/>
      <c r="K321" s="101"/>
      <c r="L321" s="101"/>
      <c r="M321" s="101"/>
      <c r="N321" s="101"/>
      <c r="O321" s="101"/>
      <c r="P321" s="101"/>
      <c r="Q321" s="101"/>
      <c r="R321" s="101"/>
      <c r="S321" s="110"/>
      <c r="T321" s="102"/>
      <c r="U321" s="101"/>
      <c r="V321" s="103"/>
      <c r="W321" s="101"/>
    </row>
    <row r="322" spans="1:23" x14ac:dyDescent="0.25">
      <c r="A322" s="98"/>
      <c r="H322" s="101"/>
      <c r="I322" s="101"/>
      <c r="J322" s="101"/>
      <c r="K322" s="101"/>
      <c r="L322" s="101"/>
      <c r="M322" s="101"/>
      <c r="N322" s="101"/>
      <c r="O322" s="101"/>
      <c r="P322" s="101"/>
      <c r="Q322" s="101"/>
      <c r="R322" s="101"/>
      <c r="S322" s="110"/>
      <c r="T322" s="102"/>
      <c r="U322" s="101"/>
      <c r="V322" s="103"/>
      <c r="W322" s="101"/>
    </row>
    <row r="323" spans="1:23" x14ac:dyDescent="0.25">
      <c r="A323" s="98"/>
      <c r="H323" s="101"/>
      <c r="I323" s="101"/>
      <c r="J323" s="101"/>
      <c r="K323" s="101"/>
      <c r="L323" s="101"/>
      <c r="M323" s="101"/>
      <c r="N323" s="101"/>
      <c r="O323" s="101"/>
      <c r="P323" s="101"/>
      <c r="Q323" s="101"/>
      <c r="R323" s="101"/>
      <c r="S323" s="110"/>
      <c r="T323" s="102"/>
      <c r="U323" s="101"/>
      <c r="V323" s="103"/>
      <c r="W323" s="101"/>
    </row>
    <row r="324" spans="1:23" x14ac:dyDescent="0.25">
      <c r="A324" s="98"/>
      <c r="H324" s="101"/>
      <c r="I324" s="101"/>
      <c r="J324" s="101"/>
      <c r="K324" s="101"/>
      <c r="L324" s="101"/>
      <c r="M324" s="101"/>
      <c r="N324" s="101"/>
      <c r="O324" s="101"/>
      <c r="P324" s="101"/>
      <c r="Q324" s="101"/>
      <c r="R324" s="101"/>
      <c r="S324" s="110"/>
      <c r="T324" s="102"/>
      <c r="U324" s="101"/>
      <c r="V324" s="103"/>
      <c r="W324" s="101"/>
    </row>
    <row r="325" spans="1:23" x14ac:dyDescent="0.25">
      <c r="A325" s="98"/>
      <c r="H325" s="101"/>
      <c r="I325" s="101"/>
      <c r="J325" s="101"/>
      <c r="K325" s="101"/>
      <c r="L325" s="101"/>
      <c r="M325" s="101"/>
      <c r="N325" s="101"/>
      <c r="O325" s="101"/>
      <c r="P325" s="101"/>
      <c r="Q325" s="101"/>
      <c r="R325" s="101"/>
      <c r="S325" s="110"/>
      <c r="T325" s="102"/>
      <c r="U325" s="101"/>
      <c r="V325" s="103"/>
      <c r="W325" s="101"/>
    </row>
    <row r="326" spans="1:23" x14ac:dyDescent="0.25">
      <c r="A326" s="98"/>
      <c r="H326" s="101"/>
      <c r="I326" s="101"/>
      <c r="J326" s="101"/>
      <c r="K326" s="101"/>
      <c r="L326" s="101"/>
      <c r="M326" s="101"/>
      <c r="N326" s="101"/>
      <c r="O326" s="101"/>
      <c r="P326" s="101"/>
      <c r="Q326" s="101"/>
      <c r="R326" s="101"/>
      <c r="S326" s="110"/>
      <c r="T326" s="102"/>
      <c r="U326" s="101"/>
      <c r="V326" s="103"/>
      <c r="W326" s="101"/>
    </row>
    <row r="327" spans="1:23" x14ac:dyDescent="0.25">
      <c r="A327" s="98"/>
      <c r="H327" s="101"/>
      <c r="I327" s="101"/>
      <c r="J327" s="101"/>
      <c r="K327" s="101"/>
      <c r="L327" s="101"/>
      <c r="M327" s="101"/>
      <c r="N327" s="101"/>
      <c r="O327" s="101"/>
      <c r="P327" s="101"/>
      <c r="Q327" s="101"/>
      <c r="R327" s="101"/>
      <c r="S327" s="110"/>
      <c r="T327" s="102"/>
      <c r="U327" s="101"/>
      <c r="V327" s="103"/>
      <c r="W327" s="101"/>
    </row>
    <row r="328" spans="1:23" x14ac:dyDescent="0.25">
      <c r="A328" s="98"/>
      <c r="H328" s="101"/>
      <c r="I328" s="101"/>
      <c r="J328" s="101"/>
      <c r="K328" s="101"/>
      <c r="L328" s="101"/>
      <c r="M328" s="101"/>
      <c r="N328" s="101"/>
      <c r="O328" s="101"/>
      <c r="P328" s="101"/>
      <c r="Q328" s="101"/>
      <c r="R328" s="101"/>
      <c r="S328" s="110"/>
      <c r="T328" s="102"/>
      <c r="U328" s="101"/>
      <c r="V328" s="103"/>
      <c r="W328" s="101"/>
    </row>
    <row r="329" spans="1:23" x14ac:dyDescent="0.25">
      <c r="A329" s="98"/>
      <c r="H329" s="101"/>
      <c r="I329" s="101"/>
      <c r="J329" s="101"/>
      <c r="K329" s="101"/>
      <c r="L329" s="101"/>
      <c r="M329" s="101"/>
      <c r="N329" s="101"/>
      <c r="O329" s="101"/>
      <c r="P329" s="101"/>
      <c r="Q329" s="101"/>
      <c r="R329" s="101"/>
      <c r="S329" s="110"/>
      <c r="T329" s="102"/>
      <c r="U329" s="101"/>
      <c r="V329" s="103"/>
      <c r="W329" s="101"/>
    </row>
    <row r="330" spans="1:23" x14ac:dyDescent="0.25">
      <c r="A330" s="98"/>
      <c r="H330" s="101"/>
      <c r="I330" s="101"/>
      <c r="J330" s="101"/>
      <c r="K330" s="101"/>
      <c r="L330" s="101"/>
      <c r="M330" s="101"/>
      <c r="N330" s="101"/>
      <c r="O330" s="101"/>
      <c r="P330" s="101"/>
      <c r="Q330" s="101"/>
      <c r="R330" s="101"/>
      <c r="S330" s="110"/>
      <c r="T330" s="102"/>
      <c r="U330" s="101"/>
      <c r="V330" s="103"/>
      <c r="W330" s="101"/>
    </row>
    <row r="331" spans="1:23" x14ac:dyDescent="0.25">
      <c r="A331" s="98"/>
      <c r="H331" s="101"/>
      <c r="I331" s="101"/>
      <c r="J331" s="101"/>
      <c r="K331" s="101"/>
      <c r="L331" s="101"/>
      <c r="M331" s="101"/>
      <c r="N331" s="101"/>
      <c r="O331" s="101"/>
      <c r="P331" s="101"/>
      <c r="Q331" s="101"/>
      <c r="R331" s="101"/>
      <c r="S331" s="110"/>
      <c r="T331" s="102"/>
      <c r="U331" s="101"/>
      <c r="V331" s="103"/>
      <c r="W331" s="101"/>
    </row>
    <row r="332" spans="1:23" x14ac:dyDescent="0.25">
      <c r="A332" s="98"/>
      <c r="H332" s="101"/>
      <c r="I332" s="101"/>
      <c r="J332" s="101"/>
      <c r="K332" s="101"/>
      <c r="L332" s="101"/>
      <c r="M332" s="101"/>
      <c r="N332" s="101"/>
      <c r="O332" s="101"/>
      <c r="P332" s="101"/>
      <c r="Q332" s="101"/>
      <c r="R332" s="101"/>
      <c r="S332" s="110"/>
      <c r="T332" s="102"/>
      <c r="U332" s="101"/>
      <c r="V332" s="103"/>
      <c r="W332" s="101"/>
    </row>
    <row r="333" spans="1:23" x14ac:dyDescent="0.25">
      <c r="A333" s="98"/>
      <c r="H333" s="101"/>
      <c r="I333" s="101"/>
      <c r="J333" s="101"/>
      <c r="K333" s="101"/>
      <c r="L333" s="101"/>
      <c r="M333" s="101"/>
      <c r="N333" s="101"/>
      <c r="O333" s="101"/>
      <c r="P333" s="101"/>
      <c r="Q333" s="101"/>
      <c r="R333" s="101"/>
      <c r="S333" s="110"/>
      <c r="T333" s="102"/>
      <c r="U333" s="101"/>
      <c r="V333" s="103"/>
      <c r="W333" s="101"/>
    </row>
    <row r="334" spans="1:23" x14ac:dyDescent="0.25">
      <c r="A334" s="98"/>
      <c r="H334" s="101"/>
      <c r="I334" s="101"/>
      <c r="J334" s="101"/>
      <c r="K334" s="101"/>
      <c r="L334" s="101"/>
      <c r="M334" s="101"/>
      <c r="N334" s="101"/>
      <c r="O334" s="101"/>
      <c r="P334" s="101"/>
      <c r="Q334" s="101"/>
      <c r="R334" s="101"/>
      <c r="S334" s="110"/>
      <c r="T334" s="102"/>
      <c r="U334" s="101"/>
      <c r="V334" s="103"/>
      <c r="W334" s="101"/>
    </row>
    <row r="335" spans="1:23" x14ac:dyDescent="0.25">
      <c r="A335" s="98"/>
      <c r="H335" s="101"/>
      <c r="I335" s="101"/>
      <c r="J335" s="101"/>
      <c r="K335" s="101"/>
      <c r="L335" s="101"/>
      <c r="M335" s="101"/>
      <c r="N335" s="101"/>
      <c r="O335" s="101"/>
      <c r="P335" s="101"/>
      <c r="Q335" s="101"/>
      <c r="R335" s="101"/>
      <c r="S335" s="110"/>
      <c r="T335" s="102"/>
      <c r="U335" s="101"/>
      <c r="V335" s="103"/>
      <c r="W335" s="101"/>
    </row>
    <row r="336" spans="1:23" x14ac:dyDescent="0.25">
      <c r="A336" s="98"/>
      <c r="H336" s="101"/>
      <c r="I336" s="101"/>
      <c r="J336" s="101"/>
      <c r="K336" s="101"/>
      <c r="L336" s="101"/>
      <c r="M336" s="101"/>
      <c r="N336" s="101"/>
      <c r="O336" s="101"/>
      <c r="P336" s="101"/>
      <c r="Q336" s="101"/>
      <c r="R336" s="101"/>
      <c r="S336" s="110"/>
      <c r="T336" s="102"/>
      <c r="U336" s="101"/>
      <c r="V336" s="103"/>
      <c r="W336" s="101"/>
    </row>
    <row r="337" spans="1:23" x14ac:dyDescent="0.25">
      <c r="A337" s="98"/>
      <c r="H337" s="101"/>
      <c r="I337" s="101"/>
      <c r="J337" s="101"/>
      <c r="K337" s="101"/>
      <c r="L337" s="101"/>
      <c r="M337" s="101"/>
      <c r="N337" s="101"/>
      <c r="O337" s="101"/>
      <c r="P337" s="101"/>
      <c r="Q337" s="101"/>
      <c r="R337" s="101"/>
      <c r="S337" s="110"/>
      <c r="T337" s="102"/>
      <c r="U337" s="101"/>
      <c r="V337" s="103"/>
      <c r="W337" s="101"/>
    </row>
    <row r="338" spans="1:23" x14ac:dyDescent="0.25">
      <c r="A338" s="98"/>
      <c r="H338" s="101"/>
      <c r="I338" s="101"/>
      <c r="J338" s="101"/>
      <c r="K338" s="101"/>
      <c r="L338" s="101"/>
      <c r="M338" s="101"/>
      <c r="N338" s="101"/>
      <c r="O338" s="101"/>
      <c r="P338" s="101"/>
      <c r="Q338" s="101"/>
      <c r="R338" s="101"/>
      <c r="S338" s="110"/>
      <c r="T338" s="102"/>
      <c r="U338" s="101"/>
      <c r="V338" s="103"/>
      <c r="W338" s="101"/>
    </row>
    <row r="339" spans="1:23" x14ac:dyDescent="0.25">
      <c r="A339" s="98"/>
      <c r="H339" s="101"/>
      <c r="I339" s="101"/>
      <c r="J339" s="101"/>
      <c r="K339" s="101"/>
      <c r="L339" s="101"/>
      <c r="M339" s="101"/>
      <c r="N339" s="101"/>
      <c r="O339" s="101"/>
      <c r="P339" s="101"/>
      <c r="Q339" s="101"/>
      <c r="R339" s="101"/>
      <c r="S339" s="110"/>
      <c r="T339" s="102"/>
      <c r="U339" s="101"/>
      <c r="V339" s="103"/>
      <c r="W339" s="101"/>
    </row>
    <row r="340" spans="1:23" x14ac:dyDescent="0.25">
      <c r="A340" s="98"/>
      <c r="H340" s="101"/>
      <c r="I340" s="101"/>
      <c r="J340" s="101"/>
      <c r="K340" s="101"/>
      <c r="L340" s="101"/>
      <c r="M340" s="101"/>
      <c r="N340" s="101"/>
      <c r="O340" s="101"/>
      <c r="P340" s="101"/>
      <c r="Q340" s="101"/>
      <c r="R340" s="101"/>
      <c r="S340" s="110"/>
      <c r="T340" s="102"/>
      <c r="U340" s="101"/>
      <c r="V340" s="103"/>
      <c r="W340" s="101"/>
    </row>
    <row r="341" spans="1:23" x14ac:dyDescent="0.25">
      <c r="A341" s="98"/>
      <c r="H341" s="101"/>
      <c r="I341" s="101"/>
      <c r="J341" s="101"/>
      <c r="K341" s="101"/>
      <c r="L341" s="101"/>
      <c r="M341" s="101"/>
      <c r="N341" s="101"/>
      <c r="O341" s="101"/>
      <c r="P341" s="101"/>
      <c r="Q341" s="101"/>
      <c r="R341" s="101"/>
      <c r="S341" s="110"/>
      <c r="T341" s="102"/>
      <c r="U341" s="101"/>
      <c r="V341" s="103"/>
      <c r="W341" s="101"/>
    </row>
    <row r="342" spans="1:23" x14ac:dyDescent="0.25">
      <c r="A342" s="98"/>
      <c r="H342" s="101"/>
      <c r="I342" s="101"/>
      <c r="J342" s="101"/>
      <c r="K342" s="101"/>
      <c r="L342" s="101"/>
      <c r="M342" s="101"/>
      <c r="N342" s="101"/>
      <c r="O342" s="101"/>
      <c r="P342" s="101"/>
      <c r="Q342" s="101"/>
      <c r="R342" s="101"/>
      <c r="S342" s="110"/>
      <c r="T342" s="102"/>
      <c r="U342" s="101"/>
      <c r="V342" s="103"/>
      <c r="W342" s="101"/>
    </row>
    <row r="343" spans="1:23" x14ac:dyDescent="0.25">
      <c r="A343" s="98"/>
      <c r="H343" s="101"/>
      <c r="I343" s="101"/>
      <c r="J343" s="101"/>
      <c r="K343" s="101"/>
      <c r="L343" s="101"/>
      <c r="M343" s="101"/>
      <c r="N343" s="101"/>
      <c r="O343" s="101"/>
      <c r="P343" s="101"/>
      <c r="Q343" s="101"/>
      <c r="R343" s="101"/>
      <c r="S343" s="110"/>
      <c r="T343" s="102"/>
      <c r="U343" s="101"/>
      <c r="V343" s="103"/>
      <c r="W343" s="101"/>
    </row>
    <row r="344" spans="1:23" x14ac:dyDescent="0.25">
      <c r="A344" s="98"/>
      <c r="H344" s="101"/>
      <c r="I344" s="101"/>
      <c r="J344" s="101"/>
      <c r="K344" s="101"/>
      <c r="L344" s="101"/>
      <c r="M344" s="101"/>
      <c r="N344" s="101"/>
      <c r="O344" s="101"/>
      <c r="P344" s="101"/>
      <c r="Q344" s="101"/>
      <c r="R344" s="101"/>
      <c r="S344" s="110"/>
      <c r="T344" s="102"/>
      <c r="U344" s="101"/>
      <c r="V344" s="103"/>
      <c r="W344" s="101"/>
    </row>
    <row r="345" spans="1:23" x14ac:dyDescent="0.25">
      <c r="A345" s="98"/>
      <c r="H345" s="101"/>
      <c r="I345" s="101"/>
      <c r="J345" s="101"/>
      <c r="K345" s="101"/>
      <c r="L345" s="101"/>
      <c r="M345" s="101"/>
      <c r="N345" s="101"/>
      <c r="O345" s="101"/>
      <c r="P345" s="101"/>
      <c r="Q345" s="101"/>
      <c r="R345" s="101"/>
      <c r="S345" s="110"/>
      <c r="T345" s="102"/>
      <c r="U345" s="101"/>
      <c r="V345" s="103"/>
      <c r="W345" s="101"/>
    </row>
    <row r="346" spans="1:23" x14ac:dyDescent="0.25">
      <c r="A346" s="98"/>
      <c r="H346" s="101"/>
      <c r="I346" s="101"/>
      <c r="J346" s="101"/>
      <c r="K346" s="101"/>
      <c r="L346" s="101"/>
      <c r="M346" s="101"/>
      <c r="N346" s="101"/>
      <c r="O346" s="101"/>
      <c r="P346" s="101"/>
      <c r="Q346" s="101"/>
      <c r="R346" s="101"/>
      <c r="S346" s="110"/>
      <c r="T346" s="102"/>
      <c r="U346" s="101"/>
      <c r="V346" s="103"/>
      <c r="W346" s="101"/>
    </row>
    <row r="347" spans="1:23" x14ac:dyDescent="0.25">
      <c r="A347" s="98"/>
      <c r="H347" s="101"/>
      <c r="I347" s="101"/>
      <c r="J347" s="101"/>
      <c r="K347" s="101"/>
      <c r="L347" s="101"/>
      <c r="M347" s="101"/>
      <c r="N347" s="101"/>
      <c r="O347" s="101"/>
      <c r="P347" s="101"/>
      <c r="Q347" s="101"/>
      <c r="R347" s="101"/>
      <c r="S347" s="110"/>
      <c r="T347" s="102"/>
      <c r="U347" s="101"/>
      <c r="V347" s="103"/>
      <c r="W347" s="101"/>
    </row>
    <row r="348" spans="1:23" x14ac:dyDescent="0.25">
      <c r="A348" s="98"/>
      <c r="H348" s="101"/>
      <c r="I348" s="101"/>
      <c r="J348" s="101"/>
      <c r="K348" s="101"/>
      <c r="L348" s="101"/>
      <c r="M348" s="101"/>
      <c r="N348" s="101"/>
      <c r="O348" s="101"/>
      <c r="P348" s="101"/>
      <c r="Q348" s="101"/>
      <c r="R348" s="101"/>
      <c r="S348" s="110"/>
      <c r="T348" s="102"/>
      <c r="U348" s="101"/>
      <c r="V348" s="103"/>
      <c r="W348" s="101"/>
    </row>
    <row r="349" spans="1:23" x14ac:dyDescent="0.25">
      <c r="A349" s="98"/>
      <c r="H349" s="101"/>
      <c r="I349" s="101"/>
      <c r="J349" s="101"/>
      <c r="K349" s="101"/>
      <c r="L349" s="101"/>
      <c r="M349" s="101"/>
      <c r="N349" s="101"/>
      <c r="O349" s="101"/>
      <c r="P349" s="101"/>
      <c r="Q349" s="101"/>
      <c r="R349" s="101"/>
      <c r="S349" s="110"/>
      <c r="T349" s="102"/>
      <c r="U349" s="101"/>
      <c r="V349" s="103"/>
      <c r="W349" s="101"/>
    </row>
    <row r="350" spans="1:23" x14ac:dyDescent="0.25">
      <c r="A350" s="98"/>
      <c r="H350" s="101"/>
      <c r="I350" s="101"/>
      <c r="J350" s="101"/>
      <c r="K350" s="101"/>
      <c r="L350" s="101"/>
      <c r="M350" s="101"/>
      <c r="N350" s="101"/>
      <c r="O350" s="101"/>
      <c r="P350" s="101"/>
      <c r="Q350" s="101"/>
      <c r="R350" s="101"/>
      <c r="S350" s="110"/>
      <c r="T350" s="102"/>
      <c r="U350" s="101"/>
      <c r="V350" s="103"/>
      <c r="W350" s="101"/>
    </row>
    <row r="351" spans="1:23" x14ac:dyDescent="0.25">
      <c r="A351" s="98"/>
      <c r="H351" s="101"/>
      <c r="I351" s="101"/>
      <c r="J351" s="101"/>
      <c r="K351" s="101"/>
      <c r="L351" s="101"/>
      <c r="M351" s="101"/>
      <c r="N351" s="101"/>
      <c r="O351" s="101"/>
      <c r="P351" s="101"/>
      <c r="Q351" s="101"/>
      <c r="R351" s="101"/>
      <c r="S351" s="110"/>
      <c r="T351" s="102"/>
      <c r="U351" s="101"/>
      <c r="V351" s="103"/>
      <c r="W351" s="101"/>
    </row>
    <row r="352" spans="1:23" x14ac:dyDescent="0.25">
      <c r="A352" s="98"/>
      <c r="H352" s="101"/>
      <c r="I352" s="101"/>
      <c r="J352" s="101"/>
      <c r="K352" s="101"/>
      <c r="L352" s="101"/>
      <c r="M352" s="101"/>
      <c r="N352" s="101"/>
      <c r="O352" s="101"/>
      <c r="P352" s="101"/>
      <c r="Q352" s="101"/>
      <c r="R352" s="101"/>
      <c r="S352" s="110"/>
      <c r="T352" s="102"/>
      <c r="U352" s="101"/>
      <c r="V352" s="103"/>
      <c r="W352" s="101"/>
    </row>
    <row r="353" spans="1:23" x14ac:dyDescent="0.25">
      <c r="A353" s="98"/>
      <c r="H353" s="101"/>
      <c r="I353" s="101"/>
      <c r="J353" s="101"/>
      <c r="K353" s="101"/>
      <c r="L353" s="101"/>
      <c r="M353" s="101"/>
      <c r="N353" s="101"/>
      <c r="O353" s="101"/>
      <c r="P353" s="101"/>
      <c r="Q353" s="101"/>
      <c r="R353" s="101"/>
      <c r="S353" s="110"/>
      <c r="T353" s="102"/>
      <c r="U353" s="101"/>
      <c r="V353" s="103"/>
      <c r="W353" s="101"/>
    </row>
    <row r="354" spans="1:23" x14ac:dyDescent="0.25">
      <c r="A354" s="98"/>
      <c r="H354" s="101"/>
      <c r="I354" s="101"/>
      <c r="J354" s="101"/>
      <c r="K354" s="101"/>
      <c r="L354" s="101"/>
      <c r="M354" s="101"/>
      <c r="N354" s="101"/>
      <c r="O354" s="101"/>
      <c r="P354" s="101"/>
      <c r="Q354" s="101"/>
      <c r="R354" s="101"/>
      <c r="S354" s="110"/>
      <c r="T354" s="102"/>
      <c r="U354" s="101"/>
      <c r="V354" s="103"/>
      <c r="W354" s="101"/>
    </row>
    <row r="355" spans="1:23" x14ac:dyDescent="0.25">
      <c r="A355" s="98"/>
      <c r="H355" s="101"/>
      <c r="I355" s="101"/>
      <c r="J355" s="101"/>
      <c r="K355" s="101"/>
      <c r="L355" s="101"/>
      <c r="M355" s="101"/>
      <c r="N355" s="101"/>
      <c r="O355" s="101"/>
      <c r="P355" s="101"/>
      <c r="Q355" s="101"/>
      <c r="R355" s="101"/>
      <c r="S355" s="110"/>
      <c r="T355" s="102"/>
      <c r="U355" s="101"/>
      <c r="V355" s="103"/>
      <c r="W355" s="101"/>
    </row>
    <row r="356" spans="1:23" x14ac:dyDescent="0.25">
      <c r="A356" s="98"/>
      <c r="H356" s="101"/>
      <c r="I356" s="101"/>
      <c r="J356" s="101"/>
      <c r="K356" s="101"/>
      <c r="L356" s="101"/>
      <c r="M356" s="101"/>
      <c r="N356" s="101"/>
      <c r="O356" s="101"/>
      <c r="P356" s="101"/>
      <c r="Q356" s="101"/>
      <c r="R356" s="101"/>
      <c r="S356" s="110"/>
      <c r="T356" s="102"/>
      <c r="U356" s="101"/>
      <c r="V356" s="103"/>
      <c r="W356" s="101"/>
    </row>
    <row r="357" spans="1:23" x14ac:dyDescent="0.25">
      <c r="A357" s="98"/>
      <c r="H357" s="101"/>
      <c r="I357" s="101"/>
      <c r="J357" s="101"/>
      <c r="K357" s="101"/>
      <c r="L357" s="101"/>
      <c r="M357" s="101"/>
      <c r="N357" s="101"/>
      <c r="O357" s="101"/>
      <c r="P357" s="101"/>
      <c r="Q357" s="101"/>
      <c r="R357" s="101"/>
      <c r="S357" s="110"/>
      <c r="T357" s="102"/>
      <c r="U357" s="101"/>
      <c r="V357" s="103"/>
      <c r="W357" s="101"/>
    </row>
    <row r="358" spans="1:23" x14ac:dyDescent="0.25">
      <c r="A358" s="98"/>
      <c r="H358" s="101"/>
      <c r="I358" s="101"/>
      <c r="J358" s="101"/>
      <c r="K358" s="101"/>
      <c r="L358" s="101"/>
      <c r="M358" s="101"/>
      <c r="N358" s="101"/>
      <c r="O358" s="101"/>
      <c r="P358" s="101"/>
      <c r="Q358" s="101"/>
      <c r="R358" s="101"/>
      <c r="S358" s="110"/>
      <c r="T358" s="102"/>
      <c r="U358" s="101"/>
      <c r="V358" s="103"/>
      <c r="W358" s="101"/>
    </row>
    <row r="359" spans="1:23" x14ac:dyDescent="0.25">
      <c r="A359" s="98"/>
      <c r="H359" s="101"/>
      <c r="I359" s="101"/>
      <c r="J359" s="101"/>
      <c r="K359" s="101"/>
      <c r="L359" s="101"/>
      <c r="M359" s="101"/>
      <c r="N359" s="101"/>
      <c r="O359" s="101"/>
      <c r="P359" s="101"/>
      <c r="Q359" s="101"/>
      <c r="R359" s="101"/>
      <c r="S359" s="110"/>
      <c r="T359" s="102"/>
      <c r="U359" s="101"/>
      <c r="V359" s="103"/>
      <c r="W359" s="101"/>
    </row>
    <row r="360" spans="1:23" x14ac:dyDescent="0.25">
      <c r="A360" s="98"/>
      <c r="H360" s="101"/>
      <c r="I360" s="101"/>
      <c r="J360" s="101"/>
      <c r="K360" s="101"/>
      <c r="L360" s="101"/>
      <c r="M360" s="101"/>
      <c r="N360" s="101"/>
      <c r="O360" s="101"/>
      <c r="P360" s="101"/>
      <c r="Q360" s="101"/>
      <c r="R360" s="101"/>
      <c r="S360" s="110"/>
      <c r="T360" s="102"/>
      <c r="U360" s="101"/>
      <c r="V360" s="103"/>
      <c r="W360" s="101"/>
    </row>
    <row r="361" spans="1:23" x14ac:dyDescent="0.25">
      <c r="A361" s="98"/>
      <c r="H361" s="101"/>
      <c r="I361" s="101"/>
      <c r="J361" s="101"/>
      <c r="K361" s="101"/>
      <c r="L361" s="101"/>
      <c r="M361" s="101"/>
      <c r="N361" s="101"/>
      <c r="O361" s="101"/>
      <c r="P361" s="101"/>
      <c r="Q361" s="101"/>
      <c r="R361" s="101"/>
      <c r="S361" s="110"/>
      <c r="T361" s="102"/>
      <c r="U361" s="101"/>
      <c r="V361" s="103"/>
      <c r="W361" s="101"/>
    </row>
    <row r="362" spans="1:23" x14ac:dyDescent="0.25">
      <c r="A362" s="98"/>
      <c r="H362" s="101"/>
      <c r="I362" s="101"/>
      <c r="J362" s="101"/>
      <c r="K362" s="101"/>
      <c r="L362" s="101"/>
      <c r="M362" s="101"/>
      <c r="N362" s="101"/>
      <c r="O362" s="101"/>
      <c r="P362" s="101"/>
      <c r="Q362" s="101"/>
      <c r="R362" s="101"/>
      <c r="S362" s="110"/>
      <c r="T362" s="102"/>
      <c r="U362" s="101"/>
      <c r="V362" s="103"/>
      <c r="W362" s="101"/>
    </row>
    <row r="363" spans="1:23" x14ac:dyDescent="0.25">
      <c r="A363" s="98"/>
      <c r="H363" s="101"/>
      <c r="I363" s="101"/>
      <c r="J363" s="101"/>
      <c r="K363" s="101"/>
      <c r="L363" s="101"/>
      <c r="M363" s="101"/>
      <c r="N363" s="101"/>
      <c r="O363" s="101"/>
      <c r="P363" s="101"/>
      <c r="Q363" s="101"/>
      <c r="R363" s="101"/>
      <c r="S363" s="110"/>
      <c r="T363" s="102"/>
      <c r="U363" s="101"/>
      <c r="V363" s="103"/>
      <c r="W363" s="101"/>
    </row>
    <row r="364" spans="1:23" x14ac:dyDescent="0.25">
      <c r="A364" s="98"/>
      <c r="H364" s="101"/>
      <c r="I364" s="101"/>
      <c r="J364" s="101"/>
      <c r="K364" s="101"/>
      <c r="L364" s="101"/>
      <c r="M364" s="101"/>
      <c r="N364" s="101"/>
      <c r="O364" s="101"/>
      <c r="P364" s="101"/>
      <c r="Q364" s="101"/>
      <c r="R364" s="101"/>
      <c r="S364" s="110"/>
      <c r="T364" s="102"/>
      <c r="U364" s="101"/>
      <c r="V364" s="103"/>
      <c r="W364" s="101"/>
    </row>
    <row r="365" spans="1:23" x14ac:dyDescent="0.25">
      <c r="A365" s="98"/>
      <c r="H365" s="101"/>
      <c r="I365" s="101"/>
      <c r="J365" s="101"/>
      <c r="K365" s="101"/>
      <c r="L365" s="101"/>
      <c r="M365" s="101"/>
      <c r="N365" s="101"/>
      <c r="O365" s="101"/>
      <c r="P365" s="101"/>
      <c r="Q365" s="101"/>
      <c r="R365" s="101"/>
      <c r="S365" s="110"/>
      <c r="T365" s="102"/>
      <c r="U365" s="101"/>
      <c r="V365" s="103"/>
      <c r="W365" s="101"/>
    </row>
    <row r="366" spans="1:23" x14ac:dyDescent="0.25">
      <c r="A366" s="98"/>
      <c r="H366" s="101"/>
      <c r="I366" s="101"/>
      <c r="J366" s="101"/>
      <c r="K366" s="101"/>
      <c r="L366" s="101"/>
      <c r="M366" s="101"/>
      <c r="N366" s="101"/>
      <c r="O366" s="101"/>
      <c r="P366" s="101"/>
      <c r="Q366" s="101"/>
      <c r="R366" s="101"/>
      <c r="S366" s="110"/>
      <c r="T366" s="102"/>
      <c r="U366" s="101"/>
      <c r="V366" s="103"/>
      <c r="W366" s="101"/>
    </row>
    <row r="367" spans="1:23" x14ac:dyDescent="0.25">
      <c r="A367" s="98"/>
      <c r="H367" s="101"/>
      <c r="I367" s="101"/>
      <c r="J367" s="101"/>
      <c r="K367" s="101"/>
      <c r="L367" s="101"/>
      <c r="M367" s="101"/>
      <c r="N367" s="101"/>
      <c r="O367" s="101"/>
      <c r="P367" s="101"/>
      <c r="Q367" s="101"/>
      <c r="R367" s="101"/>
      <c r="S367" s="110"/>
      <c r="T367" s="102"/>
      <c r="U367" s="101"/>
      <c r="V367" s="103"/>
      <c r="W367" s="101"/>
    </row>
    <row r="368" spans="1:23" x14ac:dyDescent="0.25">
      <c r="A368" s="98"/>
      <c r="H368" s="101"/>
      <c r="I368" s="101"/>
      <c r="J368" s="101"/>
      <c r="K368" s="101"/>
      <c r="L368" s="101"/>
      <c r="M368" s="101"/>
      <c r="N368" s="101"/>
      <c r="O368" s="101"/>
      <c r="P368" s="101"/>
      <c r="Q368" s="101"/>
      <c r="R368" s="101"/>
      <c r="S368" s="110"/>
      <c r="T368" s="102"/>
      <c r="U368" s="101"/>
      <c r="V368" s="103"/>
      <c r="W368" s="101"/>
    </row>
    <row r="369" spans="1:23" x14ac:dyDescent="0.25">
      <c r="A369" s="98"/>
      <c r="H369" s="101"/>
      <c r="I369" s="101"/>
      <c r="J369" s="101"/>
      <c r="K369" s="101"/>
      <c r="L369" s="101"/>
      <c r="M369" s="101"/>
      <c r="N369" s="101"/>
      <c r="O369" s="101"/>
      <c r="P369" s="101"/>
      <c r="Q369" s="101"/>
      <c r="R369" s="101"/>
      <c r="S369" s="110"/>
      <c r="T369" s="102"/>
      <c r="U369" s="101"/>
      <c r="V369" s="103"/>
      <c r="W369" s="101"/>
    </row>
    <row r="370" spans="1:23" x14ac:dyDescent="0.25">
      <c r="A370" s="98"/>
      <c r="H370" s="101"/>
      <c r="I370" s="101"/>
      <c r="J370" s="101"/>
      <c r="K370" s="101"/>
      <c r="L370" s="101"/>
      <c r="M370" s="101"/>
      <c r="N370" s="101"/>
      <c r="O370" s="101"/>
      <c r="P370" s="101"/>
      <c r="Q370" s="101"/>
      <c r="R370" s="101"/>
      <c r="S370" s="110"/>
      <c r="T370" s="102"/>
      <c r="U370" s="101"/>
      <c r="V370" s="103"/>
      <c r="W370" s="101"/>
    </row>
    <row r="371" spans="1:23" x14ac:dyDescent="0.25">
      <c r="A371" s="98"/>
      <c r="H371" s="101"/>
      <c r="I371" s="101"/>
      <c r="J371" s="101"/>
      <c r="K371" s="101"/>
      <c r="L371" s="101"/>
      <c r="M371" s="101"/>
      <c r="N371" s="101"/>
      <c r="O371" s="101"/>
      <c r="P371" s="101"/>
      <c r="Q371" s="101"/>
      <c r="R371" s="101"/>
      <c r="S371" s="110"/>
      <c r="T371" s="102"/>
      <c r="U371" s="101"/>
      <c r="V371" s="103"/>
      <c r="W371" s="101"/>
    </row>
    <row r="372" spans="1:23" x14ac:dyDescent="0.25">
      <c r="A372" s="98"/>
      <c r="H372" s="101"/>
      <c r="I372" s="101"/>
      <c r="J372" s="101"/>
      <c r="K372" s="101"/>
      <c r="L372" s="101"/>
      <c r="M372" s="101"/>
      <c r="N372" s="101"/>
      <c r="O372" s="101"/>
      <c r="P372" s="101"/>
      <c r="Q372" s="101"/>
      <c r="R372" s="101"/>
      <c r="S372" s="110"/>
      <c r="T372" s="102"/>
      <c r="U372" s="101"/>
      <c r="V372" s="103"/>
      <c r="W372" s="101"/>
    </row>
    <row r="373" spans="1:23" x14ac:dyDescent="0.25">
      <c r="A373" s="98"/>
      <c r="H373" s="101"/>
      <c r="I373" s="101"/>
      <c r="J373" s="101"/>
      <c r="K373" s="101"/>
      <c r="L373" s="101"/>
      <c r="M373" s="101"/>
      <c r="N373" s="101"/>
      <c r="O373" s="101"/>
      <c r="P373" s="101"/>
      <c r="Q373" s="101"/>
      <c r="R373" s="101"/>
      <c r="S373" s="110"/>
      <c r="T373" s="102"/>
      <c r="U373" s="101"/>
      <c r="V373" s="103"/>
      <c r="W373" s="101"/>
    </row>
    <row r="374" spans="1:23" x14ac:dyDescent="0.25">
      <c r="A374" s="98"/>
      <c r="H374" s="101"/>
      <c r="I374" s="101"/>
      <c r="J374" s="101"/>
      <c r="K374" s="101"/>
      <c r="L374" s="101"/>
      <c r="M374" s="101"/>
      <c r="N374" s="101"/>
      <c r="O374" s="101"/>
      <c r="P374" s="101"/>
      <c r="Q374" s="101"/>
      <c r="R374" s="101"/>
      <c r="S374" s="110"/>
      <c r="T374" s="102"/>
      <c r="U374" s="101"/>
      <c r="V374" s="103"/>
      <c r="W374" s="101"/>
    </row>
    <row r="375" spans="1:23" x14ac:dyDescent="0.25">
      <c r="A375" s="98"/>
      <c r="H375" s="101"/>
      <c r="I375" s="101"/>
      <c r="J375" s="101"/>
      <c r="K375" s="101"/>
      <c r="L375" s="101"/>
      <c r="M375" s="101"/>
      <c r="N375" s="101"/>
      <c r="O375" s="101"/>
      <c r="P375" s="101"/>
      <c r="Q375" s="101"/>
      <c r="R375" s="101"/>
      <c r="S375" s="110"/>
      <c r="T375" s="102"/>
      <c r="U375" s="101"/>
      <c r="V375" s="103"/>
      <c r="W375" s="101"/>
    </row>
    <row r="376" spans="1:23" x14ac:dyDescent="0.25">
      <c r="A376" s="98"/>
      <c r="H376" s="101"/>
      <c r="I376" s="101"/>
      <c r="J376" s="101"/>
      <c r="K376" s="101"/>
      <c r="L376" s="101"/>
      <c r="M376" s="101"/>
      <c r="N376" s="101"/>
      <c r="O376" s="101"/>
      <c r="P376" s="101"/>
      <c r="Q376" s="101"/>
      <c r="R376" s="101"/>
      <c r="S376" s="110"/>
      <c r="T376" s="102"/>
      <c r="U376" s="101"/>
      <c r="V376" s="103"/>
      <c r="W376" s="101"/>
    </row>
    <row r="377" spans="1:23" x14ac:dyDescent="0.25">
      <c r="A377" s="98"/>
      <c r="H377" s="101"/>
      <c r="I377" s="101"/>
      <c r="J377" s="101"/>
      <c r="K377" s="101"/>
      <c r="L377" s="101"/>
      <c r="M377" s="101"/>
      <c r="N377" s="101"/>
      <c r="O377" s="101"/>
      <c r="P377" s="101"/>
      <c r="Q377" s="101"/>
      <c r="R377" s="101"/>
      <c r="S377" s="110"/>
      <c r="T377" s="102"/>
      <c r="U377" s="101"/>
      <c r="V377" s="103"/>
      <c r="W377" s="101"/>
    </row>
    <row r="378" spans="1:23" x14ac:dyDescent="0.25">
      <c r="A378" s="98"/>
      <c r="H378" s="101"/>
      <c r="I378" s="101"/>
      <c r="J378" s="101"/>
      <c r="K378" s="101"/>
      <c r="L378" s="101"/>
      <c r="M378" s="101"/>
      <c r="N378" s="101"/>
      <c r="O378" s="101"/>
      <c r="P378" s="101"/>
      <c r="Q378" s="101"/>
      <c r="R378" s="101"/>
      <c r="S378" s="110"/>
      <c r="T378" s="102"/>
      <c r="U378" s="101"/>
      <c r="V378" s="103"/>
      <c r="W378" s="101"/>
    </row>
    <row r="379" spans="1:23" x14ac:dyDescent="0.25">
      <c r="A379" s="98"/>
      <c r="H379" s="101"/>
      <c r="I379" s="101"/>
      <c r="J379" s="101"/>
      <c r="K379" s="101"/>
      <c r="L379" s="101"/>
      <c r="M379" s="101"/>
      <c r="N379" s="101"/>
      <c r="O379" s="101"/>
      <c r="P379" s="101"/>
      <c r="Q379" s="101"/>
      <c r="R379" s="101"/>
      <c r="S379" s="110"/>
      <c r="T379" s="102"/>
      <c r="U379" s="101"/>
      <c r="V379" s="103"/>
      <c r="W379" s="101"/>
    </row>
    <row r="380" spans="1:23" x14ac:dyDescent="0.25">
      <c r="A380" s="98"/>
      <c r="H380" s="101"/>
      <c r="I380" s="101"/>
      <c r="J380" s="101"/>
      <c r="K380" s="101"/>
      <c r="L380" s="101"/>
      <c r="M380" s="101"/>
      <c r="N380" s="101"/>
      <c r="O380" s="101"/>
      <c r="P380" s="101"/>
      <c r="Q380" s="101"/>
      <c r="R380" s="101"/>
      <c r="S380" s="110"/>
      <c r="T380" s="102"/>
      <c r="U380" s="101"/>
      <c r="V380" s="103"/>
      <c r="W380" s="101"/>
    </row>
    <row r="381" spans="1:23" x14ac:dyDescent="0.25">
      <c r="A381" s="98"/>
      <c r="H381" s="101"/>
      <c r="I381" s="101"/>
      <c r="J381" s="101"/>
      <c r="K381" s="101"/>
      <c r="L381" s="101"/>
      <c r="M381" s="101"/>
      <c r="N381" s="101"/>
      <c r="O381" s="101"/>
      <c r="P381" s="101"/>
      <c r="Q381" s="101"/>
      <c r="R381" s="101"/>
      <c r="S381" s="110"/>
      <c r="T381" s="102"/>
      <c r="U381" s="101"/>
      <c r="V381" s="103"/>
      <c r="W381" s="101"/>
    </row>
    <row r="382" spans="1:23" x14ac:dyDescent="0.25">
      <c r="A382" s="98"/>
      <c r="H382" s="101"/>
      <c r="I382" s="101"/>
      <c r="J382" s="101"/>
      <c r="K382" s="101"/>
      <c r="L382" s="101"/>
      <c r="M382" s="101"/>
      <c r="N382" s="101"/>
      <c r="O382" s="101"/>
      <c r="P382" s="101"/>
      <c r="Q382" s="101"/>
      <c r="R382" s="101"/>
      <c r="S382" s="110"/>
      <c r="T382" s="102"/>
      <c r="U382" s="101"/>
      <c r="V382" s="103"/>
      <c r="W382" s="101"/>
    </row>
    <row r="383" spans="1:23" x14ac:dyDescent="0.25">
      <c r="A383" s="98"/>
      <c r="H383" s="101"/>
      <c r="I383" s="101"/>
      <c r="J383" s="101"/>
      <c r="K383" s="101"/>
      <c r="L383" s="101"/>
      <c r="M383" s="101"/>
      <c r="N383" s="101"/>
      <c r="O383" s="101"/>
      <c r="P383" s="101"/>
      <c r="Q383" s="101"/>
      <c r="R383" s="101"/>
      <c r="S383" s="110"/>
      <c r="T383" s="102"/>
      <c r="U383" s="101"/>
      <c r="V383" s="103"/>
      <c r="W383" s="101"/>
    </row>
    <row r="384" spans="1:23" x14ac:dyDescent="0.25">
      <c r="A384" s="98"/>
      <c r="H384" s="101"/>
      <c r="I384" s="101"/>
      <c r="J384" s="101"/>
      <c r="K384" s="101"/>
      <c r="L384" s="101"/>
      <c r="M384" s="101"/>
      <c r="N384" s="101"/>
      <c r="O384" s="101"/>
      <c r="P384" s="101"/>
      <c r="Q384" s="101"/>
      <c r="R384" s="101"/>
      <c r="S384" s="110"/>
      <c r="T384" s="102"/>
      <c r="U384" s="101"/>
      <c r="V384" s="103"/>
      <c r="W384" s="101"/>
    </row>
    <row r="385" spans="1:23" x14ac:dyDescent="0.25">
      <c r="A385" s="98"/>
      <c r="H385" s="101"/>
      <c r="I385" s="101"/>
      <c r="J385" s="101"/>
      <c r="K385" s="101"/>
      <c r="L385" s="101"/>
      <c r="M385" s="101"/>
      <c r="N385" s="101"/>
      <c r="O385" s="101"/>
      <c r="P385" s="101"/>
      <c r="Q385" s="101"/>
      <c r="R385" s="101"/>
      <c r="S385" s="110"/>
      <c r="T385" s="102"/>
      <c r="U385" s="101"/>
      <c r="V385" s="103"/>
      <c r="W385" s="101"/>
    </row>
    <row r="386" spans="1:23" x14ac:dyDescent="0.25">
      <c r="A386" s="98"/>
      <c r="H386" s="101"/>
      <c r="I386" s="101"/>
      <c r="J386" s="101"/>
      <c r="K386" s="101"/>
      <c r="L386" s="101"/>
      <c r="M386" s="101"/>
      <c r="N386" s="101"/>
      <c r="O386" s="101"/>
      <c r="P386" s="101"/>
      <c r="Q386" s="101"/>
      <c r="R386" s="101"/>
      <c r="S386" s="110"/>
      <c r="T386" s="102"/>
      <c r="U386" s="101"/>
      <c r="V386" s="103"/>
      <c r="W386" s="101"/>
    </row>
    <row r="387" spans="1:23" x14ac:dyDescent="0.25">
      <c r="A387" s="98"/>
      <c r="H387" s="101"/>
      <c r="I387" s="101"/>
      <c r="J387" s="101"/>
      <c r="K387" s="101"/>
      <c r="L387" s="101"/>
      <c r="M387" s="101"/>
      <c r="N387" s="101"/>
      <c r="O387" s="101"/>
      <c r="P387" s="101"/>
      <c r="Q387" s="101"/>
      <c r="R387" s="101"/>
      <c r="S387" s="110"/>
      <c r="T387" s="102"/>
      <c r="U387" s="101"/>
      <c r="V387" s="103"/>
      <c r="W387" s="101"/>
    </row>
    <row r="388" spans="1:23" x14ac:dyDescent="0.25">
      <c r="A388" s="98"/>
      <c r="H388" s="101"/>
      <c r="I388" s="101"/>
      <c r="J388" s="101"/>
      <c r="K388" s="101"/>
      <c r="L388" s="101"/>
      <c r="M388" s="101"/>
      <c r="N388" s="101"/>
      <c r="O388" s="101"/>
      <c r="P388" s="101"/>
      <c r="Q388" s="101"/>
      <c r="R388" s="101"/>
      <c r="S388" s="110"/>
      <c r="T388" s="102"/>
      <c r="U388" s="101"/>
      <c r="V388" s="103"/>
      <c r="W388" s="101"/>
    </row>
    <row r="389" spans="1:23" x14ac:dyDescent="0.25">
      <c r="A389" s="98"/>
      <c r="H389" s="101"/>
      <c r="I389" s="101"/>
      <c r="J389" s="101"/>
      <c r="K389" s="101"/>
      <c r="L389" s="101"/>
      <c r="M389" s="101"/>
      <c r="N389" s="101"/>
      <c r="O389" s="101"/>
      <c r="P389" s="101"/>
      <c r="Q389" s="101"/>
      <c r="R389" s="101"/>
      <c r="S389" s="110"/>
      <c r="T389" s="102"/>
      <c r="U389" s="101"/>
      <c r="V389" s="103"/>
      <c r="W389" s="101"/>
    </row>
    <row r="390" spans="1:23" x14ac:dyDescent="0.25">
      <c r="A390" s="98"/>
      <c r="H390" s="101"/>
      <c r="I390" s="101"/>
      <c r="J390" s="101"/>
      <c r="K390" s="101"/>
      <c r="L390" s="101"/>
      <c r="M390" s="101"/>
      <c r="N390" s="101"/>
      <c r="O390" s="101"/>
      <c r="P390" s="101"/>
      <c r="Q390" s="101"/>
      <c r="R390" s="101"/>
      <c r="S390" s="110"/>
      <c r="T390" s="102"/>
      <c r="U390" s="101"/>
      <c r="V390" s="103"/>
      <c r="W390" s="101"/>
    </row>
    <row r="391" spans="1:23" x14ac:dyDescent="0.25">
      <c r="A391" s="98"/>
      <c r="H391" s="101"/>
      <c r="I391" s="101"/>
      <c r="J391" s="101"/>
      <c r="K391" s="101"/>
      <c r="L391" s="101"/>
      <c r="M391" s="101"/>
      <c r="N391" s="101"/>
      <c r="O391" s="101"/>
      <c r="P391" s="101"/>
      <c r="Q391" s="101"/>
      <c r="R391" s="101"/>
      <c r="S391" s="110"/>
      <c r="T391" s="102"/>
      <c r="U391" s="101"/>
      <c r="V391" s="103"/>
      <c r="W391" s="101"/>
    </row>
    <row r="392" spans="1:23" x14ac:dyDescent="0.25">
      <c r="A392" s="98"/>
      <c r="H392" s="101"/>
      <c r="I392" s="101"/>
      <c r="J392" s="101"/>
      <c r="K392" s="101"/>
      <c r="L392" s="101"/>
      <c r="M392" s="101"/>
      <c r="N392" s="101"/>
      <c r="O392" s="101"/>
      <c r="P392" s="101"/>
      <c r="Q392" s="101"/>
      <c r="R392" s="101"/>
      <c r="S392" s="110"/>
      <c r="T392" s="102"/>
      <c r="U392" s="101"/>
      <c r="V392" s="103"/>
      <c r="W392" s="101"/>
    </row>
    <row r="393" spans="1:23" x14ac:dyDescent="0.25">
      <c r="A393" s="98"/>
      <c r="H393" s="101"/>
      <c r="I393" s="101"/>
      <c r="J393" s="101"/>
      <c r="K393" s="101"/>
      <c r="L393" s="101"/>
      <c r="M393" s="101"/>
      <c r="N393" s="101"/>
      <c r="O393" s="101"/>
      <c r="P393" s="101"/>
      <c r="Q393" s="101"/>
      <c r="R393" s="101"/>
      <c r="S393" s="110"/>
      <c r="T393" s="102"/>
      <c r="U393" s="101"/>
      <c r="V393" s="103"/>
      <c r="W393" s="101"/>
    </row>
    <row r="394" spans="1:23" x14ac:dyDescent="0.25">
      <c r="A394" s="98"/>
      <c r="H394" s="101"/>
      <c r="I394" s="101"/>
      <c r="J394" s="101"/>
      <c r="K394" s="101"/>
      <c r="L394" s="101"/>
      <c r="M394" s="101"/>
      <c r="N394" s="101"/>
      <c r="O394" s="101"/>
      <c r="P394" s="101"/>
      <c r="Q394" s="101"/>
      <c r="R394" s="101"/>
      <c r="S394" s="110"/>
      <c r="T394" s="102"/>
      <c r="U394" s="101"/>
      <c r="V394" s="103"/>
      <c r="W394" s="101"/>
    </row>
    <row r="395" spans="1:23" x14ac:dyDescent="0.25">
      <c r="A395" s="98"/>
      <c r="H395" s="101"/>
      <c r="I395" s="101"/>
      <c r="J395" s="101"/>
      <c r="K395" s="101"/>
      <c r="L395" s="101"/>
      <c r="M395" s="101"/>
      <c r="N395" s="101"/>
      <c r="O395" s="101"/>
      <c r="P395" s="101"/>
      <c r="Q395" s="101"/>
      <c r="R395" s="101"/>
      <c r="S395" s="110"/>
      <c r="T395" s="102"/>
      <c r="U395" s="101"/>
      <c r="V395" s="103"/>
      <c r="W395" s="101"/>
    </row>
    <row r="396" spans="1:23" x14ac:dyDescent="0.25">
      <c r="A396" s="98"/>
      <c r="H396" s="101"/>
      <c r="I396" s="101"/>
      <c r="J396" s="101"/>
      <c r="K396" s="101"/>
      <c r="L396" s="101"/>
      <c r="M396" s="101"/>
      <c r="N396" s="101"/>
      <c r="O396" s="101"/>
      <c r="P396" s="101"/>
      <c r="Q396" s="101"/>
      <c r="R396" s="101"/>
      <c r="S396" s="110"/>
      <c r="T396" s="102"/>
      <c r="U396" s="101"/>
      <c r="V396" s="103"/>
      <c r="W396" s="101"/>
    </row>
    <row r="397" spans="1:23" x14ac:dyDescent="0.25">
      <c r="A397" s="98"/>
      <c r="H397" s="101"/>
      <c r="I397" s="101"/>
      <c r="J397" s="101"/>
      <c r="K397" s="101"/>
      <c r="L397" s="101"/>
      <c r="M397" s="101"/>
      <c r="N397" s="101"/>
      <c r="O397" s="101"/>
      <c r="P397" s="101"/>
      <c r="Q397" s="101"/>
      <c r="R397" s="101"/>
      <c r="S397" s="110"/>
      <c r="T397" s="102"/>
      <c r="U397" s="101"/>
      <c r="V397" s="103"/>
      <c r="W397" s="101"/>
    </row>
    <row r="398" spans="1:23" x14ac:dyDescent="0.25">
      <c r="A398" s="98"/>
      <c r="H398" s="101"/>
      <c r="I398" s="101"/>
      <c r="J398" s="101"/>
      <c r="K398" s="101"/>
      <c r="L398" s="101"/>
      <c r="M398" s="101"/>
      <c r="N398" s="101"/>
      <c r="O398" s="101"/>
      <c r="P398" s="101"/>
      <c r="Q398" s="101"/>
      <c r="R398" s="101"/>
      <c r="S398" s="110"/>
      <c r="T398" s="102"/>
      <c r="U398" s="101"/>
      <c r="V398" s="103"/>
      <c r="W398" s="101"/>
    </row>
    <row r="399" spans="1:23" x14ac:dyDescent="0.25">
      <c r="A399" s="98"/>
      <c r="H399" s="101"/>
      <c r="I399" s="101"/>
      <c r="J399" s="101"/>
      <c r="K399" s="101"/>
      <c r="L399" s="101"/>
      <c r="M399" s="101"/>
      <c r="N399" s="101"/>
      <c r="O399" s="101"/>
      <c r="P399" s="101"/>
      <c r="Q399" s="101"/>
      <c r="R399" s="101"/>
      <c r="S399" s="110"/>
      <c r="T399" s="102"/>
      <c r="U399" s="101"/>
      <c r="V399" s="103"/>
      <c r="W399" s="101"/>
    </row>
    <row r="400" spans="1:23" x14ac:dyDescent="0.25">
      <c r="A400" s="98"/>
      <c r="H400" s="101"/>
      <c r="I400" s="101"/>
      <c r="J400" s="101"/>
      <c r="K400" s="101"/>
      <c r="L400" s="101"/>
      <c r="M400" s="101"/>
      <c r="N400" s="101"/>
      <c r="O400" s="101"/>
      <c r="P400" s="101"/>
      <c r="Q400" s="101"/>
      <c r="R400" s="101"/>
      <c r="S400" s="110"/>
      <c r="T400" s="102"/>
      <c r="U400" s="101"/>
      <c r="V400" s="103"/>
      <c r="W400" s="101"/>
    </row>
    <row r="401" spans="1:23" x14ac:dyDescent="0.25">
      <c r="A401" s="98"/>
      <c r="H401" s="101"/>
      <c r="I401" s="101"/>
      <c r="J401" s="101"/>
      <c r="K401" s="101"/>
      <c r="L401" s="101"/>
      <c r="M401" s="101"/>
      <c r="N401" s="101"/>
      <c r="O401" s="101"/>
      <c r="P401" s="101"/>
      <c r="Q401" s="101"/>
      <c r="R401" s="101"/>
      <c r="S401" s="110"/>
      <c r="T401" s="102"/>
      <c r="U401" s="101"/>
      <c r="V401" s="103"/>
      <c r="W401" s="101"/>
    </row>
    <row r="402" spans="1:23" x14ac:dyDescent="0.25">
      <c r="A402" s="98"/>
      <c r="H402" s="101"/>
      <c r="I402" s="101"/>
      <c r="J402" s="101"/>
      <c r="K402" s="101"/>
      <c r="L402" s="101"/>
      <c r="M402" s="101"/>
      <c r="N402" s="101"/>
      <c r="O402" s="101"/>
      <c r="P402" s="101"/>
      <c r="Q402" s="101"/>
      <c r="R402" s="101"/>
      <c r="S402" s="110"/>
      <c r="T402" s="102"/>
      <c r="U402" s="101"/>
      <c r="V402" s="103"/>
      <c r="W402" s="101"/>
    </row>
    <row r="403" spans="1:23" x14ac:dyDescent="0.25">
      <c r="A403" s="98"/>
      <c r="H403" s="101"/>
      <c r="I403" s="101"/>
      <c r="J403" s="101"/>
      <c r="K403" s="101"/>
      <c r="L403" s="101"/>
      <c r="M403" s="101"/>
      <c r="N403" s="101"/>
      <c r="O403" s="101"/>
      <c r="P403" s="101"/>
      <c r="Q403" s="101"/>
      <c r="R403" s="101"/>
      <c r="S403" s="110"/>
      <c r="T403" s="102"/>
      <c r="U403" s="101"/>
      <c r="V403" s="103"/>
      <c r="W403" s="101"/>
    </row>
    <row r="404" spans="1:23" x14ac:dyDescent="0.25">
      <c r="A404" s="98"/>
      <c r="H404" s="101"/>
      <c r="I404" s="101"/>
      <c r="J404" s="101"/>
      <c r="K404" s="101"/>
      <c r="L404" s="101"/>
      <c r="M404" s="101"/>
      <c r="N404" s="101"/>
      <c r="O404" s="101"/>
      <c r="P404" s="101"/>
      <c r="Q404" s="101"/>
      <c r="R404" s="101"/>
      <c r="S404" s="110"/>
      <c r="T404" s="102"/>
      <c r="U404" s="101"/>
      <c r="V404" s="103"/>
      <c r="W404" s="101"/>
    </row>
    <row r="405" spans="1:23" x14ac:dyDescent="0.25">
      <c r="A405" s="98"/>
      <c r="H405" s="101"/>
      <c r="I405" s="101"/>
      <c r="J405" s="101"/>
      <c r="K405" s="101"/>
      <c r="L405" s="101"/>
      <c r="M405" s="101"/>
      <c r="N405" s="101"/>
      <c r="O405" s="101"/>
      <c r="P405" s="101"/>
      <c r="Q405" s="101"/>
      <c r="R405" s="101"/>
      <c r="S405" s="110"/>
      <c r="T405" s="102"/>
      <c r="U405" s="101"/>
      <c r="V405" s="103"/>
      <c r="W405" s="101"/>
    </row>
    <row r="406" spans="1:23" x14ac:dyDescent="0.25">
      <c r="A406" s="98"/>
      <c r="H406" s="101"/>
      <c r="I406" s="101"/>
      <c r="J406" s="101"/>
      <c r="K406" s="101"/>
      <c r="L406" s="101"/>
      <c r="M406" s="101"/>
      <c r="N406" s="101"/>
      <c r="O406" s="101"/>
      <c r="P406" s="101"/>
      <c r="Q406" s="101"/>
      <c r="R406" s="101"/>
      <c r="S406" s="110"/>
      <c r="T406" s="102"/>
      <c r="U406" s="101"/>
      <c r="V406" s="103"/>
      <c r="W406" s="101"/>
    </row>
    <row r="407" spans="1:23" x14ac:dyDescent="0.25">
      <c r="A407" s="98"/>
      <c r="H407" s="101"/>
      <c r="I407" s="101"/>
      <c r="J407" s="101"/>
      <c r="K407" s="101"/>
      <c r="L407" s="101"/>
      <c r="M407" s="101"/>
      <c r="N407" s="101"/>
      <c r="O407" s="101"/>
      <c r="P407" s="101"/>
      <c r="Q407" s="101"/>
      <c r="R407" s="101"/>
      <c r="S407" s="110"/>
      <c r="T407" s="102"/>
      <c r="U407" s="101"/>
      <c r="V407" s="103"/>
      <c r="W407" s="101"/>
    </row>
    <row r="408" spans="1:23" x14ac:dyDescent="0.25">
      <c r="A408" s="98"/>
      <c r="H408" s="101"/>
      <c r="I408" s="101"/>
      <c r="J408" s="101"/>
      <c r="K408" s="101"/>
      <c r="L408" s="101"/>
      <c r="M408" s="101"/>
      <c r="N408" s="101"/>
      <c r="O408" s="101"/>
      <c r="P408" s="101"/>
      <c r="Q408" s="101"/>
      <c r="R408" s="101"/>
      <c r="S408" s="110"/>
      <c r="T408" s="102"/>
      <c r="U408" s="101"/>
      <c r="V408" s="103"/>
      <c r="W408" s="101"/>
    </row>
    <row r="409" spans="1:23" x14ac:dyDescent="0.25">
      <c r="A409" s="98"/>
      <c r="H409" s="101"/>
      <c r="I409" s="101"/>
      <c r="J409" s="101"/>
      <c r="K409" s="101"/>
      <c r="L409" s="101"/>
      <c r="M409" s="101"/>
      <c r="N409" s="101"/>
      <c r="O409" s="101"/>
      <c r="P409" s="101"/>
      <c r="Q409" s="101"/>
      <c r="R409" s="101"/>
      <c r="S409" s="110"/>
      <c r="T409" s="102"/>
      <c r="U409" s="101"/>
      <c r="V409" s="103"/>
      <c r="W409" s="101"/>
    </row>
    <row r="410" spans="1:23" x14ac:dyDescent="0.25">
      <c r="A410" s="98"/>
      <c r="H410" s="101"/>
      <c r="I410" s="101"/>
      <c r="J410" s="101"/>
      <c r="K410" s="101"/>
      <c r="L410" s="101"/>
      <c r="M410" s="101"/>
      <c r="N410" s="101"/>
      <c r="O410" s="101"/>
      <c r="P410" s="101"/>
      <c r="Q410" s="101"/>
      <c r="R410" s="101"/>
      <c r="S410" s="110"/>
      <c r="T410" s="102"/>
      <c r="U410" s="101"/>
      <c r="V410" s="103"/>
      <c r="W410" s="101"/>
    </row>
    <row r="411" spans="1:23" x14ac:dyDescent="0.25">
      <c r="A411" s="98"/>
      <c r="H411" s="101"/>
      <c r="I411" s="101"/>
      <c r="J411" s="101"/>
      <c r="K411" s="101"/>
      <c r="L411" s="101"/>
      <c r="M411" s="101"/>
      <c r="N411" s="101"/>
      <c r="O411" s="101"/>
      <c r="P411" s="101"/>
      <c r="Q411" s="101"/>
      <c r="R411" s="101"/>
      <c r="S411" s="110"/>
      <c r="T411" s="102"/>
      <c r="U411" s="101"/>
      <c r="V411" s="103"/>
      <c r="W411" s="101"/>
    </row>
    <row r="412" spans="1:23" x14ac:dyDescent="0.25">
      <c r="A412" s="98"/>
      <c r="H412" s="101"/>
      <c r="I412" s="101"/>
      <c r="J412" s="101"/>
      <c r="K412" s="101"/>
      <c r="L412" s="101"/>
      <c r="M412" s="101"/>
      <c r="N412" s="101"/>
      <c r="O412" s="101"/>
      <c r="P412" s="101"/>
      <c r="Q412" s="101"/>
      <c r="R412" s="101"/>
      <c r="S412" s="110"/>
      <c r="T412" s="102"/>
      <c r="U412" s="101"/>
      <c r="V412" s="103"/>
      <c r="W412" s="101"/>
    </row>
    <row r="413" spans="1:23" x14ac:dyDescent="0.25">
      <c r="A413" s="98"/>
      <c r="H413" s="101"/>
      <c r="I413" s="101"/>
      <c r="J413" s="101"/>
      <c r="K413" s="101"/>
      <c r="L413" s="101"/>
      <c r="M413" s="101"/>
      <c r="N413" s="101"/>
      <c r="O413" s="101"/>
      <c r="P413" s="101"/>
      <c r="Q413" s="101"/>
      <c r="R413" s="101"/>
      <c r="S413" s="110"/>
      <c r="T413" s="102"/>
      <c r="U413" s="101"/>
      <c r="V413" s="103"/>
      <c r="W413" s="101"/>
    </row>
    <row r="414" spans="1:23" x14ac:dyDescent="0.25">
      <c r="A414" s="98"/>
      <c r="H414" s="101"/>
      <c r="I414" s="101"/>
      <c r="J414" s="101"/>
      <c r="K414" s="101"/>
      <c r="L414" s="101"/>
      <c r="M414" s="101"/>
      <c r="N414" s="101"/>
      <c r="O414" s="101"/>
      <c r="P414" s="101"/>
      <c r="Q414" s="101"/>
      <c r="R414" s="101"/>
      <c r="S414" s="110"/>
      <c r="T414" s="102"/>
      <c r="U414" s="101"/>
      <c r="V414" s="103"/>
      <c r="W414" s="101"/>
    </row>
    <row r="415" spans="1:23" x14ac:dyDescent="0.25">
      <c r="A415" s="98"/>
      <c r="H415" s="101"/>
      <c r="I415" s="101"/>
      <c r="J415" s="101"/>
      <c r="K415" s="101"/>
      <c r="L415" s="101"/>
      <c r="M415" s="101"/>
      <c r="N415" s="101"/>
      <c r="O415" s="101"/>
      <c r="P415" s="101"/>
      <c r="Q415" s="101"/>
      <c r="R415" s="101"/>
      <c r="S415" s="110"/>
      <c r="T415" s="102"/>
      <c r="U415" s="101"/>
      <c r="V415" s="103"/>
      <c r="W415" s="101"/>
    </row>
    <row r="416" spans="1:23" x14ac:dyDescent="0.25">
      <c r="A416" s="98"/>
      <c r="H416" s="101"/>
      <c r="I416" s="101"/>
      <c r="J416" s="101"/>
      <c r="K416" s="101"/>
      <c r="L416" s="101"/>
      <c r="M416" s="101"/>
      <c r="N416" s="101"/>
      <c r="O416" s="101"/>
      <c r="P416" s="101"/>
      <c r="Q416" s="101"/>
      <c r="R416" s="101"/>
      <c r="S416" s="110"/>
      <c r="T416" s="102"/>
      <c r="U416" s="101"/>
      <c r="V416" s="103"/>
      <c r="W416" s="101"/>
    </row>
    <row r="417" spans="1:23" x14ac:dyDescent="0.25">
      <c r="A417" s="98"/>
      <c r="H417" s="101"/>
      <c r="I417" s="101"/>
      <c r="J417" s="101"/>
      <c r="K417" s="101"/>
      <c r="L417" s="101"/>
      <c r="M417" s="101"/>
      <c r="N417" s="101"/>
      <c r="O417" s="101"/>
      <c r="P417" s="101"/>
      <c r="Q417" s="101"/>
      <c r="R417" s="101"/>
      <c r="S417" s="110"/>
      <c r="T417" s="102"/>
      <c r="U417" s="101"/>
      <c r="V417" s="103"/>
      <c r="W417" s="101"/>
    </row>
    <row r="418" spans="1:23" x14ac:dyDescent="0.25">
      <c r="A418" s="98"/>
      <c r="H418" s="101"/>
      <c r="I418" s="101"/>
      <c r="J418" s="101"/>
      <c r="K418" s="101"/>
      <c r="L418" s="101"/>
      <c r="M418" s="101"/>
      <c r="N418" s="101"/>
      <c r="O418" s="101"/>
      <c r="P418" s="101"/>
      <c r="Q418" s="101"/>
      <c r="R418" s="101"/>
      <c r="S418" s="110"/>
      <c r="T418" s="102"/>
      <c r="U418" s="101"/>
      <c r="V418" s="103"/>
      <c r="W418" s="101"/>
    </row>
    <row r="419" spans="1:23" x14ac:dyDescent="0.25">
      <c r="A419" s="98"/>
      <c r="H419" s="101"/>
      <c r="I419" s="101"/>
      <c r="J419" s="101"/>
      <c r="K419" s="101"/>
      <c r="L419" s="101"/>
      <c r="M419" s="101"/>
      <c r="N419" s="101"/>
      <c r="O419" s="101"/>
      <c r="P419" s="101"/>
      <c r="Q419" s="101"/>
      <c r="R419" s="101"/>
      <c r="S419" s="110"/>
      <c r="T419" s="102"/>
      <c r="U419" s="101"/>
      <c r="V419" s="103"/>
      <c r="W419" s="101"/>
    </row>
    <row r="420" spans="1:23" x14ac:dyDescent="0.25">
      <c r="A420" s="98"/>
      <c r="H420" s="101"/>
      <c r="I420" s="101"/>
      <c r="J420" s="101"/>
      <c r="K420" s="101"/>
      <c r="L420" s="101"/>
      <c r="M420" s="101"/>
      <c r="N420" s="101"/>
      <c r="O420" s="101"/>
      <c r="P420" s="101"/>
      <c r="Q420" s="101"/>
      <c r="R420" s="101"/>
      <c r="S420" s="110"/>
      <c r="T420" s="102"/>
      <c r="U420" s="101"/>
      <c r="V420" s="103"/>
      <c r="W420" s="101"/>
    </row>
    <row r="421" spans="1:23" x14ac:dyDescent="0.25">
      <c r="A421" s="98"/>
      <c r="H421" s="101"/>
      <c r="I421" s="101"/>
      <c r="J421" s="101"/>
      <c r="K421" s="101"/>
      <c r="L421" s="101"/>
      <c r="M421" s="101"/>
      <c r="N421" s="101"/>
      <c r="O421" s="101"/>
      <c r="P421" s="101"/>
      <c r="Q421" s="101"/>
      <c r="R421" s="101"/>
      <c r="S421" s="110"/>
      <c r="T421" s="102"/>
      <c r="U421" s="101"/>
      <c r="V421" s="103"/>
      <c r="W421" s="101"/>
    </row>
    <row r="422" spans="1:23" x14ac:dyDescent="0.25">
      <c r="A422" s="98"/>
      <c r="H422" s="101"/>
      <c r="I422" s="101"/>
      <c r="J422" s="101"/>
      <c r="K422" s="101"/>
      <c r="L422" s="101"/>
      <c r="M422" s="101"/>
      <c r="N422" s="101"/>
      <c r="O422" s="101"/>
      <c r="P422" s="101"/>
      <c r="Q422" s="101"/>
      <c r="R422" s="101"/>
      <c r="S422" s="110"/>
      <c r="T422" s="102"/>
      <c r="U422" s="101"/>
      <c r="V422" s="103"/>
      <c r="W422" s="101"/>
    </row>
    <row r="423" spans="1:23" x14ac:dyDescent="0.25">
      <c r="A423" s="98"/>
      <c r="H423" s="101"/>
      <c r="I423" s="101"/>
      <c r="J423" s="101"/>
      <c r="K423" s="101"/>
      <c r="L423" s="101"/>
      <c r="M423" s="101"/>
      <c r="N423" s="101"/>
      <c r="O423" s="101"/>
      <c r="P423" s="101"/>
      <c r="Q423" s="101"/>
      <c r="R423" s="101"/>
      <c r="S423" s="110"/>
      <c r="T423" s="102"/>
      <c r="U423" s="101"/>
      <c r="V423" s="103"/>
      <c r="W423" s="101"/>
    </row>
    <row r="424" spans="1:23" x14ac:dyDescent="0.25">
      <c r="A424" s="98"/>
      <c r="H424" s="101"/>
      <c r="I424" s="101"/>
      <c r="J424" s="101"/>
      <c r="K424" s="101"/>
      <c r="L424" s="101"/>
      <c r="M424" s="101"/>
      <c r="N424" s="101"/>
      <c r="O424" s="101"/>
      <c r="P424" s="101"/>
      <c r="Q424" s="101"/>
      <c r="R424" s="101"/>
      <c r="S424" s="110"/>
      <c r="T424" s="102"/>
      <c r="U424" s="101"/>
      <c r="V424" s="103"/>
      <c r="W424" s="101"/>
    </row>
    <row r="425" spans="1:23" x14ac:dyDescent="0.25">
      <c r="A425" s="98"/>
      <c r="H425" s="101"/>
      <c r="I425" s="101"/>
      <c r="J425" s="101"/>
      <c r="K425" s="101"/>
      <c r="L425" s="101"/>
      <c r="M425" s="101"/>
      <c r="N425" s="101"/>
      <c r="O425" s="101"/>
      <c r="P425" s="101"/>
      <c r="Q425" s="101"/>
      <c r="R425" s="101"/>
      <c r="S425" s="110"/>
      <c r="T425" s="102"/>
      <c r="U425" s="101"/>
      <c r="V425" s="103"/>
      <c r="W425" s="101"/>
    </row>
    <row r="426" spans="1:23" x14ac:dyDescent="0.25">
      <c r="A426" s="98"/>
      <c r="H426" s="101"/>
      <c r="I426" s="101"/>
      <c r="J426" s="101"/>
      <c r="K426" s="101"/>
      <c r="L426" s="101"/>
      <c r="M426" s="101"/>
      <c r="N426" s="101"/>
      <c r="O426" s="101"/>
      <c r="P426" s="101"/>
      <c r="Q426" s="101"/>
      <c r="R426" s="101"/>
      <c r="S426" s="110"/>
      <c r="T426" s="102"/>
      <c r="U426" s="101"/>
      <c r="V426" s="103"/>
      <c r="W426" s="101"/>
    </row>
    <row r="427" spans="1:23" x14ac:dyDescent="0.25">
      <c r="A427" s="98"/>
      <c r="H427" s="101"/>
      <c r="I427" s="101"/>
      <c r="J427" s="101"/>
      <c r="K427" s="101"/>
      <c r="L427" s="101"/>
      <c r="M427" s="101"/>
      <c r="N427" s="101"/>
      <c r="O427" s="101"/>
      <c r="P427" s="101"/>
      <c r="Q427" s="101"/>
      <c r="R427" s="101"/>
      <c r="S427" s="110"/>
      <c r="T427" s="102"/>
      <c r="U427" s="101"/>
      <c r="V427" s="103"/>
      <c r="W427" s="101"/>
    </row>
    <row r="428" spans="1:23" x14ac:dyDescent="0.25">
      <c r="A428" s="98"/>
      <c r="H428" s="101"/>
      <c r="I428" s="101"/>
      <c r="J428" s="101"/>
      <c r="K428" s="101"/>
      <c r="L428" s="101"/>
      <c r="M428" s="101"/>
      <c r="N428" s="101"/>
      <c r="O428" s="101"/>
      <c r="P428" s="101"/>
      <c r="Q428" s="101"/>
      <c r="R428" s="101"/>
      <c r="S428" s="110"/>
      <c r="T428" s="102"/>
      <c r="U428" s="101"/>
      <c r="V428" s="103"/>
      <c r="W428" s="101"/>
    </row>
    <row r="429" spans="1:23" x14ac:dyDescent="0.25">
      <c r="A429" s="98"/>
      <c r="H429" s="101"/>
      <c r="I429" s="101"/>
      <c r="J429" s="101"/>
      <c r="K429" s="101"/>
      <c r="L429" s="101"/>
      <c r="M429" s="101"/>
      <c r="N429" s="101"/>
      <c r="O429" s="101"/>
      <c r="P429" s="101"/>
      <c r="Q429" s="101"/>
      <c r="R429" s="101"/>
      <c r="S429" s="110"/>
      <c r="T429" s="102"/>
      <c r="U429" s="101"/>
      <c r="V429" s="103"/>
      <c r="W429" s="101"/>
    </row>
    <row r="430" spans="1:23" x14ac:dyDescent="0.25">
      <c r="A430" s="98"/>
      <c r="H430" s="101"/>
      <c r="I430" s="101"/>
      <c r="J430" s="101"/>
      <c r="K430" s="101"/>
      <c r="L430" s="101"/>
      <c r="M430" s="101"/>
      <c r="N430" s="101"/>
      <c r="O430" s="101"/>
      <c r="P430" s="101"/>
      <c r="Q430" s="101"/>
      <c r="R430" s="101"/>
      <c r="S430" s="110"/>
      <c r="T430" s="102"/>
      <c r="U430" s="101"/>
      <c r="V430" s="103"/>
      <c r="W430" s="101"/>
    </row>
    <row r="431" spans="1:23" x14ac:dyDescent="0.25">
      <c r="A431" s="98"/>
      <c r="H431" s="101"/>
      <c r="I431" s="101"/>
      <c r="J431" s="101"/>
      <c r="K431" s="101"/>
      <c r="L431" s="101"/>
      <c r="M431" s="101"/>
      <c r="N431" s="101"/>
      <c r="O431" s="101"/>
      <c r="P431" s="101"/>
      <c r="Q431" s="101"/>
      <c r="R431" s="101"/>
      <c r="S431" s="110"/>
      <c r="T431" s="102"/>
      <c r="U431" s="101"/>
      <c r="V431" s="103"/>
      <c r="W431" s="101"/>
    </row>
    <row r="432" spans="1:23" x14ac:dyDescent="0.25">
      <c r="A432" s="98"/>
      <c r="H432" s="101"/>
      <c r="I432" s="101"/>
      <c r="J432" s="101"/>
      <c r="K432" s="101"/>
      <c r="L432" s="101"/>
      <c r="M432" s="101"/>
      <c r="N432" s="101"/>
      <c r="O432" s="101"/>
      <c r="P432" s="101"/>
      <c r="Q432" s="101"/>
      <c r="R432" s="101"/>
      <c r="S432" s="110"/>
      <c r="T432" s="102"/>
      <c r="U432" s="101"/>
      <c r="V432" s="103"/>
      <c r="W432" s="101"/>
    </row>
    <row r="433" spans="1:23" x14ac:dyDescent="0.25">
      <c r="A433" s="98"/>
      <c r="H433" s="101"/>
      <c r="I433" s="101"/>
      <c r="J433" s="101"/>
      <c r="K433" s="101"/>
      <c r="L433" s="101"/>
      <c r="M433" s="101"/>
      <c r="N433" s="101"/>
      <c r="O433" s="101"/>
      <c r="P433" s="101"/>
      <c r="Q433" s="101"/>
      <c r="R433" s="101"/>
      <c r="S433" s="110"/>
      <c r="T433" s="102"/>
      <c r="U433" s="101"/>
      <c r="V433" s="103"/>
      <c r="W433" s="101"/>
    </row>
    <row r="434" spans="1:23" x14ac:dyDescent="0.25">
      <c r="A434" s="98"/>
      <c r="H434" s="101"/>
      <c r="I434" s="101"/>
      <c r="J434" s="101"/>
      <c r="K434" s="101"/>
      <c r="L434" s="101"/>
      <c r="M434" s="101"/>
      <c r="N434" s="101"/>
      <c r="O434" s="101"/>
      <c r="P434" s="101"/>
      <c r="Q434" s="101"/>
      <c r="R434" s="101"/>
      <c r="S434" s="110"/>
      <c r="T434" s="102"/>
      <c r="U434" s="101"/>
      <c r="V434" s="103"/>
      <c r="W434" s="101"/>
    </row>
    <row r="435" spans="1:23" x14ac:dyDescent="0.25">
      <c r="A435" s="98"/>
      <c r="H435" s="101"/>
      <c r="I435" s="101"/>
      <c r="J435" s="101"/>
      <c r="K435" s="101"/>
      <c r="L435" s="101"/>
      <c r="M435" s="101"/>
      <c r="N435" s="101"/>
      <c r="O435" s="101"/>
      <c r="P435" s="101"/>
      <c r="Q435" s="101"/>
      <c r="R435" s="101"/>
      <c r="S435" s="110"/>
      <c r="T435" s="102"/>
      <c r="U435" s="101"/>
      <c r="V435" s="103"/>
      <c r="W435" s="101"/>
    </row>
    <row r="436" spans="1:23" x14ac:dyDescent="0.25">
      <c r="A436" s="98"/>
      <c r="H436" s="101"/>
      <c r="I436" s="101"/>
      <c r="J436" s="101"/>
      <c r="K436" s="101"/>
      <c r="L436" s="101"/>
      <c r="M436" s="101"/>
      <c r="N436" s="101"/>
      <c r="O436" s="101"/>
      <c r="P436" s="101"/>
      <c r="Q436" s="101"/>
      <c r="R436" s="101"/>
      <c r="S436" s="110"/>
      <c r="T436" s="102"/>
      <c r="U436" s="101"/>
      <c r="V436" s="103"/>
      <c r="W436" s="101"/>
    </row>
    <row r="437" spans="1:23" x14ac:dyDescent="0.25">
      <c r="A437" s="98"/>
      <c r="H437" s="101"/>
      <c r="I437" s="101"/>
      <c r="J437" s="101"/>
      <c r="K437" s="101"/>
      <c r="L437" s="101"/>
      <c r="M437" s="101"/>
      <c r="N437" s="101"/>
      <c r="O437" s="101"/>
      <c r="P437" s="101"/>
      <c r="Q437" s="101"/>
      <c r="R437" s="101"/>
      <c r="S437" s="110"/>
      <c r="T437" s="102"/>
      <c r="U437" s="101"/>
      <c r="V437" s="103"/>
      <c r="W437" s="101"/>
    </row>
    <row r="438" spans="1:23" x14ac:dyDescent="0.25">
      <c r="A438" s="98"/>
      <c r="H438" s="101"/>
      <c r="I438" s="101"/>
      <c r="J438" s="101"/>
      <c r="K438" s="101"/>
      <c r="L438" s="101"/>
      <c r="M438" s="101"/>
      <c r="N438" s="101"/>
      <c r="O438" s="101"/>
      <c r="P438" s="101"/>
      <c r="Q438" s="101"/>
      <c r="R438" s="101"/>
      <c r="S438" s="110"/>
      <c r="T438" s="102"/>
      <c r="U438" s="101"/>
      <c r="V438" s="103"/>
      <c r="W438" s="101"/>
    </row>
    <row r="439" spans="1:23" x14ac:dyDescent="0.25">
      <c r="A439" s="98"/>
      <c r="H439" s="101"/>
      <c r="I439" s="101"/>
      <c r="J439" s="101"/>
      <c r="K439" s="101"/>
      <c r="L439" s="101"/>
      <c r="M439" s="101"/>
      <c r="N439" s="101"/>
      <c r="O439" s="101"/>
      <c r="P439" s="101"/>
      <c r="Q439" s="101"/>
      <c r="R439" s="101"/>
      <c r="S439" s="110"/>
      <c r="T439" s="102"/>
      <c r="U439" s="101"/>
      <c r="V439" s="103"/>
      <c r="W439" s="101"/>
    </row>
    <row r="440" spans="1:23" x14ac:dyDescent="0.25">
      <c r="A440" s="98"/>
      <c r="H440" s="101"/>
      <c r="I440" s="101"/>
      <c r="J440" s="101"/>
      <c r="K440" s="101"/>
      <c r="L440" s="101"/>
      <c r="M440" s="101"/>
      <c r="N440" s="101"/>
      <c r="O440" s="101"/>
      <c r="P440" s="101"/>
      <c r="Q440" s="101"/>
      <c r="R440" s="101"/>
      <c r="S440" s="110"/>
      <c r="T440" s="102"/>
      <c r="U440" s="101"/>
      <c r="V440" s="103"/>
      <c r="W440" s="101"/>
    </row>
    <row r="441" spans="1:23" x14ac:dyDescent="0.25">
      <c r="A441" s="98"/>
      <c r="H441" s="101"/>
      <c r="I441" s="101"/>
      <c r="J441" s="101"/>
      <c r="K441" s="101"/>
      <c r="L441" s="101"/>
      <c r="M441" s="101"/>
      <c r="N441" s="101"/>
      <c r="O441" s="101"/>
      <c r="P441" s="101"/>
      <c r="Q441" s="101"/>
      <c r="R441" s="101"/>
      <c r="S441" s="110"/>
      <c r="T441" s="102"/>
      <c r="U441" s="101"/>
      <c r="V441" s="103"/>
      <c r="W441" s="101"/>
    </row>
    <row r="442" spans="1:23" x14ac:dyDescent="0.25">
      <c r="A442" s="98"/>
      <c r="H442" s="101"/>
      <c r="I442" s="101"/>
      <c r="J442" s="101"/>
      <c r="K442" s="101"/>
      <c r="L442" s="101"/>
      <c r="M442" s="101"/>
      <c r="N442" s="101"/>
      <c r="O442" s="101"/>
      <c r="P442" s="101"/>
      <c r="Q442" s="101"/>
      <c r="R442" s="101"/>
      <c r="S442" s="110"/>
      <c r="T442" s="102"/>
      <c r="U442" s="101"/>
      <c r="V442" s="103"/>
      <c r="W442" s="101"/>
    </row>
    <row r="443" spans="1:23" x14ac:dyDescent="0.25">
      <c r="A443" s="98"/>
      <c r="H443" s="101"/>
      <c r="I443" s="101"/>
      <c r="J443" s="101"/>
      <c r="K443" s="101"/>
      <c r="L443" s="101"/>
      <c r="M443" s="101"/>
      <c r="N443" s="101"/>
      <c r="O443" s="101"/>
      <c r="P443" s="101"/>
      <c r="Q443" s="101"/>
      <c r="R443" s="101"/>
      <c r="S443" s="110"/>
      <c r="T443" s="102"/>
      <c r="U443" s="101"/>
      <c r="V443" s="103"/>
      <c r="W443" s="101"/>
    </row>
    <row r="444" spans="1:23" x14ac:dyDescent="0.25">
      <c r="A444" s="98"/>
      <c r="H444" s="101"/>
      <c r="I444" s="101"/>
      <c r="J444" s="101"/>
      <c r="K444" s="101"/>
      <c r="L444" s="101"/>
      <c r="M444" s="101"/>
      <c r="N444" s="101"/>
      <c r="O444" s="101"/>
      <c r="P444" s="101"/>
      <c r="Q444" s="101"/>
      <c r="R444" s="101"/>
      <c r="S444" s="110"/>
      <c r="T444" s="102"/>
      <c r="U444" s="101"/>
      <c r="V444" s="103"/>
      <c r="W444" s="101"/>
    </row>
    <row r="445" spans="1:23" x14ac:dyDescent="0.25">
      <c r="A445" s="98"/>
      <c r="H445" s="101"/>
      <c r="I445" s="101"/>
      <c r="J445" s="101"/>
      <c r="K445" s="101"/>
      <c r="L445" s="101"/>
      <c r="M445" s="101"/>
      <c r="N445" s="101"/>
      <c r="O445" s="101"/>
      <c r="P445" s="101"/>
      <c r="Q445" s="101"/>
      <c r="R445" s="101"/>
      <c r="S445" s="110"/>
      <c r="T445" s="102"/>
      <c r="U445" s="101"/>
      <c r="V445" s="103"/>
      <c r="W445" s="101"/>
    </row>
    <row r="446" spans="1:23" x14ac:dyDescent="0.25">
      <c r="A446" s="98"/>
      <c r="H446" s="101"/>
      <c r="I446" s="101"/>
      <c r="J446" s="101"/>
      <c r="K446" s="101"/>
      <c r="L446" s="101"/>
      <c r="M446" s="101"/>
      <c r="N446" s="101"/>
      <c r="O446" s="101"/>
      <c r="P446" s="101"/>
      <c r="Q446" s="101"/>
      <c r="R446" s="101"/>
      <c r="S446" s="110"/>
      <c r="T446" s="102"/>
      <c r="U446" s="101"/>
      <c r="V446" s="103"/>
      <c r="W446" s="101"/>
    </row>
    <row r="447" spans="1:23" x14ac:dyDescent="0.25">
      <c r="A447" s="98"/>
      <c r="H447" s="101"/>
      <c r="I447" s="101"/>
      <c r="J447" s="101"/>
      <c r="K447" s="101"/>
      <c r="L447" s="101"/>
      <c r="M447" s="101"/>
      <c r="N447" s="101"/>
      <c r="O447" s="101"/>
      <c r="P447" s="101"/>
      <c r="Q447" s="101"/>
      <c r="R447" s="101"/>
      <c r="S447" s="110"/>
      <c r="T447" s="102"/>
      <c r="U447" s="101"/>
      <c r="V447" s="103"/>
      <c r="W447" s="101"/>
    </row>
    <row r="448" spans="1:23" x14ac:dyDescent="0.25">
      <c r="A448" s="98"/>
      <c r="H448" s="101"/>
      <c r="I448" s="101"/>
      <c r="J448" s="101"/>
      <c r="K448" s="101"/>
      <c r="L448" s="101"/>
      <c r="M448" s="101"/>
      <c r="N448" s="101"/>
      <c r="O448" s="101"/>
      <c r="P448" s="101"/>
      <c r="Q448" s="101"/>
      <c r="R448" s="101"/>
      <c r="S448" s="110"/>
      <c r="T448" s="102"/>
      <c r="U448" s="101"/>
      <c r="V448" s="103"/>
      <c r="W448" s="101"/>
    </row>
    <row r="449" spans="1:23" x14ac:dyDescent="0.25">
      <c r="A449" s="98"/>
      <c r="H449" s="101"/>
      <c r="I449" s="101"/>
      <c r="J449" s="101"/>
      <c r="K449" s="101"/>
      <c r="L449" s="101"/>
      <c r="M449" s="101"/>
      <c r="N449" s="101"/>
      <c r="O449" s="101"/>
      <c r="P449" s="101"/>
      <c r="Q449" s="101"/>
      <c r="R449" s="101"/>
      <c r="S449" s="110"/>
      <c r="T449" s="102"/>
      <c r="U449" s="101"/>
      <c r="V449" s="103"/>
      <c r="W449" s="101"/>
    </row>
    <row r="450" spans="1:23" x14ac:dyDescent="0.25">
      <c r="A450" s="98"/>
      <c r="H450" s="101"/>
      <c r="I450" s="101"/>
      <c r="J450" s="101"/>
      <c r="K450" s="101"/>
      <c r="L450" s="101"/>
      <c r="M450" s="101"/>
      <c r="N450" s="101"/>
      <c r="O450" s="101"/>
      <c r="P450" s="101"/>
      <c r="Q450" s="101"/>
      <c r="R450" s="101"/>
      <c r="S450" s="110"/>
      <c r="T450" s="102"/>
      <c r="U450" s="101"/>
      <c r="V450" s="103"/>
      <c r="W450" s="101"/>
    </row>
    <row r="451" spans="1:23" x14ac:dyDescent="0.25">
      <c r="A451" s="98"/>
      <c r="H451" s="101"/>
      <c r="I451" s="101"/>
      <c r="J451" s="101"/>
      <c r="K451" s="101"/>
      <c r="L451" s="101"/>
      <c r="M451" s="101"/>
      <c r="N451" s="101"/>
      <c r="O451" s="101"/>
      <c r="P451" s="101"/>
      <c r="Q451" s="101"/>
      <c r="R451" s="101"/>
      <c r="S451" s="110"/>
      <c r="T451" s="102"/>
      <c r="U451" s="101"/>
      <c r="V451" s="103"/>
      <c r="W451" s="101"/>
    </row>
    <row r="452" spans="1:23" x14ac:dyDescent="0.25">
      <c r="A452" s="98"/>
      <c r="H452" s="101"/>
      <c r="I452" s="101"/>
      <c r="J452" s="101"/>
      <c r="K452" s="101"/>
      <c r="L452" s="101"/>
      <c r="M452" s="101"/>
      <c r="N452" s="101"/>
      <c r="O452" s="101"/>
      <c r="P452" s="101"/>
      <c r="Q452" s="101"/>
      <c r="R452" s="101"/>
      <c r="S452" s="110"/>
      <c r="T452" s="102"/>
      <c r="U452" s="101"/>
      <c r="V452" s="103"/>
      <c r="W452" s="101"/>
    </row>
    <row r="453" spans="1:23" x14ac:dyDescent="0.25">
      <c r="A453" s="98"/>
      <c r="H453" s="101"/>
      <c r="I453" s="101"/>
      <c r="J453" s="101"/>
      <c r="K453" s="101"/>
      <c r="L453" s="101"/>
      <c r="M453" s="101"/>
      <c r="N453" s="101"/>
      <c r="O453" s="101"/>
      <c r="P453" s="101"/>
      <c r="Q453" s="101"/>
      <c r="R453" s="101"/>
      <c r="S453" s="110"/>
      <c r="T453" s="102"/>
      <c r="U453" s="101"/>
      <c r="V453" s="103"/>
      <c r="W453" s="101"/>
    </row>
    <row r="454" spans="1:23" x14ac:dyDescent="0.25">
      <c r="A454" s="98"/>
      <c r="H454" s="101"/>
      <c r="I454" s="101"/>
      <c r="J454" s="101"/>
      <c r="K454" s="101"/>
      <c r="L454" s="101"/>
      <c r="M454" s="101"/>
      <c r="N454" s="101"/>
      <c r="O454" s="101"/>
      <c r="P454" s="101"/>
      <c r="Q454" s="101"/>
      <c r="R454" s="101"/>
      <c r="S454" s="110"/>
      <c r="T454" s="102"/>
      <c r="U454" s="101"/>
      <c r="V454" s="103"/>
      <c r="W454" s="101"/>
    </row>
    <row r="455" spans="1:23" x14ac:dyDescent="0.25">
      <c r="A455" s="98"/>
      <c r="H455" s="101"/>
      <c r="I455" s="101"/>
      <c r="J455" s="101"/>
      <c r="K455" s="101"/>
      <c r="L455" s="101"/>
      <c r="M455" s="101"/>
      <c r="N455" s="101"/>
      <c r="O455" s="101"/>
      <c r="P455" s="101"/>
      <c r="Q455" s="101"/>
      <c r="R455" s="101"/>
      <c r="S455" s="110"/>
      <c r="T455" s="102"/>
      <c r="U455" s="101"/>
      <c r="V455" s="103"/>
      <c r="W455" s="101"/>
    </row>
    <row r="456" spans="1:23" x14ac:dyDescent="0.25">
      <c r="A456" s="98"/>
      <c r="H456" s="101"/>
      <c r="I456" s="101"/>
      <c r="J456" s="101"/>
      <c r="K456" s="101"/>
      <c r="L456" s="101"/>
      <c r="M456" s="101"/>
      <c r="N456" s="101"/>
      <c r="O456" s="101"/>
      <c r="P456" s="101"/>
      <c r="Q456" s="101"/>
      <c r="R456" s="101"/>
      <c r="S456" s="110"/>
      <c r="T456" s="102"/>
      <c r="U456" s="101"/>
      <c r="V456" s="103"/>
      <c r="W456" s="101"/>
    </row>
    <row r="457" spans="1:23" x14ac:dyDescent="0.25">
      <c r="A457" s="98"/>
      <c r="H457" s="101"/>
      <c r="I457" s="101"/>
      <c r="J457" s="101"/>
      <c r="K457" s="101"/>
      <c r="L457" s="101"/>
      <c r="M457" s="101"/>
      <c r="N457" s="101"/>
      <c r="O457" s="101"/>
      <c r="P457" s="101"/>
      <c r="Q457" s="101"/>
      <c r="R457" s="101"/>
      <c r="S457" s="110"/>
      <c r="T457" s="102"/>
      <c r="U457" s="101"/>
      <c r="V457" s="103"/>
      <c r="W457" s="101"/>
    </row>
    <row r="458" spans="1:23" x14ac:dyDescent="0.25">
      <c r="A458" s="98"/>
      <c r="H458" s="101"/>
      <c r="I458" s="101"/>
      <c r="J458" s="101"/>
      <c r="K458" s="101"/>
      <c r="L458" s="101"/>
      <c r="M458" s="101"/>
      <c r="N458" s="101"/>
      <c r="O458" s="101"/>
      <c r="P458" s="101"/>
      <c r="Q458" s="101"/>
      <c r="R458" s="101"/>
      <c r="S458" s="110"/>
      <c r="T458" s="102"/>
      <c r="U458" s="101"/>
      <c r="V458" s="103"/>
      <c r="W458" s="101"/>
    </row>
    <row r="459" spans="1:23" x14ac:dyDescent="0.25">
      <c r="A459" s="98"/>
      <c r="H459" s="101"/>
      <c r="I459" s="101"/>
      <c r="J459" s="101"/>
      <c r="K459" s="101"/>
      <c r="L459" s="101"/>
      <c r="M459" s="101"/>
      <c r="N459" s="101"/>
      <c r="O459" s="101"/>
      <c r="P459" s="101"/>
      <c r="Q459" s="101"/>
      <c r="R459" s="101"/>
      <c r="S459" s="110"/>
      <c r="T459" s="102"/>
      <c r="U459" s="101"/>
      <c r="V459" s="103"/>
      <c r="W459" s="101"/>
    </row>
    <row r="460" spans="1:23" x14ac:dyDescent="0.25">
      <c r="A460" s="98"/>
      <c r="H460" s="101"/>
      <c r="I460" s="101"/>
      <c r="J460" s="101"/>
      <c r="K460" s="101"/>
      <c r="L460" s="101"/>
      <c r="M460" s="101"/>
      <c r="N460" s="101"/>
      <c r="O460" s="101"/>
      <c r="P460" s="101"/>
      <c r="Q460" s="101"/>
      <c r="R460" s="101"/>
      <c r="S460" s="110"/>
      <c r="T460" s="102"/>
      <c r="U460" s="101"/>
      <c r="V460" s="103"/>
      <c r="W460" s="101"/>
    </row>
    <row r="461" spans="1:23" x14ac:dyDescent="0.25">
      <c r="A461" s="98"/>
      <c r="H461" s="101"/>
      <c r="I461" s="101"/>
      <c r="J461" s="101"/>
      <c r="K461" s="101"/>
      <c r="L461" s="101"/>
      <c r="M461" s="101"/>
      <c r="N461" s="101"/>
      <c r="O461" s="101"/>
      <c r="P461" s="101"/>
      <c r="Q461" s="101"/>
      <c r="R461" s="101"/>
      <c r="S461" s="110"/>
      <c r="T461" s="102"/>
      <c r="U461" s="101"/>
      <c r="V461" s="103"/>
      <c r="W461" s="101"/>
    </row>
    <row r="462" spans="1:23" x14ac:dyDescent="0.25">
      <c r="A462" s="98"/>
      <c r="H462" s="101"/>
      <c r="I462" s="101"/>
      <c r="J462" s="101"/>
      <c r="K462" s="101"/>
      <c r="L462" s="101"/>
      <c r="M462" s="101"/>
      <c r="N462" s="101"/>
      <c r="O462" s="101"/>
      <c r="P462" s="101"/>
      <c r="Q462" s="101"/>
      <c r="R462" s="101"/>
      <c r="S462" s="110"/>
      <c r="T462" s="102"/>
      <c r="U462" s="101"/>
      <c r="V462" s="103"/>
      <c r="W462" s="101"/>
    </row>
    <row r="463" spans="1:23" x14ac:dyDescent="0.25">
      <c r="A463" s="98"/>
      <c r="H463" s="101"/>
      <c r="I463" s="101"/>
      <c r="J463" s="101"/>
      <c r="K463" s="101"/>
      <c r="L463" s="101"/>
      <c r="M463" s="101"/>
      <c r="N463" s="101"/>
      <c r="O463" s="101"/>
      <c r="P463" s="101"/>
      <c r="Q463" s="101"/>
      <c r="R463" s="101"/>
      <c r="S463" s="110"/>
      <c r="T463" s="102"/>
      <c r="U463" s="101"/>
      <c r="V463" s="103"/>
      <c r="W463" s="101"/>
    </row>
    <row r="464" spans="1:23" x14ac:dyDescent="0.25">
      <c r="A464" s="98"/>
      <c r="H464" s="101"/>
      <c r="I464" s="101"/>
      <c r="J464" s="101"/>
      <c r="K464" s="101"/>
      <c r="L464" s="101"/>
      <c r="M464" s="101"/>
      <c r="N464" s="101"/>
      <c r="O464" s="101"/>
      <c r="P464" s="101"/>
      <c r="Q464" s="101"/>
      <c r="R464" s="101"/>
      <c r="S464" s="110"/>
      <c r="T464" s="102"/>
      <c r="U464" s="101"/>
      <c r="V464" s="103"/>
      <c r="W464" s="101"/>
    </row>
    <row r="465" spans="1:23" x14ac:dyDescent="0.25">
      <c r="A465" s="98"/>
      <c r="H465" s="101"/>
      <c r="I465" s="101"/>
      <c r="J465" s="101"/>
      <c r="K465" s="101"/>
      <c r="L465" s="101"/>
      <c r="M465" s="101"/>
      <c r="N465" s="101"/>
      <c r="O465" s="101"/>
      <c r="P465" s="101"/>
      <c r="Q465" s="101"/>
      <c r="R465" s="101"/>
      <c r="S465" s="110"/>
      <c r="T465" s="102"/>
      <c r="U465" s="101"/>
      <c r="V465" s="103"/>
      <c r="W465" s="101"/>
    </row>
    <row r="466" spans="1:23" x14ac:dyDescent="0.25">
      <c r="A466" s="98"/>
      <c r="H466" s="101"/>
      <c r="I466" s="101"/>
      <c r="J466" s="101"/>
      <c r="K466" s="101"/>
      <c r="L466" s="101"/>
      <c r="M466" s="101"/>
      <c r="N466" s="101"/>
      <c r="O466" s="101"/>
      <c r="P466" s="101"/>
      <c r="Q466" s="101"/>
      <c r="R466" s="101"/>
      <c r="S466" s="110"/>
      <c r="T466" s="102"/>
      <c r="U466" s="101"/>
      <c r="V466" s="103"/>
      <c r="W466" s="101"/>
    </row>
    <row r="467" spans="1:23" x14ac:dyDescent="0.25">
      <c r="A467" s="98"/>
      <c r="H467" s="101"/>
      <c r="I467" s="101"/>
      <c r="J467" s="101"/>
      <c r="K467" s="101"/>
      <c r="L467" s="101"/>
      <c r="M467" s="101"/>
      <c r="N467" s="101"/>
      <c r="O467" s="101"/>
      <c r="P467" s="101"/>
      <c r="Q467" s="101"/>
      <c r="R467" s="101"/>
      <c r="S467" s="110"/>
      <c r="T467" s="102"/>
      <c r="U467" s="101"/>
      <c r="V467" s="103"/>
      <c r="W467" s="101"/>
    </row>
    <row r="468" spans="1:23" x14ac:dyDescent="0.25">
      <c r="A468" s="98"/>
      <c r="H468" s="101"/>
      <c r="I468" s="101"/>
      <c r="J468" s="101"/>
      <c r="K468" s="101"/>
      <c r="L468" s="101"/>
      <c r="M468" s="101"/>
      <c r="N468" s="101"/>
      <c r="O468" s="101"/>
      <c r="P468" s="101"/>
      <c r="Q468" s="101"/>
      <c r="R468" s="101"/>
      <c r="S468" s="110"/>
      <c r="T468" s="102"/>
      <c r="U468" s="101"/>
      <c r="V468" s="103"/>
      <c r="W468" s="101"/>
    </row>
    <row r="469" spans="1:23" x14ac:dyDescent="0.25">
      <c r="A469" s="98"/>
      <c r="H469" s="101"/>
      <c r="I469" s="101"/>
      <c r="J469" s="101"/>
      <c r="K469" s="101"/>
      <c r="L469" s="101"/>
      <c r="M469" s="101"/>
      <c r="N469" s="101"/>
      <c r="O469" s="101"/>
      <c r="P469" s="101"/>
      <c r="Q469" s="101"/>
      <c r="R469" s="101"/>
      <c r="S469" s="110"/>
      <c r="T469" s="102"/>
      <c r="U469" s="101"/>
      <c r="V469" s="103"/>
      <c r="W469" s="101"/>
    </row>
    <row r="470" spans="1:23" x14ac:dyDescent="0.25">
      <c r="A470" s="98"/>
      <c r="H470" s="101"/>
      <c r="I470" s="101"/>
      <c r="J470" s="101"/>
      <c r="K470" s="101"/>
      <c r="L470" s="101"/>
      <c r="M470" s="101"/>
      <c r="N470" s="101"/>
      <c r="O470" s="101"/>
      <c r="P470" s="101"/>
      <c r="Q470" s="101"/>
      <c r="R470" s="101"/>
      <c r="S470" s="110"/>
      <c r="T470" s="102"/>
      <c r="U470" s="101"/>
      <c r="V470" s="103"/>
      <c r="W470" s="101"/>
    </row>
    <row r="471" spans="1:23" x14ac:dyDescent="0.25">
      <c r="A471" s="98"/>
      <c r="H471" s="101"/>
      <c r="I471" s="101"/>
      <c r="J471" s="101"/>
      <c r="K471" s="101"/>
      <c r="L471" s="101"/>
      <c r="M471" s="101"/>
      <c r="N471" s="101"/>
      <c r="O471" s="101"/>
      <c r="P471" s="101"/>
      <c r="Q471" s="101"/>
      <c r="R471" s="101"/>
      <c r="S471" s="110"/>
      <c r="T471" s="102"/>
      <c r="U471" s="101"/>
      <c r="V471" s="103"/>
      <c r="W471" s="101"/>
    </row>
    <row r="472" spans="1:23" x14ac:dyDescent="0.25">
      <c r="A472" s="98"/>
      <c r="H472" s="101"/>
      <c r="I472" s="101"/>
      <c r="J472" s="101"/>
      <c r="K472" s="101"/>
      <c r="L472" s="101"/>
      <c r="M472" s="101"/>
      <c r="N472" s="101"/>
      <c r="O472" s="101"/>
      <c r="P472" s="101"/>
      <c r="Q472" s="101"/>
      <c r="R472" s="101"/>
      <c r="S472" s="110"/>
      <c r="T472" s="102"/>
      <c r="U472" s="101"/>
      <c r="V472" s="103"/>
      <c r="W472" s="101"/>
    </row>
    <row r="473" spans="1:23" x14ac:dyDescent="0.25">
      <c r="A473" s="98"/>
      <c r="H473" s="101"/>
      <c r="I473" s="101"/>
      <c r="J473" s="101"/>
      <c r="K473" s="101"/>
      <c r="L473" s="101"/>
      <c r="M473" s="101"/>
      <c r="N473" s="101"/>
      <c r="O473" s="101"/>
      <c r="P473" s="101"/>
      <c r="Q473" s="101"/>
      <c r="R473" s="101"/>
      <c r="S473" s="110"/>
      <c r="T473" s="102"/>
      <c r="U473" s="101"/>
      <c r="V473" s="103"/>
      <c r="W473" s="101"/>
    </row>
    <row r="474" spans="1:23" x14ac:dyDescent="0.25">
      <c r="A474" s="98"/>
      <c r="H474" s="101"/>
      <c r="I474" s="101"/>
      <c r="J474" s="101"/>
      <c r="K474" s="101"/>
      <c r="L474" s="101"/>
      <c r="M474" s="101"/>
      <c r="N474" s="101"/>
      <c r="O474" s="101"/>
      <c r="P474" s="101"/>
      <c r="Q474" s="101"/>
      <c r="R474" s="101"/>
      <c r="S474" s="110"/>
      <c r="T474" s="102"/>
      <c r="U474" s="101"/>
      <c r="V474" s="103"/>
      <c r="W474" s="101"/>
    </row>
    <row r="475" spans="1:23" x14ac:dyDescent="0.25">
      <c r="A475" s="98"/>
      <c r="H475" s="101"/>
      <c r="I475" s="101"/>
      <c r="J475" s="101"/>
      <c r="K475" s="101"/>
      <c r="L475" s="101"/>
      <c r="M475" s="101"/>
      <c r="N475" s="101"/>
      <c r="O475" s="101"/>
      <c r="P475" s="101"/>
      <c r="Q475" s="101"/>
      <c r="R475" s="101"/>
      <c r="S475" s="110"/>
      <c r="T475" s="102"/>
      <c r="U475" s="101"/>
      <c r="V475" s="103"/>
      <c r="W475" s="101"/>
    </row>
    <row r="476" spans="1:23" x14ac:dyDescent="0.25">
      <c r="A476" s="98"/>
      <c r="H476" s="101"/>
      <c r="I476" s="101"/>
      <c r="J476" s="101"/>
      <c r="K476" s="101"/>
      <c r="L476" s="101"/>
      <c r="M476" s="101"/>
      <c r="N476" s="101"/>
      <c r="O476" s="101"/>
      <c r="P476" s="101"/>
      <c r="Q476" s="101"/>
      <c r="R476" s="101"/>
      <c r="S476" s="110"/>
      <c r="T476" s="102"/>
      <c r="U476" s="101"/>
      <c r="V476" s="103"/>
      <c r="W476" s="101"/>
    </row>
    <row r="477" spans="1:23" x14ac:dyDescent="0.25">
      <c r="A477" s="98"/>
      <c r="H477" s="101"/>
      <c r="I477" s="101"/>
      <c r="J477" s="101"/>
      <c r="K477" s="101"/>
      <c r="L477" s="101"/>
      <c r="M477" s="101"/>
      <c r="N477" s="101"/>
      <c r="O477" s="101"/>
      <c r="P477" s="101"/>
      <c r="Q477" s="101"/>
      <c r="R477" s="101"/>
      <c r="S477" s="110"/>
      <c r="T477" s="102"/>
      <c r="U477" s="101"/>
      <c r="V477" s="103"/>
      <c r="W477" s="101"/>
    </row>
    <row r="478" spans="1:23" x14ac:dyDescent="0.25">
      <c r="A478" s="98"/>
      <c r="H478" s="101"/>
      <c r="I478" s="101"/>
      <c r="J478" s="101"/>
      <c r="K478" s="101"/>
      <c r="L478" s="101"/>
      <c r="M478" s="101"/>
      <c r="N478" s="101"/>
      <c r="O478" s="101"/>
      <c r="P478" s="101"/>
      <c r="Q478" s="101"/>
      <c r="R478" s="101"/>
      <c r="S478" s="110"/>
      <c r="T478" s="102"/>
      <c r="U478" s="101"/>
      <c r="V478" s="103"/>
      <c r="W478" s="101"/>
    </row>
    <row r="479" spans="1:23" x14ac:dyDescent="0.25">
      <c r="A479" s="98"/>
      <c r="H479" s="101"/>
      <c r="I479" s="101"/>
      <c r="J479" s="101"/>
      <c r="K479" s="101"/>
      <c r="L479" s="101"/>
      <c r="M479" s="101"/>
      <c r="N479" s="101"/>
      <c r="O479" s="101"/>
      <c r="P479" s="101"/>
      <c r="Q479" s="101"/>
      <c r="R479" s="101"/>
      <c r="S479" s="110"/>
      <c r="T479" s="102"/>
      <c r="U479" s="101"/>
      <c r="V479" s="103"/>
      <c r="W479" s="101"/>
    </row>
    <row r="480" spans="1:23" x14ac:dyDescent="0.25">
      <c r="A480" s="98"/>
      <c r="H480" s="101"/>
      <c r="I480" s="101"/>
      <c r="J480" s="101"/>
      <c r="K480" s="101"/>
      <c r="L480" s="101"/>
      <c r="M480" s="101"/>
      <c r="N480" s="101"/>
      <c r="O480" s="101"/>
      <c r="P480" s="101"/>
      <c r="Q480" s="101"/>
      <c r="R480" s="101"/>
      <c r="S480" s="110"/>
      <c r="T480" s="102"/>
      <c r="U480" s="101"/>
      <c r="V480" s="103"/>
      <c r="W480" s="101"/>
    </row>
    <row r="481" spans="1:23" x14ac:dyDescent="0.25">
      <c r="A481" s="98"/>
      <c r="H481" s="101"/>
      <c r="I481" s="101"/>
      <c r="J481" s="101"/>
      <c r="K481" s="101"/>
      <c r="L481" s="101"/>
      <c r="M481" s="101"/>
      <c r="N481" s="101"/>
      <c r="O481" s="101"/>
      <c r="P481" s="101"/>
      <c r="Q481" s="101"/>
      <c r="R481" s="101"/>
      <c r="S481" s="110"/>
      <c r="T481" s="102"/>
      <c r="U481" s="101"/>
      <c r="V481" s="103"/>
      <c r="W481" s="101"/>
    </row>
    <row r="482" spans="1:23" x14ac:dyDescent="0.25">
      <c r="A482" s="98"/>
      <c r="H482" s="101"/>
      <c r="I482" s="101"/>
      <c r="J482" s="101"/>
      <c r="K482" s="101"/>
      <c r="L482" s="101"/>
      <c r="M482" s="101"/>
      <c r="N482" s="101"/>
      <c r="O482" s="101"/>
      <c r="P482" s="101"/>
      <c r="Q482" s="101"/>
      <c r="R482" s="101"/>
      <c r="S482" s="110"/>
      <c r="T482" s="102"/>
      <c r="U482" s="101"/>
      <c r="V482" s="103"/>
      <c r="W482" s="101"/>
    </row>
    <row r="483" spans="1:23" x14ac:dyDescent="0.25">
      <c r="A483" s="98"/>
      <c r="H483" s="101"/>
      <c r="I483" s="101"/>
      <c r="J483" s="101"/>
      <c r="K483" s="101"/>
      <c r="L483" s="101"/>
      <c r="M483" s="101"/>
      <c r="N483" s="101"/>
      <c r="O483" s="101"/>
      <c r="P483" s="101"/>
      <c r="Q483" s="101"/>
      <c r="R483" s="101"/>
      <c r="S483" s="110"/>
      <c r="T483" s="102"/>
      <c r="U483" s="101"/>
      <c r="V483" s="103"/>
      <c r="W483" s="101"/>
    </row>
    <row r="484" spans="1:23" x14ac:dyDescent="0.25">
      <c r="A484" s="98"/>
      <c r="H484" s="101"/>
      <c r="I484" s="101"/>
      <c r="J484" s="101"/>
      <c r="K484" s="101"/>
      <c r="L484" s="101"/>
      <c r="M484" s="101"/>
      <c r="N484" s="101"/>
      <c r="O484" s="101"/>
      <c r="P484" s="101"/>
      <c r="Q484" s="101"/>
      <c r="R484" s="101"/>
      <c r="S484" s="110"/>
      <c r="T484" s="102"/>
      <c r="U484" s="101"/>
      <c r="V484" s="103"/>
      <c r="W484" s="101"/>
    </row>
    <row r="485" spans="1:23" x14ac:dyDescent="0.25">
      <c r="A485" s="98"/>
      <c r="H485" s="101"/>
      <c r="I485" s="101"/>
      <c r="J485" s="101"/>
      <c r="K485" s="101"/>
      <c r="L485" s="101"/>
      <c r="M485" s="101"/>
      <c r="N485" s="101"/>
      <c r="O485" s="101"/>
      <c r="P485" s="101"/>
      <c r="Q485" s="101"/>
      <c r="R485" s="101"/>
      <c r="S485" s="110"/>
      <c r="T485" s="102"/>
      <c r="U485" s="101"/>
      <c r="V485" s="103"/>
      <c r="W485" s="101"/>
    </row>
    <row r="486" spans="1:23" x14ac:dyDescent="0.25">
      <c r="A486" s="98"/>
      <c r="H486" s="101"/>
      <c r="I486" s="101"/>
      <c r="J486" s="101"/>
      <c r="K486" s="101"/>
      <c r="L486" s="101"/>
      <c r="M486" s="101"/>
      <c r="N486" s="101"/>
      <c r="O486" s="101"/>
      <c r="P486" s="101"/>
      <c r="Q486" s="101"/>
      <c r="R486" s="101"/>
      <c r="S486" s="110"/>
      <c r="T486" s="102"/>
      <c r="U486" s="101"/>
      <c r="V486" s="103"/>
      <c r="W486" s="101"/>
    </row>
    <row r="487" spans="1:23" x14ac:dyDescent="0.25">
      <c r="A487" s="98"/>
      <c r="H487" s="101"/>
      <c r="I487" s="101"/>
      <c r="J487" s="101"/>
      <c r="K487" s="101"/>
      <c r="L487" s="101"/>
      <c r="M487" s="101"/>
      <c r="N487" s="101"/>
      <c r="O487" s="101"/>
      <c r="P487" s="101"/>
      <c r="Q487" s="101"/>
      <c r="R487" s="101"/>
      <c r="S487" s="110"/>
      <c r="T487" s="102"/>
      <c r="U487" s="101"/>
      <c r="V487" s="103"/>
      <c r="W487" s="101"/>
    </row>
    <row r="488" spans="1:23" x14ac:dyDescent="0.25">
      <c r="A488" s="98"/>
      <c r="H488" s="101"/>
      <c r="I488" s="101"/>
      <c r="J488" s="101"/>
      <c r="K488" s="101"/>
      <c r="L488" s="101"/>
      <c r="M488" s="101"/>
      <c r="N488" s="101"/>
      <c r="O488" s="101"/>
      <c r="P488" s="101"/>
      <c r="Q488" s="101"/>
      <c r="R488" s="101"/>
      <c r="S488" s="110"/>
      <c r="T488" s="102"/>
      <c r="U488" s="101"/>
      <c r="V488" s="103"/>
      <c r="W488" s="101"/>
    </row>
    <row r="489" spans="1:23" x14ac:dyDescent="0.25">
      <c r="A489" s="98"/>
      <c r="H489" s="101"/>
      <c r="I489" s="101"/>
      <c r="J489" s="101"/>
      <c r="K489" s="101"/>
      <c r="L489" s="101"/>
      <c r="M489" s="101"/>
      <c r="N489" s="101"/>
      <c r="O489" s="101"/>
      <c r="P489" s="101"/>
      <c r="Q489" s="101"/>
      <c r="R489" s="101"/>
      <c r="S489" s="110"/>
      <c r="T489" s="102"/>
      <c r="U489" s="101"/>
      <c r="V489" s="103"/>
      <c r="W489" s="101"/>
    </row>
    <row r="490" spans="1:23" x14ac:dyDescent="0.25">
      <c r="A490" s="98"/>
      <c r="H490" s="101"/>
      <c r="I490" s="101"/>
      <c r="J490" s="101"/>
      <c r="K490" s="101"/>
      <c r="L490" s="101"/>
      <c r="M490" s="101"/>
      <c r="N490" s="101"/>
      <c r="O490" s="101"/>
      <c r="P490" s="101"/>
      <c r="Q490" s="101"/>
      <c r="R490" s="101"/>
      <c r="S490" s="110"/>
      <c r="T490" s="102"/>
      <c r="U490" s="101"/>
      <c r="V490" s="103"/>
      <c r="W490" s="101"/>
    </row>
    <row r="491" spans="1:23" x14ac:dyDescent="0.25">
      <c r="A491" s="98"/>
      <c r="H491" s="101"/>
      <c r="I491" s="101"/>
      <c r="J491" s="101"/>
      <c r="K491" s="101"/>
      <c r="L491" s="101"/>
      <c r="M491" s="101"/>
      <c r="N491" s="101"/>
      <c r="O491" s="101"/>
      <c r="P491" s="101"/>
      <c r="Q491" s="101"/>
      <c r="R491" s="101"/>
      <c r="S491" s="110"/>
      <c r="T491" s="102"/>
      <c r="U491" s="101"/>
      <c r="V491" s="103"/>
      <c r="W491" s="101"/>
    </row>
    <row r="492" spans="1:23" x14ac:dyDescent="0.25">
      <c r="A492" s="98"/>
      <c r="H492" s="101"/>
      <c r="I492" s="101"/>
      <c r="J492" s="101"/>
      <c r="K492" s="101"/>
      <c r="L492" s="101"/>
      <c r="M492" s="101"/>
      <c r="N492" s="101"/>
      <c r="O492" s="101"/>
      <c r="P492" s="101"/>
      <c r="Q492" s="101"/>
      <c r="R492" s="101"/>
      <c r="S492" s="110"/>
      <c r="T492" s="102"/>
      <c r="U492" s="101"/>
      <c r="V492" s="103"/>
      <c r="W492" s="101"/>
    </row>
    <row r="493" spans="1:23" x14ac:dyDescent="0.25">
      <c r="A493" s="98"/>
      <c r="H493" s="101"/>
      <c r="I493" s="101"/>
      <c r="J493" s="101"/>
      <c r="K493" s="101"/>
      <c r="L493" s="101"/>
      <c r="M493" s="101"/>
      <c r="N493" s="101"/>
      <c r="O493" s="101"/>
      <c r="P493" s="101"/>
      <c r="Q493" s="101"/>
      <c r="R493" s="101"/>
      <c r="S493" s="110"/>
      <c r="T493" s="102"/>
      <c r="U493" s="101"/>
      <c r="V493" s="103"/>
      <c r="W493" s="101"/>
    </row>
    <row r="494" spans="1:23" x14ac:dyDescent="0.25">
      <c r="A494" s="98"/>
      <c r="H494" s="101"/>
      <c r="I494" s="101"/>
      <c r="J494" s="101"/>
      <c r="K494" s="101"/>
      <c r="L494" s="101"/>
      <c r="M494" s="101"/>
      <c r="N494" s="101"/>
      <c r="O494" s="101"/>
      <c r="P494" s="101"/>
      <c r="Q494" s="101"/>
      <c r="R494" s="101"/>
      <c r="S494" s="110"/>
      <c r="T494" s="102"/>
      <c r="U494" s="101"/>
      <c r="V494" s="103"/>
      <c r="W494" s="101"/>
    </row>
    <row r="495" spans="1:23" x14ac:dyDescent="0.25">
      <c r="A495" s="98"/>
      <c r="H495" s="101"/>
      <c r="I495" s="101"/>
      <c r="J495" s="101"/>
      <c r="K495" s="101"/>
      <c r="L495" s="101"/>
      <c r="M495" s="101"/>
      <c r="N495" s="101"/>
      <c r="O495" s="101"/>
      <c r="P495" s="101"/>
      <c r="Q495" s="101"/>
      <c r="R495" s="101"/>
      <c r="S495" s="110"/>
      <c r="T495" s="102"/>
      <c r="U495" s="101"/>
      <c r="V495" s="103"/>
      <c r="W495" s="101"/>
    </row>
    <row r="496" spans="1:23" x14ac:dyDescent="0.25">
      <c r="A496" s="98"/>
      <c r="H496" s="101"/>
      <c r="I496" s="101"/>
      <c r="J496" s="101"/>
      <c r="K496" s="101"/>
      <c r="L496" s="101"/>
      <c r="M496" s="101"/>
      <c r="N496" s="101"/>
      <c r="O496" s="101"/>
      <c r="P496" s="101"/>
      <c r="Q496" s="101"/>
      <c r="R496" s="101"/>
      <c r="S496" s="110"/>
      <c r="T496" s="102"/>
      <c r="U496" s="101"/>
      <c r="V496" s="103"/>
      <c r="W496" s="101"/>
    </row>
    <row r="497" spans="1:23" x14ac:dyDescent="0.25">
      <c r="A497" s="98"/>
      <c r="H497" s="101"/>
      <c r="I497" s="101"/>
      <c r="J497" s="101"/>
      <c r="K497" s="101"/>
      <c r="L497" s="101"/>
      <c r="M497" s="101"/>
      <c r="N497" s="101"/>
      <c r="O497" s="101"/>
      <c r="P497" s="101"/>
      <c r="Q497" s="101"/>
      <c r="R497" s="101"/>
      <c r="S497" s="110"/>
      <c r="T497" s="102"/>
      <c r="U497" s="101"/>
      <c r="V497" s="103"/>
      <c r="W497" s="101"/>
    </row>
    <row r="498" spans="1:23" x14ac:dyDescent="0.25">
      <c r="A498" s="98"/>
      <c r="H498" s="101"/>
      <c r="I498" s="101"/>
      <c r="J498" s="101"/>
      <c r="K498" s="101"/>
      <c r="L498" s="101"/>
      <c r="M498" s="101"/>
      <c r="N498" s="101"/>
      <c r="O498" s="101"/>
      <c r="P498" s="101"/>
      <c r="Q498" s="101"/>
      <c r="R498" s="101"/>
      <c r="S498" s="110"/>
      <c r="T498" s="102"/>
      <c r="U498" s="101"/>
      <c r="V498" s="103"/>
      <c r="W498" s="101"/>
    </row>
    <row r="499" spans="1:23" x14ac:dyDescent="0.25">
      <c r="A499" s="98"/>
      <c r="H499" s="101"/>
      <c r="I499" s="101"/>
      <c r="J499" s="101"/>
      <c r="K499" s="101"/>
      <c r="L499" s="101"/>
      <c r="M499" s="101"/>
      <c r="N499" s="101"/>
      <c r="O499" s="101"/>
      <c r="P499" s="101"/>
      <c r="Q499" s="101"/>
      <c r="R499" s="101"/>
      <c r="S499" s="110"/>
      <c r="T499" s="102"/>
      <c r="U499" s="101"/>
      <c r="V499" s="103"/>
      <c r="W499" s="101"/>
    </row>
    <row r="500" spans="1:23" x14ac:dyDescent="0.25">
      <c r="A500" s="98"/>
      <c r="H500" s="101"/>
      <c r="I500" s="101"/>
      <c r="J500" s="101"/>
      <c r="K500" s="101"/>
      <c r="L500" s="101"/>
      <c r="M500" s="101"/>
      <c r="N500" s="101"/>
      <c r="O500" s="101"/>
      <c r="P500" s="101"/>
      <c r="Q500" s="101"/>
      <c r="R500" s="101"/>
      <c r="S500" s="110"/>
      <c r="T500" s="102"/>
      <c r="U500" s="101"/>
      <c r="V500" s="103"/>
      <c r="W500" s="101"/>
    </row>
    <row r="501" spans="1:23" x14ac:dyDescent="0.25">
      <c r="A501" s="98"/>
      <c r="H501" s="101"/>
      <c r="I501" s="101"/>
      <c r="J501" s="101"/>
      <c r="K501" s="101"/>
      <c r="L501" s="101"/>
      <c r="M501" s="101"/>
      <c r="N501" s="101"/>
      <c r="O501" s="101"/>
      <c r="P501" s="101"/>
      <c r="Q501" s="101"/>
      <c r="R501" s="101"/>
      <c r="S501" s="110"/>
      <c r="T501" s="102"/>
      <c r="U501" s="101"/>
      <c r="V501" s="103"/>
      <c r="W501" s="101"/>
    </row>
    <row r="502" spans="1:23" x14ac:dyDescent="0.25">
      <c r="A502" s="98"/>
      <c r="H502" s="101"/>
      <c r="I502" s="101"/>
      <c r="J502" s="101"/>
      <c r="K502" s="101"/>
      <c r="L502" s="101"/>
      <c r="M502" s="101"/>
      <c r="N502" s="101"/>
      <c r="O502" s="101"/>
      <c r="P502" s="101"/>
      <c r="Q502" s="101"/>
      <c r="R502" s="101"/>
      <c r="S502" s="110"/>
      <c r="T502" s="102"/>
      <c r="U502" s="101"/>
      <c r="V502" s="103"/>
      <c r="W502" s="101"/>
    </row>
    <row r="503" spans="1:23" x14ac:dyDescent="0.25">
      <c r="A503" s="98"/>
      <c r="H503" s="101"/>
      <c r="I503" s="101"/>
      <c r="J503" s="101"/>
      <c r="K503" s="101"/>
      <c r="L503" s="101"/>
      <c r="M503" s="101"/>
      <c r="N503" s="101"/>
      <c r="O503" s="101"/>
      <c r="P503" s="101"/>
      <c r="Q503" s="101"/>
      <c r="R503" s="101"/>
      <c r="S503" s="110"/>
      <c r="T503" s="102"/>
      <c r="U503" s="101"/>
      <c r="V503" s="103"/>
      <c r="W503" s="101"/>
    </row>
    <row r="504" spans="1:23" x14ac:dyDescent="0.25">
      <c r="A504" s="98"/>
      <c r="H504" s="101"/>
      <c r="I504" s="101"/>
      <c r="J504" s="101"/>
      <c r="K504" s="101"/>
      <c r="L504" s="101"/>
      <c r="M504" s="101"/>
      <c r="N504" s="101"/>
      <c r="O504" s="101"/>
      <c r="P504" s="101"/>
      <c r="Q504" s="101"/>
      <c r="R504" s="101"/>
      <c r="S504" s="110"/>
      <c r="T504" s="102"/>
      <c r="U504" s="101"/>
      <c r="V504" s="103"/>
      <c r="W504" s="101"/>
    </row>
    <row r="505" spans="1:23" x14ac:dyDescent="0.25">
      <c r="A505" s="98"/>
      <c r="H505" s="101"/>
      <c r="I505" s="101"/>
      <c r="J505" s="101"/>
      <c r="K505" s="101"/>
      <c r="L505" s="101"/>
      <c r="M505" s="101"/>
      <c r="N505" s="101"/>
      <c r="O505" s="101"/>
      <c r="P505" s="101"/>
      <c r="Q505" s="101"/>
      <c r="R505" s="101"/>
      <c r="S505" s="110"/>
      <c r="T505" s="102"/>
      <c r="U505" s="101"/>
      <c r="V505" s="103"/>
      <c r="W505" s="101"/>
    </row>
    <row r="506" spans="1:23" x14ac:dyDescent="0.25">
      <c r="A506" s="98"/>
      <c r="H506" s="101"/>
      <c r="I506" s="101"/>
      <c r="J506" s="101"/>
      <c r="K506" s="101"/>
      <c r="L506" s="101"/>
      <c r="M506" s="101"/>
      <c r="N506" s="101"/>
      <c r="O506" s="101"/>
      <c r="P506" s="101"/>
      <c r="Q506" s="101"/>
      <c r="R506" s="101"/>
      <c r="S506" s="110"/>
      <c r="T506" s="102"/>
      <c r="U506" s="101"/>
      <c r="V506" s="103"/>
      <c r="W506" s="101"/>
    </row>
    <row r="507" spans="1:23" x14ac:dyDescent="0.25">
      <c r="A507" s="98"/>
      <c r="H507" s="101"/>
      <c r="I507" s="101"/>
      <c r="J507" s="101"/>
      <c r="K507" s="101"/>
      <c r="L507" s="101"/>
      <c r="M507" s="101"/>
      <c r="N507" s="101"/>
      <c r="O507" s="101"/>
      <c r="P507" s="101"/>
      <c r="Q507" s="101"/>
      <c r="R507" s="101"/>
      <c r="S507" s="110"/>
      <c r="T507" s="102"/>
      <c r="U507" s="101"/>
      <c r="V507" s="103"/>
      <c r="W507" s="101"/>
    </row>
    <row r="508" spans="1:23" x14ac:dyDescent="0.25">
      <c r="A508" s="98"/>
      <c r="H508" s="101"/>
      <c r="I508" s="101"/>
      <c r="J508" s="101"/>
      <c r="K508" s="101"/>
      <c r="L508" s="101"/>
      <c r="M508" s="101"/>
      <c r="N508" s="101"/>
      <c r="O508" s="101"/>
      <c r="P508" s="101"/>
      <c r="Q508" s="101"/>
      <c r="R508" s="101"/>
      <c r="S508" s="110"/>
      <c r="T508" s="102"/>
      <c r="U508" s="101"/>
      <c r="V508" s="103"/>
      <c r="W508" s="101"/>
    </row>
    <row r="509" spans="1:23" x14ac:dyDescent="0.25">
      <c r="A509" s="98"/>
      <c r="H509" s="101"/>
      <c r="I509" s="101"/>
      <c r="J509" s="101"/>
      <c r="K509" s="101"/>
      <c r="L509" s="101"/>
      <c r="M509" s="101"/>
      <c r="N509" s="101"/>
      <c r="O509" s="101"/>
      <c r="P509" s="101"/>
      <c r="Q509" s="101"/>
      <c r="R509" s="101"/>
      <c r="S509" s="110"/>
      <c r="T509" s="102"/>
      <c r="U509" s="101"/>
      <c r="V509" s="103"/>
      <c r="W509" s="101"/>
    </row>
    <row r="510" spans="1:23" x14ac:dyDescent="0.25">
      <c r="A510" s="98"/>
      <c r="H510" s="101"/>
      <c r="I510" s="101"/>
      <c r="J510" s="101"/>
      <c r="K510" s="101"/>
      <c r="L510" s="101"/>
      <c r="M510" s="101"/>
      <c r="N510" s="101"/>
      <c r="O510" s="101"/>
      <c r="P510" s="101"/>
      <c r="Q510" s="101"/>
      <c r="R510" s="101"/>
      <c r="S510" s="110"/>
      <c r="T510" s="102"/>
      <c r="U510" s="101"/>
      <c r="V510" s="103"/>
      <c r="W510" s="101"/>
    </row>
    <row r="511" spans="1:23" x14ac:dyDescent="0.25">
      <c r="A511" s="98"/>
      <c r="H511" s="101"/>
      <c r="I511" s="101"/>
      <c r="J511" s="101"/>
      <c r="K511" s="101"/>
      <c r="L511" s="101"/>
      <c r="M511" s="101"/>
      <c r="N511" s="101"/>
      <c r="O511" s="101"/>
      <c r="P511" s="101"/>
      <c r="Q511" s="101"/>
      <c r="R511" s="101"/>
      <c r="S511" s="110"/>
      <c r="T511" s="102"/>
      <c r="U511" s="101"/>
      <c r="V511" s="103"/>
      <c r="W511" s="101"/>
    </row>
    <row r="512" spans="1:23" x14ac:dyDescent="0.25">
      <c r="A512" s="98"/>
      <c r="H512" s="101"/>
      <c r="I512" s="101"/>
      <c r="J512" s="101"/>
      <c r="K512" s="101"/>
      <c r="L512" s="101"/>
      <c r="M512" s="101"/>
      <c r="N512" s="101"/>
      <c r="O512" s="101"/>
      <c r="P512" s="101"/>
      <c r="Q512" s="101"/>
      <c r="R512" s="101"/>
      <c r="S512" s="110"/>
      <c r="T512" s="102"/>
      <c r="U512" s="101"/>
      <c r="V512" s="103"/>
      <c r="W512" s="101"/>
    </row>
    <row r="513" spans="1:23" x14ac:dyDescent="0.25">
      <c r="A513" s="98"/>
      <c r="H513" s="101"/>
      <c r="I513" s="101"/>
      <c r="J513" s="101"/>
      <c r="K513" s="101"/>
      <c r="L513" s="101"/>
      <c r="M513" s="101"/>
      <c r="N513" s="101"/>
      <c r="O513" s="101"/>
      <c r="P513" s="101"/>
      <c r="Q513" s="101"/>
      <c r="R513" s="101"/>
      <c r="S513" s="110"/>
      <c r="T513" s="102"/>
      <c r="U513" s="101"/>
      <c r="V513" s="103"/>
      <c r="W513" s="101"/>
    </row>
    <row r="514" spans="1:23" x14ac:dyDescent="0.25">
      <c r="A514" s="98"/>
      <c r="H514" s="101"/>
      <c r="I514" s="101"/>
      <c r="J514" s="101"/>
      <c r="K514" s="101"/>
      <c r="L514" s="101"/>
      <c r="M514" s="101"/>
      <c r="N514" s="101"/>
      <c r="O514" s="101"/>
      <c r="P514" s="101"/>
      <c r="Q514" s="101"/>
      <c r="R514" s="101"/>
      <c r="S514" s="110"/>
      <c r="T514" s="102"/>
      <c r="U514" s="101"/>
      <c r="V514" s="103"/>
      <c r="W514" s="101"/>
    </row>
    <row r="515" spans="1:23" x14ac:dyDescent="0.25">
      <c r="A515" s="98"/>
      <c r="H515" s="101"/>
      <c r="I515" s="101"/>
      <c r="J515" s="101"/>
      <c r="K515" s="101"/>
      <c r="L515" s="101"/>
      <c r="M515" s="101"/>
      <c r="N515" s="101"/>
      <c r="O515" s="101"/>
      <c r="P515" s="101"/>
      <c r="Q515" s="101"/>
      <c r="R515" s="101"/>
      <c r="S515" s="110"/>
      <c r="T515" s="102"/>
      <c r="U515" s="101"/>
      <c r="V515" s="103"/>
      <c r="W515" s="101"/>
    </row>
    <row r="516" spans="1:23" x14ac:dyDescent="0.25">
      <c r="A516" s="98"/>
      <c r="H516" s="101"/>
      <c r="I516" s="101"/>
      <c r="J516" s="101"/>
      <c r="K516" s="101"/>
      <c r="L516" s="101"/>
      <c r="M516" s="101"/>
      <c r="N516" s="101"/>
      <c r="O516" s="101"/>
      <c r="P516" s="101"/>
      <c r="Q516" s="101"/>
      <c r="R516" s="101"/>
      <c r="S516" s="110"/>
      <c r="T516" s="102"/>
      <c r="U516" s="101"/>
      <c r="V516" s="103"/>
      <c r="W516" s="101"/>
    </row>
    <row r="517" spans="1:23" x14ac:dyDescent="0.25">
      <c r="A517" s="98"/>
      <c r="H517" s="101"/>
      <c r="I517" s="101"/>
      <c r="J517" s="101"/>
      <c r="K517" s="101"/>
      <c r="L517" s="101"/>
      <c r="M517" s="101"/>
      <c r="N517" s="101"/>
      <c r="O517" s="101"/>
      <c r="P517" s="101"/>
      <c r="Q517" s="101"/>
      <c r="R517" s="101"/>
      <c r="S517" s="110"/>
      <c r="T517" s="102"/>
      <c r="U517" s="101"/>
      <c r="V517" s="103"/>
      <c r="W517" s="101"/>
    </row>
    <row r="518" spans="1:23" x14ac:dyDescent="0.25">
      <c r="A518" s="98"/>
      <c r="H518" s="101"/>
      <c r="I518" s="101"/>
      <c r="J518" s="101"/>
      <c r="K518" s="101"/>
      <c r="L518" s="101"/>
      <c r="M518" s="101"/>
      <c r="N518" s="101"/>
      <c r="O518" s="101"/>
      <c r="P518" s="101"/>
      <c r="Q518" s="101"/>
      <c r="R518" s="101"/>
      <c r="S518" s="110"/>
      <c r="T518" s="102"/>
      <c r="U518" s="101"/>
      <c r="V518" s="103"/>
      <c r="W518" s="101"/>
    </row>
    <row r="519" spans="1:23" x14ac:dyDescent="0.25">
      <c r="A519" s="98"/>
      <c r="H519" s="101"/>
      <c r="I519" s="101"/>
      <c r="J519" s="101"/>
      <c r="K519" s="101"/>
      <c r="L519" s="101"/>
      <c r="M519" s="101"/>
      <c r="N519" s="101"/>
      <c r="O519" s="101"/>
      <c r="P519" s="101"/>
      <c r="Q519" s="101"/>
      <c r="R519" s="101"/>
      <c r="S519" s="110"/>
      <c r="T519" s="102"/>
      <c r="U519" s="101"/>
      <c r="V519" s="103"/>
      <c r="W519" s="101"/>
    </row>
    <row r="520" spans="1:23" x14ac:dyDescent="0.25">
      <c r="A520" s="98"/>
      <c r="H520" s="101"/>
      <c r="I520" s="101"/>
      <c r="J520" s="101"/>
      <c r="K520" s="101"/>
      <c r="L520" s="101"/>
      <c r="M520" s="101"/>
      <c r="N520" s="101"/>
      <c r="O520" s="101"/>
      <c r="P520" s="101"/>
      <c r="Q520" s="101"/>
      <c r="R520" s="101"/>
      <c r="S520" s="110"/>
      <c r="T520" s="102"/>
      <c r="U520" s="101"/>
      <c r="V520" s="103"/>
      <c r="W520" s="101"/>
    </row>
    <row r="521" spans="1:23" x14ac:dyDescent="0.25">
      <c r="A521" s="98"/>
      <c r="H521" s="101"/>
      <c r="I521" s="101"/>
      <c r="J521" s="101"/>
      <c r="K521" s="101"/>
      <c r="L521" s="101"/>
      <c r="M521" s="101"/>
      <c r="N521" s="101"/>
      <c r="O521" s="101"/>
      <c r="P521" s="101"/>
      <c r="Q521" s="101"/>
      <c r="R521" s="101"/>
      <c r="S521" s="110"/>
      <c r="T521" s="102"/>
      <c r="U521" s="101"/>
      <c r="V521" s="103"/>
      <c r="W521" s="101"/>
    </row>
    <row r="522" spans="1:23" x14ac:dyDescent="0.25">
      <c r="A522" s="98"/>
      <c r="H522" s="101"/>
      <c r="I522" s="101"/>
      <c r="J522" s="101"/>
      <c r="K522" s="101"/>
      <c r="L522" s="101"/>
      <c r="M522" s="101"/>
      <c r="N522" s="101"/>
      <c r="O522" s="101"/>
      <c r="P522" s="101"/>
      <c r="Q522" s="101"/>
      <c r="R522" s="101"/>
      <c r="S522" s="110"/>
      <c r="T522" s="102"/>
      <c r="U522" s="101"/>
      <c r="V522" s="103"/>
      <c r="W522" s="101"/>
    </row>
    <row r="523" spans="1:23" x14ac:dyDescent="0.25">
      <c r="A523" s="98"/>
      <c r="H523" s="101"/>
      <c r="I523" s="101"/>
      <c r="J523" s="101"/>
      <c r="K523" s="101"/>
      <c r="L523" s="101"/>
      <c r="M523" s="101"/>
      <c r="N523" s="101"/>
      <c r="O523" s="101"/>
      <c r="P523" s="101"/>
      <c r="Q523" s="101"/>
      <c r="R523" s="101"/>
      <c r="S523" s="110"/>
      <c r="T523" s="102"/>
      <c r="U523" s="101"/>
      <c r="V523" s="103"/>
      <c r="W523" s="101"/>
    </row>
    <row r="524" spans="1:23" x14ac:dyDescent="0.25">
      <c r="A524" s="98"/>
      <c r="H524" s="101"/>
      <c r="I524" s="101"/>
      <c r="J524" s="101"/>
      <c r="K524" s="101"/>
      <c r="L524" s="101"/>
      <c r="M524" s="101"/>
      <c r="N524" s="101"/>
      <c r="O524" s="101"/>
      <c r="P524" s="101"/>
      <c r="Q524" s="101"/>
      <c r="R524" s="101"/>
      <c r="S524" s="110"/>
      <c r="T524" s="102"/>
      <c r="U524" s="101"/>
      <c r="V524" s="103"/>
      <c r="W524" s="101"/>
    </row>
    <row r="525" spans="1:23" x14ac:dyDescent="0.25">
      <c r="A525" s="98"/>
      <c r="H525" s="101"/>
      <c r="I525" s="101"/>
      <c r="J525" s="101"/>
      <c r="K525" s="101"/>
      <c r="L525" s="101"/>
      <c r="M525" s="101"/>
      <c r="N525" s="101"/>
      <c r="O525" s="101"/>
      <c r="P525" s="101"/>
      <c r="Q525" s="101"/>
      <c r="R525" s="101"/>
      <c r="S525" s="110"/>
      <c r="T525" s="102"/>
      <c r="U525" s="101"/>
      <c r="V525" s="103"/>
      <c r="W525" s="101"/>
    </row>
    <row r="526" spans="1:23" x14ac:dyDescent="0.25">
      <c r="A526" s="98"/>
      <c r="H526" s="101"/>
      <c r="I526" s="101"/>
      <c r="J526" s="101"/>
      <c r="K526" s="101"/>
      <c r="L526" s="101"/>
      <c r="M526" s="101"/>
      <c r="N526" s="101"/>
      <c r="O526" s="101"/>
      <c r="P526" s="101"/>
      <c r="Q526" s="101"/>
      <c r="R526" s="101"/>
      <c r="S526" s="110"/>
      <c r="T526" s="102"/>
      <c r="U526" s="101"/>
      <c r="V526" s="103"/>
      <c r="W526" s="101"/>
    </row>
    <row r="527" spans="1:23" x14ac:dyDescent="0.25">
      <c r="A527" s="98"/>
      <c r="H527" s="101"/>
      <c r="I527" s="101"/>
      <c r="J527" s="101"/>
      <c r="K527" s="101"/>
      <c r="L527" s="101"/>
      <c r="M527" s="101"/>
      <c r="N527" s="101"/>
      <c r="O527" s="101"/>
      <c r="P527" s="101"/>
      <c r="Q527" s="101"/>
      <c r="R527" s="101"/>
      <c r="S527" s="110"/>
      <c r="T527" s="102"/>
      <c r="U527" s="101"/>
      <c r="V527" s="103"/>
      <c r="W527" s="101"/>
    </row>
    <row r="528" spans="1:23" x14ac:dyDescent="0.25">
      <c r="A528" s="98"/>
      <c r="H528" s="101"/>
      <c r="I528" s="101"/>
      <c r="J528" s="101"/>
      <c r="K528" s="101"/>
      <c r="L528" s="101"/>
      <c r="M528" s="101"/>
      <c r="N528" s="101"/>
      <c r="O528" s="101"/>
      <c r="P528" s="101"/>
      <c r="Q528" s="101"/>
      <c r="R528" s="101"/>
      <c r="S528" s="110"/>
      <c r="T528" s="102"/>
      <c r="U528" s="101"/>
      <c r="V528" s="103"/>
      <c r="W528" s="101"/>
    </row>
    <row r="529" spans="1:23" x14ac:dyDescent="0.25">
      <c r="A529" s="98"/>
      <c r="H529" s="101"/>
      <c r="I529" s="101"/>
      <c r="J529" s="101"/>
      <c r="K529" s="101"/>
      <c r="L529" s="101"/>
      <c r="M529" s="101"/>
      <c r="N529" s="101"/>
      <c r="O529" s="101"/>
      <c r="P529" s="101"/>
      <c r="Q529" s="101"/>
      <c r="R529" s="101"/>
      <c r="S529" s="110"/>
      <c r="T529" s="102"/>
      <c r="U529" s="101"/>
      <c r="V529" s="103"/>
      <c r="W529" s="101"/>
    </row>
    <row r="530" spans="1:23" x14ac:dyDescent="0.25">
      <c r="A530" s="98"/>
      <c r="H530" s="101"/>
      <c r="I530" s="101"/>
      <c r="J530" s="101"/>
      <c r="K530" s="101"/>
      <c r="L530" s="101"/>
      <c r="M530" s="101"/>
      <c r="N530" s="101"/>
      <c r="O530" s="101"/>
      <c r="P530" s="101"/>
      <c r="Q530" s="101"/>
      <c r="R530" s="101"/>
      <c r="S530" s="110"/>
      <c r="T530" s="102"/>
      <c r="U530" s="101"/>
      <c r="V530" s="103"/>
      <c r="W530" s="101"/>
    </row>
    <row r="531" spans="1:23" x14ac:dyDescent="0.25">
      <c r="A531" s="98"/>
      <c r="H531" s="101"/>
      <c r="I531" s="101"/>
      <c r="J531" s="101"/>
      <c r="K531" s="101"/>
      <c r="L531" s="101"/>
      <c r="M531" s="101"/>
      <c r="N531" s="101"/>
      <c r="O531" s="101"/>
      <c r="P531" s="101"/>
      <c r="Q531" s="101"/>
      <c r="R531" s="101"/>
      <c r="S531" s="110"/>
      <c r="T531" s="102"/>
      <c r="U531" s="101"/>
      <c r="V531" s="103"/>
      <c r="W531" s="101"/>
    </row>
    <row r="532" spans="1:23" x14ac:dyDescent="0.25">
      <c r="A532" s="98"/>
      <c r="H532" s="101"/>
      <c r="I532" s="101"/>
      <c r="J532" s="101"/>
      <c r="K532" s="101"/>
      <c r="L532" s="101"/>
      <c r="M532" s="101"/>
      <c r="N532" s="101"/>
      <c r="O532" s="101"/>
      <c r="P532" s="101"/>
      <c r="Q532" s="101"/>
      <c r="R532" s="101"/>
      <c r="S532" s="110"/>
      <c r="T532" s="102"/>
      <c r="U532" s="101"/>
      <c r="V532" s="103"/>
      <c r="W532" s="101"/>
    </row>
    <row r="533" spans="1:23" x14ac:dyDescent="0.25">
      <c r="A533" s="98"/>
      <c r="H533" s="101"/>
      <c r="I533" s="101"/>
      <c r="J533" s="101"/>
      <c r="K533" s="101"/>
      <c r="L533" s="101"/>
      <c r="M533" s="101"/>
      <c r="N533" s="101"/>
      <c r="O533" s="101"/>
      <c r="P533" s="101"/>
      <c r="Q533" s="101"/>
      <c r="R533" s="101"/>
      <c r="S533" s="110"/>
      <c r="T533" s="102"/>
      <c r="U533" s="101"/>
      <c r="V533" s="103"/>
      <c r="W533" s="101"/>
    </row>
    <row r="534" spans="1:23" x14ac:dyDescent="0.25">
      <c r="A534" s="98"/>
      <c r="H534" s="101"/>
      <c r="I534" s="101"/>
      <c r="J534" s="101"/>
      <c r="K534" s="101"/>
      <c r="L534" s="101"/>
      <c r="M534" s="101"/>
      <c r="N534" s="101"/>
      <c r="O534" s="101"/>
      <c r="P534" s="101"/>
      <c r="Q534" s="101"/>
      <c r="R534" s="101"/>
      <c r="S534" s="110"/>
      <c r="T534" s="102"/>
      <c r="U534" s="101"/>
      <c r="V534" s="103"/>
      <c r="W534" s="101"/>
    </row>
    <row r="535" spans="1:23" x14ac:dyDescent="0.25">
      <c r="A535" s="98"/>
      <c r="H535" s="101"/>
      <c r="I535" s="101"/>
      <c r="J535" s="101"/>
      <c r="K535" s="101"/>
      <c r="L535" s="101"/>
      <c r="M535" s="101"/>
      <c r="N535" s="101"/>
      <c r="O535" s="101"/>
      <c r="P535" s="101"/>
      <c r="Q535" s="101"/>
      <c r="R535" s="101"/>
      <c r="S535" s="110"/>
      <c r="T535" s="102"/>
      <c r="U535" s="101"/>
      <c r="V535" s="103"/>
      <c r="W535" s="101"/>
    </row>
    <row r="536" spans="1:23" x14ac:dyDescent="0.25">
      <c r="A536" s="98"/>
      <c r="H536" s="101"/>
      <c r="I536" s="101"/>
      <c r="J536" s="101"/>
      <c r="K536" s="101"/>
      <c r="L536" s="101"/>
      <c r="M536" s="101"/>
      <c r="N536" s="101"/>
      <c r="O536" s="101"/>
      <c r="P536" s="101"/>
      <c r="Q536" s="101"/>
      <c r="R536" s="101"/>
      <c r="S536" s="110"/>
      <c r="T536" s="102"/>
      <c r="U536" s="101"/>
      <c r="V536" s="103"/>
      <c r="W536" s="101"/>
    </row>
    <row r="537" spans="1:23" x14ac:dyDescent="0.25">
      <c r="A537" s="98"/>
      <c r="H537" s="101"/>
      <c r="I537" s="101"/>
      <c r="J537" s="101"/>
      <c r="K537" s="101"/>
      <c r="L537" s="101"/>
      <c r="M537" s="101"/>
      <c r="N537" s="101"/>
      <c r="O537" s="101"/>
      <c r="P537" s="101"/>
      <c r="Q537" s="101"/>
      <c r="R537" s="101"/>
      <c r="S537" s="110"/>
      <c r="T537" s="102"/>
      <c r="U537" s="101"/>
      <c r="V537" s="103"/>
      <c r="W537" s="101"/>
    </row>
    <row r="538" spans="1:23" x14ac:dyDescent="0.25">
      <c r="A538" s="98"/>
      <c r="H538" s="101"/>
      <c r="I538" s="101"/>
      <c r="J538" s="101"/>
      <c r="K538" s="101"/>
      <c r="L538" s="101"/>
      <c r="M538" s="101"/>
      <c r="N538" s="101"/>
      <c r="O538" s="101"/>
      <c r="P538" s="101"/>
      <c r="Q538" s="101"/>
      <c r="R538" s="101"/>
      <c r="S538" s="110"/>
      <c r="T538" s="102"/>
      <c r="U538" s="101"/>
      <c r="V538" s="103"/>
      <c r="W538" s="101"/>
    </row>
    <row r="539" spans="1:23" x14ac:dyDescent="0.25">
      <c r="A539" s="98"/>
      <c r="H539" s="101"/>
      <c r="I539" s="101"/>
      <c r="J539" s="101"/>
      <c r="K539" s="101"/>
      <c r="L539" s="101"/>
      <c r="M539" s="101"/>
      <c r="N539" s="101"/>
      <c r="O539" s="101"/>
      <c r="P539" s="101"/>
      <c r="Q539" s="101"/>
      <c r="R539" s="101"/>
      <c r="S539" s="110"/>
      <c r="T539" s="102"/>
      <c r="U539" s="101"/>
      <c r="V539" s="103"/>
      <c r="W539" s="101"/>
    </row>
    <row r="540" spans="1:23" x14ac:dyDescent="0.25">
      <c r="A540" s="98"/>
      <c r="H540" s="101"/>
      <c r="I540" s="101"/>
      <c r="J540" s="101"/>
      <c r="K540" s="101"/>
      <c r="L540" s="101"/>
      <c r="M540" s="101"/>
      <c r="N540" s="101"/>
      <c r="O540" s="101"/>
      <c r="P540" s="101"/>
      <c r="Q540" s="101"/>
      <c r="R540" s="101"/>
      <c r="S540" s="110"/>
      <c r="T540" s="102"/>
      <c r="U540" s="101"/>
      <c r="V540" s="103"/>
      <c r="W540" s="101"/>
    </row>
    <row r="541" spans="1:23" x14ac:dyDescent="0.25">
      <c r="A541" s="98"/>
      <c r="H541" s="101"/>
      <c r="I541" s="101"/>
      <c r="J541" s="101"/>
      <c r="K541" s="101"/>
      <c r="L541" s="101"/>
      <c r="M541" s="101"/>
      <c r="N541" s="101"/>
      <c r="O541" s="101"/>
      <c r="P541" s="101"/>
      <c r="Q541" s="101"/>
      <c r="R541" s="101"/>
      <c r="S541" s="110"/>
      <c r="T541" s="102"/>
      <c r="U541" s="101"/>
      <c r="V541" s="103"/>
      <c r="W541" s="101"/>
    </row>
    <row r="542" spans="1:23" x14ac:dyDescent="0.25">
      <c r="A542" s="98"/>
      <c r="H542" s="101"/>
      <c r="I542" s="101"/>
      <c r="J542" s="101"/>
      <c r="K542" s="101"/>
      <c r="L542" s="101"/>
      <c r="M542" s="101"/>
      <c r="N542" s="101"/>
      <c r="O542" s="101"/>
      <c r="P542" s="101"/>
      <c r="Q542" s="101"/>
      <c r="R542" s="101"/>
      <c r="S542" s="110"/>
      <c r="T542" s="102"/>
      <c r="U542" s="101"/>
      <c r="V542" s="103"/>
      <c r="W542" s="101"/>
    </row>
    <row r="543" spans="1:23" x14ac:dyDescent="0.25">
      <c r="A543" s="98"/>
      <c r="H543" s="101"/>
      <c r="I543" s="101"/>
      <c r="J543" s="101"/>
      <c r="K543" s="101"/>
      <c r="L543" s="101"/>
      <c r="M543" s="101"/>
      <c r="N543" s="101"/>
      <c r="O543" s="101"/>
      <c r="P543" s="101"/>
      <c r="Q543" s="101"/>
      <c r="R543" s="101"/>
      <c r="S543" s="110"/>
      <c r="T543" s="102"/>
      <c r="U543" s="101"/>
      <c r="V543" s="103"/>
      <c r="W543" s="101"/>
    </row>
    <row r="544" spans="1:23" x14ac:dyDescent="0.25">
      <c r="A544" s="98"/>
      <c r="H544" s="101"/>
      <c r="I544" s="101"/>
      <c r="J544" s="101"/>
      <c r="K544" s="101"/>
      <c r="L544" s="101"/>
      <c r="M544" s="101"/>
      <c r="N544" s="101"/>
      <c r="O544" s="101"/>
      <c r="P544" s="101"/>
      <c r="Q544" s="101"/>
      <c r="R544" s="101"/>
      <c r="S544" s="110"/>
      <c r="T544" s="102"/>
      <c r="U544" s="101"/>
      <c r="V544" s="103"/>
      <c r="W544" s="101"/>
    </row>
    <row r="545" spans="1:23" x14ac:dyDescent="0.25">
      <c r="A545" s="98"/>
      <c r="H545" s="101"/>
      <c r="I545" s="101"/>
      <c r="J545" s="101"/>
      <c r="K545" s="101"/>
      <c r="L545" s="101"/>
      <c r="M545" s="101"/>
      <c r="N545" s="101"/>
      <c r="O545" s="101"/>
      <c r="P545" s="101"/>
      <c r="Q545" s="101"/>
      <c r="R545" s="101"/>
      <c r="S545" s="110"/>
      <c r="T545" s="102"/>
      <c r="U545" s="101"/>
      <c r="V545" s="103"/>
      <c r="W545" s="101"/>
    </row>
    <row r="546" spans="1:23" x14ac:dyDescent="0.25">
      <c r="A546" s="98"/>
      <c r="H546" s="101"/>
      <c r="I546" s="101"/>
      <c r="J546" s="101"/>
      <c r="K546" s="101"/>
      <c r="L546" s="101"/>
      <c r="M546" s="101"/>
      <c r="N546" s="101"/>
      <c r="O546" s="101"/>
      <c r="P546" s="101"/>
      <c r="Q546" s="101"/>
      <c r="R546" s="101"/>
      <c r="S546" s="110"/>
      <c r="T546" s="102"/>
      <c r="U546" s="101"/>
      <c r="V546" s="103"/>
      <c r="W546" s="101"/>
    </row>
    <row r="547" spans="1:23" x14ac:dyDescent="0.25">
      <c r="A547" s="98"/>
      <c r="H547" s="101"/>
      <c r="I547" s="101"/>
      <c r="J547" s="101"/>
      <c r="K547" s="101"/>
      <c r="L547" s="101"/>
      <c r="M547" s="101"/>
      <c r="N547" s="101"/>
      <c r="O547" s="101"/>
      <c r="P547" s="101"/>
      <c r="Q547" s="101"/>
      <c r="R547" s="101"/>
      <c r="S547" s="110"/>
      <c r="T547" s="102"/>
      <c r="U547" s="101"/>
      <c r="V547" s="103"/>
      <c r="W547" s="101"/>
    </row>
    <row r="548" spans="1:23" x14ac:dyDescent="0.25">
      <c r="A548" s="98"/>
      <c r="H548" s="101"/>
      <c r="I548" s="101"/>
      <c r="J548" s="101"/>
      <c r="K548" s="101"/>
      <c r="L548" s="101"/>
      <c r="M548" s="101"/>
      <c r="N548" s="101"/>
      <c r="O548" s="101"/>
      <c r="P548" s="101"/>
      <c r="Q548" s="101"/>
      <c r="R548" s="101"/>
      <c r="S548" s="110"/>
      <c r="T548" s="102"/>
      <c r="U548" s="101"/>
      <c r="V548" s="103"/>
      <c r="W548" s="101"/>
    </row>
    <row r="549" spans="1:23" x14ac:dyDescent="0.25">
      <c r="A549" s="98"/>
      <c r="H549" s="101"/>
      <c r="I549" s="101"/>
      <c r="J549" s="101"/>
      <c r="K549" s="101"/>
      <c r="L549" s="101"/>
      <c r="M549" s="101"/>
      <c r="N549" s="101"/>
      <c r="O549" s="101"/>
      <c r="P549" s="101"/>
      <c r="Q549" s="101"/>
      <c r="R549" s="101"/>
      <c r="S549" s="110"/>
      <c r="T549" s="102"/>
      <c r="U549" s="101"/>
      <c r="V549" s="103"/>
      <c r="W549" s="101"/>
    </row>
    <row r="550" spans="1:23" x14ac:dyDescent="0.25">
      <c r="A550" s="98"/>
      <c r="H550" s="101"/>
      <c r="I550" s="101"/>
      <c r="J550" s="101"/>
      <c r="K550" s="101"/>
      <c r="L550" s="101"/>
      <c r="M550" s="101"/>
      <c r="N550" s="101"/>
      <c r="O550" s="101"/>
      <c r="P550" s="101"/>
      <c r="Q550" s="101"/>
      <c r="R550" s="101"/>
      <c r="S550" s="110"/>
      <c r="T550" s="102"/>
      <c r="U550" s="101"/>
      <c r="V550" s="103"/>
      <c r="W550" s="101"/>
    </row>
    <row r="551" spans="1:23" x14ac:dyDescent="0.25">
      <c r="A551" s="98"/>
      <c r="H551" s="101"/>
      <c r="I551" s="101"/>
      <c r="J551" s="101"/>
      <c r="K551" s="101"/>
      <c r="L551" s="101"/>
      <c r="M551" s="101"/>
      <c r="N551" s="101"/>
      <c r="O551" s="101"/>
      <c r="P551" s="101"/>
      <c r="Q551" s="101"/>
      <c r="R551" s="101"/>
      <c r="S551" s="110"/>
      <c r="T551" s="102"/>
      <c r="U551" s="101"/>
      <c r="V551" s="103"/>
      <c r="W551" s="101"/>
    </row>
    <row r="552" spans="1:23" x14ac:dyDescent="0.25">
      <c r="A552" s="98"/>
      <c r="H552" s="101"/>
      <c r="I552" s="101"/>
      <c r="J552" s="101"/>
      <c r="K552" s="101"/>
      <c r="L552" s="101"/>
      <c r="M552" s="101"/>
      <c r="N552" s="101"/>
      <c r="O552" s="101"/>
      <c r="P552" s="101"/>
      <c r="Q552" s="101"/>
      <c r="R552" s="101"/>
      <c r="S552" s="110"/>
      <c r="T552" s="102"/>
      <c r="U552" s="101"/>
      <c r="V552" s="103"/>
      <c r="W552" s="101"/>
    </row>
    <row r="553" spans="1:23" x14ac:dyDescent="0.25">
      <c r="A553" s="98"/>
      <c r="H553" s="101"/>
      <c r="I553" s="101"/>
      <c r="J553" s="101"/>
      <c r="K553" s="101"/>
      <c r="L553" s="101"/>
      <c r="M553" s="101"/>
      <c r="N553" s="101"/>
      <c r="O553" s="101"/>
      <c r="P553" s="101"/>
      <c r="Q553" s="101"/>
      <c r="R553" s="101"/>
      <c r="S553" s="110"/>
      <c r="T553" s="102"/>
      <c r="U553" s="101"/>
      <c r="V553" s="103"/>
      <c r="W553" s="101"/>
    </row>
    <row r="554" spans="1:23" x14ac:dyDescent="0.25">
      <c r="A554" s="98"/>
      <c r="H554" s="101"/>
      <c r="I554" s="101"/>
      <c r="J554" s="101"/>
      <c r="K554" s="101"/>
      <c r="L554" s="101"/>
      <c r="M554" s="101"/>
      <c r="N554" s="101"/>
      <c r="O554" s="101"/>
      <c r="P554" s="101"/>
      <c r="Q554" s="101"/>
      <c r="R554" s="101"/>
      <c r="S554" s="110"/>
      <c r="T554" s="102"/>
      <c r="U554" s="101"/>
      <c r="V554" s="103"/>
      <c r="W554" s="101"/>
    </row>
    <row r="555" spans="1:23" x14ac:dyDescent="0.25">
      <c r="A555" s="98"/>
      <c r="H555" s="101"/>
      <c r="I555" s="101"/>
      <c r="J555" s="101"/>
      <c r="K555" s="101"/>
      <c r="L555" s="101"/>
      <c r="M555" s="101"/>
      <c r="N555" s="101"/>
      <c r="O555" s="101"/>
      <c r="P555" s="101"/>
      <c r="Q555" s="101"/>
      <c r="R555" s="101"/>
      <c r="S555" s="110"/>
      <c r="T555" s="102"/>
      <c r="U555" s="101"/>
      <c r="V555" s="103"/>
      <c r="W555" s="101"/>
    </row>
    <row r="556" spans="1:23" x14ac:dyDescent="0.25">
      <c r="A556" s="98"/>
      <c r="H556" s="101"/>
      <c r="I556" s="101"/>
      <c r="J556" s="101"/>
      <c r="K556" s="101"/>
      <c r="L556" s="101"/>
      <c r="M556" s="101"/>
      <c r="N556" s="101"/>
      <c r="O556" s="101"/>
      <c r="P556" s="101"/>
      <c r="Q556" s="101"/>
      <c r="R556" s="101"/>
      <c r="S556" s="110"/>
      <c r="T556" s="102"/>
      <c r="U556" s="101"/>
      <c r="V556" s="103"/>
      <c r="W556" s="101"/>
    </row>
    <row r="557" spans="1:23" x14ac:dyDescent="0.25">
      <c r="A557" s="98"/>
      <c r="H557" s="101"/>
      <c r="I557" s="101"/>
      <c r="J557" s="101"/>
      <c r="K557" s="101"/>
      <c r="L557" s="101"/>
      <c r="M557" s="101"/>
      <c r="N557" s="101"/>
      <c r="O557" s="101"/>
      <c r="P557" s="101"/>
      <c r="Q557" s="101"/>
      <c r="R557" s="101"/>
      <c r="S557" s="110"/>
      <c r="T557" s="102"/>
      <c r="U557" s="101"/>
      <c r="V557" s="103"/>
      <c r="W557" s="101"/>
    </row>
    <row r="558" spans="1:23" x14ac:dyDescent="0.25">
      <c r="A558" s="98"/>
      <c r="H558" s="101"/>
      <c r="I558" s="101"/>
      <c r="J558" s="101"/>
      <c r="K558" s="101"/>
      <c r="L558" s="101"/>
      <c r="M558" s="101"/>
      <c r="N558" s="101"/>
      <c r="O558" s="101"/>
      <c r="P558" s="101"/>
      <c r="Q558" s="101"/>
      <c r="R558" s="101"/>
      <c r="S558" s="110"/>
      <c r="T558" s="102"/>
      <c r="U558" s="101"/>
      <c r="V558" s="103"/>
      <c r="W558" s="101"/>
    </row>
    <row r="559" spans="1:23" x14ac:dyDescent="0.25">
      <c r="A559" s="98"/>
      <c r="H559" s="101"/>
      <c r="I559" s="101"/>
      <c r="J559" s="101"/>
      <c r="K559" s="101"/>
      <c r="L559" s="101"/>
      <c r="M559" s="101"/>
      <c r="N559" s="101"/>
      <c r="O559" s="101"/>
      <c r="P559" s="101"/>
      <c r="Q559" s="101"/>
      <c r="R559" s="101"/>
      <c r="S559" s="110"/>
      <c r="T559" s="102"/>
      <c r="U559" s="101"/>
      <c r="V559" s="103"/>
      <c r="W559" s="101"/>
    </row>
    <row r="560" spans="1:23" x14ac:dyDescent="0.25">
      <c r="A560" s="98"/>
      <c r="H560" s="101"/>
      <c r="I560" s="101"/>
      <c r="J560" s="101"/>
      <c r="K560" s="101"/>
      <c r="L560" s="101"/>
      <c r="M560" s="101"/>
      <c r="N560" s="101"/>
      <c r="O560" s="101"/>
      <c r="P560" s="101"/>
      <c r="Q560" s="101"/>
      <c r="R560" s="101"/>
      <c r="S560" s="110"/>
      <c r="T560" s="102"/>
      <c r="U560" s="101"/>
      <c r="V560" s="103"/>
      <c r="W560" s="101"/>
    </row>
    <row r="561" spans="1:23" x14ac:dyDescent="0.25">
      <c r="A561" s="98"/>
      <c r="H561" s="101"/>
      <c r="I561" s="101"/>
      <c r="J561" s="101"/>
      <c r="K561" s="101"/>
      <c r="L561" s="101"/>
      <c r="M561" s="101"/>
      <c r="N561" s="101"/>
      <c r="O561" s="101"/>
      <c r="P561" s="101"/>
      <c r="Q561" s="101"/>
      <c r="R561" s="101"/>
      <c r="S561" s="110"/>
      <c r="T561" s="102"/>
      <c r="U561" s="101"/>
      <c r="V561" s="103"/>
      <c r="W561" s="101"/>
    </row>
    <row r="562" spans="1:23" x14ac:dyDescent="0.25">
      <c r="A562" s="98"/>
      <c r="H562" s="101"/>
      <c r="I562" s="101"/>
      <c r="J562" s="101"/>
      <c r="K562" s="101"/>
      <c r="L562" s="101"/>
      <c r="M562" s="101"/>
      <c r="N562" s="101"/>
      <c r="O562" s="101"/>
      <c r="P562" s="101"/>
      <c r="Q562" s="101"/>
      <c r="R562" s="101"/>
      <c r="S562" s="110"/>
      <c r="T562" s="102"/>
      <c r="U562" s="101"/>
      <c r="V562" s="103"/>
      <c r="W562" s="101"/>
    </row>
    <row r="563" spans="1:23" x14ac:dyDescent="0.25">
      <c r="A563" s="98"/>
      <c r="H563" s="101"/>
      <c r="I563" s="101"/>
      <c r="J563" s="101"/>
      <c r="K563" s="101"/>
      <c r="L563" s="101"/>
      <c r="M563" s="101"/>
      <c r="N563" s="101"/>
      <c r="O563" s="101"/>
      <c r="P563" s="101"/>
      <c r="Q563" s="101"/>
      <c r="R563" s="101"/>
      <c r="S563" s="110"/>
      <c r="T563" s="102"/>
      <c r="U563" s="101"/>
      <c r="V563" s="103"/>
      <c r="W563" s="101"/>
    </row>
    <row r="564" spans="1:23" x14ac:dyDescent="0.25">
      <c r="A564" s="98"/>
      <c r="H564" s="101"/>
      <c r="I564" s="101"/>
      <c r="J564" s="101"/>
      <c r="K564" s="101"/>
      <c r="L564" s="101"/>
      <c r="M564" s="101"/>
      <c r="N564" s="101"/>
      <c r="O564" s="101"/>
      <c r="P564" s="101"/>
      <c r="Q564" s="101"/>
      <c r="R564" s="101"/>
      <c r="S564" s="110"/>
      <c r="T564" s="102"/>
      <c r="U564" s="101"/>
      <c r="V564" s="103"/>
      <c r="W564" s="101"/>
    </row>
    <row r="565" spans="1:23" x14ac:dyDescent="0.25">
      <c r="A565" s="98"/>
      <c r="H565" s="101"/>
      <c r="I565" s="101"/>
      <c r="J565" s="101"/>
      <c r="K565" s="101"/>
      <c r="L565" s="101"/>
      <c r="M565" s="101"/>
      <c r="N565" s="101"/>
      <c r="O565" s="101"/>
      <c r="P565" s="101"/>
      <c r="Q565" s="101"/>
      <c r="R565" s="101"/>
      <c r="S565" s="110"/>
      <c r="T565" s="102"/>
      <c r="U565" s="101"/>
      <c r="V565" s="103"/>
      <c r="W565" s="101"/>
    </row>
    <row r="566" spans="1:23" x14ac:dyDescent="0.25">
      <c r="A566" s="98"/>
      <c r="H566" s="101"/>
      <c r="I566" s="101"/>
      <c r="J566" s="101"/>
      <c r="K566" s="101"/>
      <c r="L566" s="101"/>
      <c r="M566" s="101"/>
      <c r="N566" s="101"/>
      <c r="O566" s="101"/>
      <c r="P566" s="101"/>
      <c r="Q566" s="101"/>
      <c r="R566" s="101"/>
      <c r="S566" s="110"/>
      <c r="T566" s="102"/>
      <c r="U566" s="101"/>
      <c r="V566" s="103"/>
      <c r="W566" s="101"/>
    </row>
    <row r="567" spans="1:23" x14ac:dyDescent="0.25">
      <c r="A567" s="98"/>
      <c r="H567" s="101"/>
      <c r="I567" s="101"/>
      <c r="J567" s="101"/>
      <c r="K567" s="101"/>
      <c r="L567" s="101"/>
      <c r="M567" s="101"/>
      <c r="N567" s="101"/>
      <c r="O567" s="101"/>
      <c r="P567" s="101"/>
      <c r="Q567" s="101"/>
      <c r="R567" s="101"/>
      <c r="S567" s="110"/>
      <c r="T567" s="102"/>
      <c r="U567" s="101"/>
      <c r="V567" s="103"/>
      <c r="W567" s="101"/>
    </row>
    <row r="568" spans="1:23" x14ac:dyDescent="0.25">
      <c r="A568" s="98"/>
      <c r="H568" s="101"/>
      <c r="I568" s="101"/>
      <c r="J568" s="101"/>
      <c r="K568" s="101"/>
      <c r="L568" s="101"/>
      <c r="M568" s="101"/>
      <c r="N568" s="101"/>
      <c r="O568" s="101"/>
      <c r="P568" s="101"/>
      <c r="Q568" s="101"/>
      <c r="R568" s="101"/>
      <c r="S568" s="110"/>
      <c r="T568" s="102"/>
      <c r="U568" s="101"/>
      <c r="V568" s="103"/>
      <c r="W568" s="101"/>
    </row>
    <row r="569" spans="1:23" x14ac:dyDescent="0.25">
      <c r="A569" s="98"/>
      <c r="H569" s="101"/>
      <c r="I569" s="101"/>
      <c r="J569" s="101"/>
      <c r="K569" s="101"/>
      <c r="L569" s="101"/>
      <c r="M569" s="101"/>
      <c r="N569" s="101"/>
      <c r="O569" s="101"/>
      <c r="P569" s="101"/>
      <c r="Q569" s="101"/>
      <c r="R569" s="101"/>
      <c r="S569" s="110"/>
      <c r="T569" s="102"/>
      <c r="U569" s="101"/>
      <c r="V569" s="103"/>
      <c r="W569" s="101"/>
    </row>
    <row r="570" spans="1:23" x14ac:dyDescent="0.25">
      <c r="A570" s="98"/>
      <c r="H570" s="101"/>
      <c r="I570" s="101"/>
      <c r="J570" s="101"/>
      <c r="K570" s="101"/>
      <c r="L570" s="101"/>
      <c r="M570" s="101"/>
      <c r="N570" s="101"/>
      <c r="O570" s="101"/>
      <c r="P570" s="101"/>
      <c r="Q570" s="101"/>
      <c r="R570" s="101"/>
      <c r="S570" s="110"/>
      <c r="T570" s="102"/>
      <c r="U570" s="101"/>
      <c r="V570" s="103"/>
      <c r="W570" s="101"/>
    </row>
    <row r="571" spans="1:23" x14ac:dyDescent="0.25">
      <c r="A571" s="98"/>
      <c r="H571" s="101"/>
      <c r="I571" s="101"/>
      <c r="J571" s="101"/>
      <c r="K571" s="101"/>
      <c r="L571" s="101"/>
      <c r="M571" s="101"/>
      <c r="N571" s="101"/>
      <c r="O571" s="101"/>
      <c r="P571" s="101"/>
      <c r="Q571" s="101"/>
      <c r="R571" s="101"/>
      <c r="S571" s="110"/>
      <c r="T571" s="102"/>
      <c r="U571" s="101"/>
      <c r="V571" s="103"/>
      <c r="W571" s="101"/>
    </row>
    <row r="572" spans="1:23" x14ac:dyDescent="0.25">
      <c r="A572" s="98"/>
      <c r="H572" s="101"/>
      <c r="I572" s="101"/>
      <c r="J572" s="101"/>
      <c r="K572" s="101"/>
      <c r="L572" s="101"/>
      <c r="M572" s="101"/>
      <c r="N572" s="101"/>
      <c r="O572" s="101"/>
      <c r="P572" s="101"/>
      <c r="Q572" s="101"/>
      <c r="R572" s="101"/>
      <c r="S572" s="110"/>
      <c r="T572" s="102"/>
      <c r="U572" s="101"/>
      <c r="V572" s="103"/>
      <c r="W572" s="101"/>
    </row>
    <row r="573" spans="1:23" x14ac:dyDescent="0.25">
      <c r="A573" s="98"/>
      <c r="H573" s="101"/>
      <c r="I573" s="101"/>
      <c r="J573" s="101"/>
      <c r="K573" s="101"/>
      <c r="L573" s="101"/>
      <c r="M573" s="101"/>
      <c r="N573" s="101"/>
      <c r="O573" s="101"/>
      <c r="P573" s="101"/>
      <c r="Q573" s="101"/>
      <c r="R573" s="101"/>
      <c r="S573" s="110"/>
      <c r="T573" s="102"/>
      <c r="U573" s="101"/>
      <c r="V573" s="103"/>
      <c r="W573" s="101"/>
    </row>
    <row r="574" spans="1:23" x14ac:dyDescent="0.25">
      <c r="A574" s="98"/>
      <c r="H574" s="101"/>
      <c r="I574" s="101"/>
      <c r="J574" s="101"/>
      <c r="K574" s="101"/>
      <c r="L574" s="101"/>
      <c r="M574" s="101"/>
      <c r="N574" s="101"/>
      <c r="O574" s="101"/>
      <c r="P574" s="101"/>
      <c r="Q574" s="101"/>
      <c r="R574" s="101"/>
      <c r="S574" s="110"/>
      <c r="T574" s="102"/>
      <c r="U574" s="101"/>
      <c r="V574" s="103"/>
      <c r="W574" s="101"/>
    </row>
    <row r="575" spans="1:23" x14ac:dyDescent="0.25">
      <c r="A575" s="98"/>
      <c r="H575" s="101"/>
      <c r="I575" s="101"/>
      <c r="J575" s="101"/>
      <c r="K575" s="101"/>
      <c r="L575" s="101"/>
      <c r="M575" s="101"/>
      <c r="N575" s="101"/>
      <c r="O575" s="101"/>
      <c r="P575" s="101"/>
      <c r="Q575" s="101"/>
      <c r="R575" s="101"/>
      <c r="S575" s="110"/>
      <c r="T575" s="102"/>
      <c r="U575" s="101"/>
      <c r="V575" s="103"/>
      <c r="W575" s="101"/>
    </row>
    <row r="576" spans="1:23" x14ac:dyDescent="0.25">
      <c r="A576" s="98"/>
      <c r="H576" s="101"/>
      <c r="I576" s="101"/>
      <c r="J576" s="101"/>
      <c r="K576" s="101"/>
      <c r="L576" s="101"/>
      <c r="M576" s="101"/>
      <c r="N576" s="101"/>
      <c r="O576" s="101"/>
      <c r="P576" s="101"/>
      <c r="Q576" s="101"/>
      <c r="R576" s="101"/>
      <c r="S576" s="110"/>
      <c r="T576" s="102"/>
      <c r="U576" s="101"/>
      <c r="V576" s="103"/>
      <c r="W576" s="101"/>
    </row>
    <row r="577" spans="1:23" x14ac:dyDescent="0.25">
      <c r="A577" s="98"/>
      <c r="H577" s="101"/>
      <c r="I577" s="101"/>
      <c r="J577" s="101"/>
      <c r="K577" s="101"/>
      <c r="L577" s="101"/>
      <c r="M577" s="101"/>
      <c r="N577" s="101"/>
      <c r="O577" s="101"/>
      <c r="P577" s="101"/>
      <c r="Q577" s="101"/>
      <c r="R577" s="101"/>
      <c r="S577" s="110"/>
      <c r="T577" s="102"/>
      <c r="U577" s="101"/>
      <c r="V577" s="103"/>
      <c r="W577" s="101"/>
    </row>
    <row r="578" spans="1:23" x14ac:dyDescent="0.25">
      <c r="A578" s="98"/>
      <c r="H578" s="101"/>
      <c r="I578" s="101"/>
      <c r="J578" s="101"/>
      <c r="K578" s="101"/>
      <c r="L578" s="101"/>
      <c r="M578" s="101"/>
      <c r="N578" s="101"/>
      <c r="O578" s="101"/>
      <c r="P578" s="101"/>
      <c r="Q578" s="101"/>
      <c r="R578" s="101"/>
      <c r="S578" s="110"/>
      <c r="T578" s="102"/>
      <c r="U578" s="101"/>
      <c r="V578" s="103"/>
      <c r="W578" s="101"/>
    </row>
    <row r="579" spans="1:23" x14ac:dyDescent="0.25">
      <c r="A579" s="98"/>
      <c r="H579" s="101"/>
      <c r="I579" s="101"/>
      <c r="J579" s="101"/>
      <c r="K579" s="101"/>
      <c r="L579" s="101"/>
      <c r="M579" s="101"/>
      <c r="N579" s="101"/>
      <c r="O579" s="101"/>
      <c r="P579" s="101"/>
      <c r="Q579" s="101"/>
      <c r="R579" s="101"/>
      <c r="S579" s="110"/>
      <c r="T579" s="102"/>
      <c r="U579" s="101"/>
      <c r="V579" s="103"/>
      <c r="W579" s="101"/>
    </row>
    <row r="580" spans="1:23" x14ac:dyDescent="0.25">
      <c r="A580" s="98"/>
      <c r="H580" s="101"/>
      <c r="I580" s="101"/>
      <c r="J580" s="101"/>
      <c r="K580" s="101"/>
      <c r="L580" s="101"/>
      <c r="M580" s="101"/>
      <c r="N580" s="101"/>
      <c r="O580" s="101"/>
      <c r="P580" s="101"/>
      <c r="Q580" s="101"/>
      <c r="R580" s="101"/>
      <c r="S580" s="110"/>
      <c r="T580" s="102"/>
      <c r="U580" s="101"/>
      <c r="V580" s="103"/>
      <c r="W580" s="101"/>
    </row>
    <row r="581" spans="1:23" x14ac:dyDescent="0.25">
      <c r="A581" s="98"/>
      <c r="H581" s="101"/>
      <c r="I581" s="101"/>
      <c r="J581" s="101"/>
      <c r="K581" s="101"/>
      <c r="L581" s="101"/>
      <c r="M581" s="101"/>
      <c r="N581" s="101"/>
      <c r="O581" s="101"/>
      <c r="P581" s="101"/>
      <c r="Q581" s="101"/>
      <c r="R581" s="101"/>
      <c r="S581" s="110"/>
      <c r="T581" s="102"/>
      <c r="U581" s="101"/>
      <c r="V581" s="103"/>
      <c r="W581" s="101"/>
    </row>
    <row r="582" spans="1:23" x14ac:dyDescent="0.25">
      <c r="A582" s="98"/>
      <c r="H582" s="101"/>
      <c r="I582" s="101"/>
      <c r="J582" s="101"/>
      <c r="K582" s="101"/>
      <c r="L582" s="101"/>
      <c r="M582" s="101"/>
      <c r="N582" s="101"/>
      <c r="O582" s="101"/>
      <c r="P582" s="101"/>
      <c r="Q582" s="101"/>
      <c r="R582" s="101"/>
      <c r="S582" s="110"/>
      <c r="T582" s="102"/>
      <c r="U582" s="101"/>
      <c r="V582" s="103"/>
      <c r="W582" s="101"/>
    </row>
    <row r="583" spans="1:23" x14ac:dyDescent="0.25">
      <c r="A583" s="98"/>
      <c r="H583" s="101"/>
      <c r="I583" s="101"/>
      <c r="J583" s="101"/>
      <c r="K583" s="101"/>
      <c r="L583" s="101"/>
      <c r="M583" s="101"/>
      <c r="N583" s="101"/>
      <c r="O583" s="101"/>
      <c r="P583" s="101"/>
      <c r="Q583" s="101"/>
      <c r="R583" s="101"/>
      <c r="S583" s="110"/>
      <c r="T583" s="102"/>
      <c r="U583" s="101"/>
      <c r="V583" s="103"/>
      <c r="W583" s="101"/>
    </row>
    <row r="584" spans="1:23" x14ac:dyDescent="0.25">
      <c r="A584" s="98"/>
      <c r="H584" s="101"/>
      <c r="I584" s="101"/>
      <c r="J584" s="101"/>
      <c r="K584" s="101"/>
      <c r="L584" s="101"/>
      <c r="M584" s="101"/>
      <c r="N584" s="101"/>
      <c r="O584" s="101"/>
      <c r="P584" s="101"/>
      <c r="Q584" s="101"/>
      <c r="R584" s="101"/>
      <c r="S584" s="110"/>
      <c r="T584" s="102"/>
      <c r="U584" s="101"/>
      <c r="V584" s="103"/>
      <c r="W584" s="101"/>
    </row>
    <row r="585" spans="1:23" x14ac:dyDescent="0.25">
      <c r="A585" s="98"/>
      <c r="H585" s="101"/>
      <c r="I585" s="101"/>
      <c r="J585" s="101"/>
      <c r="K585" s="101"/>
      <c r="L585" s="101"/>
      <c r="M585" s="101"/>
      <c r="N585" s="101"/>
      <c r="O585" s="101"/>
      <c r="P585" s="101"/>
      <c r="Q585" s="101"/>
      <c r="R585" s="101"/>
      <c r="S585" s="110"/>
      <c r="T585" s="102"/>
      <c r="U585" s="101"/>
      <c r="V585" s="103"/>
      <c r="W585" s="101"/>
    </row>
    <row r="586" spans="1:23" x14ac:dyDescent="0.25">
      <c r="A586" s="98"/>
      <c r="H586" s="101"/>
      <c r="I586" s="101"/>
      <c r="J586" s="101"/>
      <c r="K586" s="101"/>
      <c r="L586" s="101"/>
      <c r="M586" s="101"/>
      <c r="N586" s="101"/>
      <c r="O586" s="101"/>
      <c r="P586" s="101"/>
      <c r="Q586" s="101"/>
      <c r="R586" s="101"/>
      <c r="S586" s="110"/>
      <c r="T586" s="102"/>
      <c r="U586" s="101"/>
      <c r="V586" s="103"/>
      <c r="W586" s="101"/>
    </row>
    <row r="587" spans="1:23" x14ac:dyDescent="0.25">
      <c r="A587" s="98"/>
      <c r="H587" s="101"/>
      <c r="I587" s="101"/>
      <c r="J587" s="101"/>
      <c r="K587" s="101"/>
      <c r="L587" s="101"/>
      <c r="M587" s="101"/>
      <c r="N587" s="101"/>
      <c r="O587" s="101"/>
      <c r="P587" s="101"/>
      <c r="Q587" s="101"/>
      <c r="R587" s="101"/>
      <c r="S587" s="110"/>
      <c r="T587" s="102"/>
      <c r="U587" s="101"/>
      <c r="V587" s="103"/>
      <c r="W587" s="101"/>
    </row>
    <row r="588" spans="1:23" x14ac:dyDescent="0.25">
      <c r="A588" s="98"/>
      <c r="H588" s="101"/>
      <c r="I588" s="101"/>
      <c r="J588" s="101"/>
      <c r="K588" s="101"/>
      <c r="L588" s="101"/>
      <c r="M588" s="101"/>
      <c r="N588" s="101"/>
      <c r="O588" s="101"/>
      <c r="P588" s="101"/>
      <c r="Q588" s="101"/>
      <c r="R588" s="101"/>
      <c r="S588" s="110"/>
      <c r="T588" s="102"/>
      <c r="U588" s="101"/>
      <c r="V588" s="103"/>
      <c r="W588" s="101"/>
    </row>
    <row r="589" spans="1:23" x14ac:dyDescent="0.25">
      <c r="A589" s="98"/>
      <c r="H589" s="101"/>
      <c r="I589" s="101"/>
      <c r="J589" s="101"/>
      <c r="K589" s="101"/>
      <c r="L589" s="101"/>
      <c r="M589" s="101"/>
      <c r="N589" s="101"/>
      <c r="O589" s="101"/>
      <c r="P589" s="101"/>
      <c r="Q589" s="101"/>
      <c r="R589" s="101"/>
      <c r="S589" s="110"/>
      <c r="T589" s="102"/>
      <c r="U589" s="101"/>
      <c r="V589" s="103"/>
      <c r="W589" s="101"/>
    </row>
    <row r="590" spans="1:23" x14ac:dyDescent="0.25">
      <c r="A590" s="98"/>
      <c r="H590" s="101"/>
      <c r="I590" s="101"/>
      <c r="J590" s="101"/>
      <c r="K590" s="101"/>
      <c r="L590" s="101"/>
      <c r="M590" s="101"/>
      <c r="N590" s="101"/>
      <c r="O590" s="101"/>
      <c r="P590" s="101"/>
      <c r="Q590" s="101"/>
      <c r="R590" s="101"/>
      <c r="S590" s="110"/>
      <c r="T590" s="102"/>
      <c r="U590" s="101"/>
      <c r="V590" s="103"/>
      <c r="W590" s="101"/>
    </row>
    <row r="591" spans="1:23" x14ac:dyDescent="0.25">
      <c r="A591" s="98"/>
      <c r="H591" s="101"/>
      <c r="I591" s="101"/>
      <c r="J591" s="101"/>
      <c r="K591" s="101"/>
      <c r="L591" s="101"/>
      <c r="M591" s="101"/>
      <c r="N591" s="101"/>
      <c r="O591" s="101"/>
      <c r="P591" s="101"/>
      <c r="Q591" s="101"/>
      <c r="R591" s="101"/>
      <c r="S591" s="110"/>
      <c r="T591" s="102"/>
      <c r="U591" s="101"/>
      <c r="V591" s="103"/>
      <c r="W591" s="101"/>
    </row>
    <row r="592" spans="1:23" x14ac:dyDescent="0.25">
      <c r="A592" s="98"/>
      <c r="H592" s="101"/>
      <c r="I592" s="101"/>
      <c r="J592" s="101"/>
      <c r="K592" s="101"/>
      <c r="L592" s="101"/>
      <c r="M592" s="101"/>
      <c r="N592" s="101"/>
      <c r="O592" s="101"/>
      <c r="P592" s="101"/>
      <c r="Q592" s="101"/>
      <c r="R592" s="101"/>
      <c r="S592" s="110"/>
      <c r="T592" s="102"/>
      <c r="U592" s="101"/>
      <c r="V592" s="103"/>
      <c r="W592" s="101"/>
    </row>
    <row r="593" spans="1:23" x14ac:dyDescent="0.25">
      <c r="A593" s="98"/>
      <c r="H593" s="101"/>
      <c r="I593" s="101"/>
      <c r="J593" s="101"/>
      <c r="K593" s="101"/>
      <c r="L593" s="101"/>
      <c r="M593" s="101"/>
      <c r="N593" s="101"/>
      <c r="O593" s="101"/>
      <c r="P593" s="101"/>
      <c r="Q593" s="101"/>
      <c r="R593" s="101"/>
      <c r="S593" s="110"/>
      <c r="T593" s="102"/>
      <c r="U593" s="101"/>
      <c r="V593" s="103"/>
      <c r="W593" s="101"/>
    </row>
    <row r="594" spans="1:23" x14ac:dyDescent="0.25">
      <c r="A594" s="98"/>
      <c r="H594" s="101"/>
      <c r="I594" s="101"/>
      <c r="J594" s="101"/>
      <c r="K594" s="101"/>
      <c r="L594" s="101"/>
      <c r="M594" s="101"/>
      <c r="N594" s="101"/>
      <c r="O594" s="101"/>
      <c r="P594" s="101"/>
      <c r="Q594" s="101"/>
      <c r="R594" s="101"/>
      <c r="S594" s="110"/>
      <c r="T594" s="102"/>
      <c r="U594" s="101"/>
      <c r="V594" s="103"/>
      <c r="W594" s="101"/>
    </row>
    <row r="595" spans="1:23" x14ac:dyDescent="0.25">
      <c r="A595" s="98"/>
      <c r="H595" s="101"/>
      <c r="I595" s="101"/>
      <c r="J595" s="101"/>
      <c r="K595" s="101"/>
      <c r="L595" s="101"/>
      <c r="M595" s="101"/>
      <c r="N595" s="101"/>
      <c r="O595" s="101"/>
      <c r="P595" s="101"/>
      <c r="Q595" s="101"/>
      <c r="R595" s="101"/>
      <c r="S595" s="110"/>
      <c r="T595" s="102"/>
      <c r="U595" s="101"/>
      <c r="V595" s="103"/>
      <c r="W595" s="101"/>
    </row>
    <row r="596" spans="1:23" x14ac:dyDescent="0.25">
      <c r="A596" s="98"/>
      <c r="H596" s="101"/>
      <c r="I596" s="101"/>
      <c r="J596" s="101"/>
      <c r="K596" s="101"/>
      <c r="L596" s="101"/>
      <c r="M596" s="101"/>
      <c r="N596" s="101"/>
      <c r="O596" s="101"/>
      <c r="P596" s="101"/>
      <c r="Q596" s="101"/>
      <c r="R596" s="101"/>
      <c r="S596" s="110"/>
      <c r="T596" s="102"/>
      <c r="U596" s="101"/>
      <c r="V596" s="103"/>
      <c r="W596" s="101"/>
    </row>
    <row r="597" spans="1:23" x14ac:dyDescent="0.25">
      <c r="A597" s="98"/>
      <c r="H597" s="101"/>
      <c r="I597" s="101"/>
      <c r="J597" s="101"/>
      <c r="K597" s="101"/>
      <c r="L597" s="101"/>
      <c r="M597" s="101"/>
      <c r="N597" s="101"/>
      <c r="O597" s="101"/>
      <c r="P597" s="101"/>
      <c r="Q597" s="101"/>
      <c r="R597" s="101"/>
      <c r="S597" s="110"/>
      <c r="T597" s="102"/>
      <c r="U597" s="101"/>
      <c r="V597" s="103"/>
      <c r="W597" s="101"/>
    </row>
    <row r="598" spans="1:23" x14ac:dyDescent="0.25">
      <c r="A598" s="98"/>
      <c r="H598" s="101"/>
      <c r="I598" s="101"/>
      <c r="J598" s="101"/>
      <c r="K598" s="101"/>
      <c r="L598" s="101"/>
      <c r="M598" s="101"/>
      <c r="N598" s="101"/>
      <c r="O598" s="101"/>
      <c r="P598" s="101"/>
      <c r="Q598" s="101"/>
      <c r="R598" s="101"/>
      <c r="S598" s="110"/>
      <c r="T598" s="102"/>
      <c r="U598" s="101"/>
      <c r="V598" s="103"/>
      <c r="W598" s="101"/>
    </row>
    <row r="599" spans="1:23" x14ac:dyDescent="0.25">
      <c r="A599" s="98"/>
      <c r="H599" s="101"/>
      <c r="I599" s="101"/>
      <c r="J599" s="101"/>
      <c r="K599" s="101"/>
      <c r="L599" s="101"/>
      <c r="M599" s="101"/>
      <c r="N599" s="101"/>
      <c r="O599" s="101"/>
      <c r="P599" s="101"/>
      <c r="Q599" s="101"/>
      <c r="R599" s="101"/>
      <c r="S599" s="110"/>
      <c r="T599" s="102"/>
      <c r="U599" s="101"/>
      <c r="V599" s="103"/>
      <c r="W599" s="101"/>
    </row>
    <row r="600" spans="1:23" x14ac:dyDescent="0.25">
      <c r="A600" s="98"/>
      <c r="H600" s="101"/>
      <c r="I600" s="101"/>
      <c r="J600" s="101"/>
      <c r="K600" s="101"/>
      <c r="L600" s="101"/>
      <c r="M600" s="101"/>
      <c r="N600" s="101"/>
      <c r="O600" s="101"/>
      <c r="P600" s="101"/>
      <c r="Q600" s="101"/>
      <c r="R600" s="101"/>
      <c r="S600" s="110"/>
      <c r="T600" s="102"/>
      <c r="U600" s="101"/>
      <c r="V600" s="103"/>
      <c r="W600" s="101"/>
    </row>
    <row r="601" spans="1:23" x14ac:dyDescent="0.25">
      <c r="A601" s="98"/>
      <c r="H601" s="101"/>
      <c r="I601" s="101"/>
      <c r="J601" s="101"/>
      <c r="K601" s="101"/>
      <c r="L601" s="101"/>
      <c r="M601" s="101"/>
      <c r="N601" s="101"/>
      <c r="O601" s="101"/>
      <c r="P601" s="101"/>
      <c r="Q601" s="101"/>
      <c r="R601" s="101"/>
      <c r="S601" s="110"/>
      <c r="T601" s="102"/>
      <c r="U601" s="101"/>
      <c r="V601" s="103"/>
      <c r="W601" s="101"/>
    </row>
    <row r="602" spans="1:23" x14ac:dyDescent="0.25">
      <c r="A602" s="98"/>
      <c r="H602" s="101"/>
      <c r="I602" s="101"/>
      <c r="J602" s="101"/>
      <c r="K602" s="101"/>
      <c r="L602" s="101"/>
      <c r="M602" s="101"/>
      <c r="N602" s="101"/>
      <c r="O602" s="101"/>
      <c r="P602" s="101"/>
      <c r="Q602" s="101"/>
      <c r="R602" s="101"/>
      <c r="S602" s="110"/>
      <c r="T602" s="102"/>
      <c r="U602" s="101"/>
      <c r="V602" s="103"/>
      <c r="W602" s="101"/>
    </row>
    <row r="603" spans="1:23" x14ac:dyDescent="0.25">
      <c r="A603" s="98"/>
      <c r="H603" s="101"/>
      <c r="I603" s="101"/>
      <c r="J603" s="101"/>
      <c r="K603" s="101"/>
      <c r="L603" s="101"/>
      <c r="M603" s="101"/>
      <c r="N603" s="101"/>
      <c r="O603" s="101"/>
      <c r="P603" s="101"/>
      <c r="Q603" s="101"/>
      <c r="R603" s="101"/>
      <c r="S603" s="110"/>
      <c r="T603" s="102"/>
      <c r="U603" s="101"/>
      <c r="V603" s="103"/>
      <c r="W603" s="101"/>
    </row>
    <row r="604" spans="1:23" x14ac:dyDescent="0.25">
      <c r="A604" s="98"/>
      <c r="H604" s="101"/>
      <c r="I604" s="101"/>
      <c r="J604" s="101"/>
      <c r="K604" s="101"/>
      <c r="L604" s="101"/>
      <c r="M604" s="101"/>
      <c r="N604" s="101"/>
      <c r="O604" s="101"/>
      <c r="P604" s="101"/>
      <c r="Q604" s="101"/>
      <c r="R604" s="101"/>
      <c r="S604" s="110"/>
      <c r="T604" s="102"/>
      <c r="U604" s="101"/>
      <c r="V604" s="103"/>
      <c r="W604" s="101"/>
    </row>
    <row r="605" spans="1:23" x14ac:dyDescent="0.25">
      <c r="A605" s="98"/>
      <c r="H605" s="101"/>
      <c r="I605" s="101"/>
      <c r="J605" s="101"/>
      <c r="K605" s="101"/>
      <c r="L605" s="101"/>
      <c r="M605" s="101"/>
      <c r="N605" s="101"/>
      <c r="O605" s="101"/>
      <c r="P605" s="101"/>
      <c r="Q605" s="101"/>
      <c r="R605" s="101"/>
      <c r="S605" s="110"/>
      <c r="T605" s="102"/>
      <c r="U605" s="101"/>
      <c r="V605" s="103"/>
      <c r="W605" s="101"/>
    </row>
    <row r="606" spans="1:23" x14ac:dyDescent="0.25">
      <c r="A606" s="98"/>
      <c r="H606" s="101"/>
      <c r="I606" s="101"/>
      <c r="J606" s="101"/>
      <c r="K606" s="101"/>
      <c r="L606" s="101"/>
      <c r="M606" s="101"/>
      <c r="N606" s="101"/>
      <c r="O606" s="101"/>
      <c r="P606" s="101"/>
      <c r="Q606" s="101"/>
      <c r="R606" s="101"/>
      <c r="S606" s="110"/>
      <c r="T606" s="102"/>
      <c r="U606" s="101"/>
      <c r="V606" s="103"/>
      <c r="W606" s="101"/>
    </row>
    <row r="607" spans="1:23" x14ac:dyDescent="0.25">
      <c r="A607" s="98"/>
      <c r="H607" s="101"/>
      <c r="I607" s="101"/>
      <c r="J607" s="101"/>
      <c r="K607" s="101"/>
      <c r="L607" s="101"/>
      <c r="M607" s="101"/>
      <c r="N607" s="101"/>
      <c r="O607" s="101"/>
      <c r="P607" s="101"/>
      <c r="Q607" s="101"/>
      <c r="R607" s="101"/>
      <c r="S607" s="110"/>
      <c r="T607" s="102"/>
      <c r="U607" s="101"/>
      <c r="V607" s="103"/>
      <c r="W607" s="101"/>
    </row>
    <row r="608" spans="1:23" x14ac:dyDescent="0.25">
      <c r="A608" s="98"/>
      <c r="H608" s="101"/>
      <c r="I608" s="101"/>
      <c r="J608" s="101"/>
      <c r="K608" s="101"/>
      <c r="L608" s="101"/>
      <c r="M608" s="101"/>
      <c r="N608" s="101"/>
      <c r="O608" s="101"/>
      <c r="P608" s="101"/>
      <c r="Q608" s="101"/>
      <c r="R608" s="101"/>
      <c r="S608" s="110"/>
      <c r="T608" s="102"/>
      <c r="U608" s="101"/>
      <c r="V608" s="103"/>
      <c r="W608" s="101"/>
    </row>
    <row r="609" spans="1:23" x14ac:dyDescent="0.25">
      <c r="A609" s="98"/>
      <c r="H609" s="101"/>
      <c r="I609" s="101"/>
      <c r="J609" s="101"/>
      <c r="K609" s="101"/>
      <c r="L609" s="101"/>
      <c r="M609" s="101"/>
      <c r="N609" s="101"/>
      <c r="O609" s="101"/>
      <c r="P609" s="101"/>
      <c r="Q609" s="101"/>
      <c r="R609" s="101"/>
      <c r="S609" s="110"/>
      <c r="T609" s="102"/>
      <c r="U609" s="101"/>
      <c r="V609" s="103"/>
      <c r="W609" s="101"/>
    </row>
    <row r="610" spans="1:23" x14ac:dyDescent="0.25">
      <c r="A610" s="98"/>
      <c r="H610" s="101"/>
      <c r="I610" s="101"/>
      <c r="J610" s="101"/>
      <c r="K610" s="101"/>
      <c r="L610" s="101"/>
      <c r="M610" s="101"/>
      <c r="N610" s="101"/>
      <c r="O610" s="101"/>
      <c r="P610" s="101"/>
      <c r="Q610" s="101"/>
      <c r="R610" s="101"/>
      <c r="S610" s="110"/>
      <c r="T610" s="102"/>
      <c r="U610" s="101"/>
      <c r="V610" s="103"/>
      <c r="W610" s="101"/>
    </row>
    <row r="611" spans="1:23" x14ac:dyDescent="0.25">
      <c r="A611" s="98"/>
      <c r="H611" s="101"/>
      <c r="I611" s="101"/>
      <c r="J611" s="101"/>
      <c r="K611" s="101"/>
      <c r="L611" s="101"/>
      <c r="M611" s="101"/>
      <c r="N611" s="101"/>
      <c r="O611" s="101"/>
      <c r="P611" s="101"/>
      <c r="Q611" s="101"/>
      <c r="R611" s="101"/>
      <c r="S611" s="110"/>
      <c r="T611" s="102"/>
      <c r="U611" s="101"/>
      <c r="V611" s="103"/>
      <c r="W611" s="101"/>
    </row>
    <row r="612" spans="1:23" x14ac:dyDescent="0.25">
      <c r="A612" s="98"/>
      <c r="H612" s="101"/>
      <c r="I612" s="101"/>
      <c r="J612" s="101"/>
      <c r="K612" s="101"/>
      <c r="L612" s="101"/>
      <c r="M612" s="101"/>
      <c r="N612" s="101"/>
      <c r="O612" s="101"/>
      <c r="P612" s="101"/>
      <c r="Q612" s="101"/>
      <c r="R612" s="101"/>
      <c r="S612" s="110"/>
      <c r="T612" s="102"/>
      <c r="U612" s="101"/>
      <c r="V612" s="103"/>
      <c r="W612" s="101"/>
    </row>
    <row r="613" spans="1:23" x14ac:dyDescent="0.25">
      <c r="A613" s="98"/>
      <c r="H613" s="101"/>
      <c r="I613" s="101"/>
      <c r="J613" s="101"/>
      <c r="K613" s="101"/>
      <c r="L613" s="101"/>
      <c r="M613" s="101"/>
      <c r="N613" s="101"/>
      <c r="O613" s="101"/>
      <c r="P613" s="101"/>
      <c r="Q613" s="101"/>
      <c r="R613" s="101"/>
      <c r="S613" s="110"/>
      <c r="T613" s="102"/>
      <c r="U613" s="101"/>
      <c r="V613" s="103"/>
      <c r="W613" s="101"/>
    </row>
    <row r="614" spans="1:23" x14ac:dyDescent="0.25">
      <c r="A614" s="98"/>
      <c r="H614" s="101"/>
      <c r="I614" s="101"/>
      <c r="J614" s="101"/>
      <c r="K614" s="101"/>
      <c r="L614" s="101"/>
      <c r="M614" s="101"/>
      <c r="N614" s="101"/>
      <c r="O614" s="101"/>
      <c r="P614" s="101"/>
      <c r="Q614" s="101"/>
      <c r="R614" s="101"/>
      <c r="S614" s="110"/>
      <c r="T614" s="102"/>
      <c r="U614" s="101"/>
      <c r="V614" s="103"/>
      <c r="W614" s="101"/>
    </row>
    <row r="615" spans="1:23" x14ac:dyDescent="0.25">
      <c r="A615" s="98"/>
      <c r="H615" s="101"/>
      <c r="I615" s="101"/>
      <c r="J615" s="101"/>
      <c r="K615" s="101"/>
      <c r="L615" s="101"/>
      <c r="M615" s="101"/>
      <c r="N615" s="101"/>
      <c r="O615" s="101"/>
      <c r="P615" s="101"/>
      <c r="Q615" s="101"/>
      <c r="R615" s="101"/>
      <c r="S615" s="110"/>
      <c r="T615" s="102"/>
      <c r="U615" s="101"/>
      <c r="V615" s="103"/>
      <c r="W615" s="101"/>
    </row>
    <row r="616" spans="1:23" x14ac:dyDescent="0.25">
      <c r="A616" s="98"/>
      <c r="H616" s="101"/>
      <c r="I616" s="101"/>
      <c r="J616" s="101"/>
      <c r="K616" s="101"/>
      <c r="L616" s="101"/>
      <c r="M616" s="101"/>
      <c r="N616" s="101"/>
      <c r="O616" s="101"/>
      <c r="P616" s="101"/>
      <c r="Q616" s="101"/>
      <c r="R616" s="101"/>
      <c r="S616" s="110"/>
      <c r="T616" s="102"/>
      <c r="U616" s="101"/>
      <c r="V616" s="103"/>
      <c r="W616" s="101"/>
    </row>
    <row r="617" spans="1:23" x14ac:dyDescent="0.25">
      <c r="A617" s="98"/>
      <c r="H617" s="101"/>
      <c r="I617" s="101"/>
      <c r="J617" s="101"/>
      <c r="K617" s="101"/>
      <c r="L617" s="101"/>
      <c r="M617" s="101"/>
      <c r="N617" s="101"/>
      <c r="O617" s="101"/>
      <c r="P617" s="101"/>
      <c r="Q617" s="101"/>
      <c r="R617" s="101"/>
      <c r="S617" s="110"/>
      <c r="T617" s="102"/>
      <c r="U617" s="101"/>
      <c r="V617" s="103"/>
      <c r="W617" s="101"/>
    </row>
    <row r="618" spans="1:23" x14ac:dyDescent="0.25">
      <c r="A618" s="98"/>
      <c r="H618" s="101"/>
      <c r="I618" s="101"/>
      <c r="J618" s="101"/>
      <c r="K618" s="101"/>
      <c r="L618" s="101"/>
      <c r="M618" s="101"/>
      <c r="N618" s="101"/>
      <c r="O618" s="101"/>
      <c r="P618" s="101"/>
      <c r="Q618" s="101"/>
      <c r="R618" s="101"/>
      <c r="S618" s="110"/>
      <c r="T618" s="102"/>
      <c r="U618" s="101"/>
      <c r="V618" s="103"/>
      <c r="W618" s="101"/>
    </row>
    <row r="619" spans="1:23" x14ac:dyDescent="0.25">
      <c r="A619" s="98"/>
      <c r="H619" s="101"/>
      <c r="I619" s="101"/>
      <c r="J619" s="101"/>
      <c r="K619" s="101"/>
      <c r="L619" s="101"/>
      <c r="M619" s="101"/>
      <c r="N619" s="101"/>
      <c r="O619" s="101"/>
      <c r="P619" s="101"/>
      <c r="Q619" s="101"/>
      <c r="R619" s="101"/>
      <c r="S619" s="110"/>
      <c r="T619" s="102"/>
      <c r="U619" s="101"/>
      <c r="V619" s="103"/>
      <c r="W619" s="101"/>
    </row>
    <row r="620" spans="1:23" x14ac:dyDescent="0.25">
      <c r="A620" s="98"/>
      <c r="H620" s="101"/>
      <c r="I620" s="101"/>
      <c r="J620" s="101"/>
      <c r="K620" s="101"/>
      <c r="L620" s="101"/>
      <c r="M620" s="101"/>
      <c r="N620" s="101"/>
      <c r="O620" s="101"/>
      <c r="P620" s="101"/>
      <c r="Q620" s="101"/>
      <c r="R620" s="101"/>
      <c r="S620" s="110"/>
      <c r="T620" s="102"/>
      <c r="U620" s="101"/>
      <c r="V620" s="103"/>
      <c r="W620" s="101"/>
    </row>
    <row r="621" spans="1:23" x14ac:dyDescent="0.25">
      <c r="A621" s="98"/>
      <c r="H621" s="101"/>
      <c r="I621" s="101"/>
      <c r="J621" s="101"/>
      <c r="K621" s="101"/>
      <c r="L621" s="101"/>
      <c r="M621" s="101"/>
      <c r="N621" s="101"/>
      <c r="O621" s="101"/>
      <c r="P621" s="101"/>
      <c r="Q621" s="101"/>
      <c r="R621" s="101"/>
      <c r="S621" s="110"/>
      <c r="T621" s="102"/>
      <c r="U621" s="101"/>
      <c r="V621" s="103"/>
      <c r="W621" s="101"/>
    </row>
    <row r="622" spans="1:23" x14ac:dyDescent="0.25">
      <c r="A622" s="98"/>
      <c r="H622" s="101"/>
      <c r="I622" s="101"/>
      <c r="J622" s="101"/>
      <c r="K622" s="101"/>
      <c r="L622" s="101"/>
      <c r="M622" s="101"/>
      <c r="N622" s="101"/>
      <c r="O622" s="101"/>
      <c r="P622" s="101"/>
      <c r="Q622" s="101"/>
      <c r="R622" s="101"/>
      <c r="S622" s="110"/>
      <c r="T622" s="102"/>
      <c r="U622" s="101"/>
      <c r="V622" s="103"/>
      <c r="W622" s="101"/>
    </row>
    <row r="623" spans="1:23" x14ac:dyDescent="0.25">
      <c r="A623" s="98"/>
      <c r="H623" s="101"/>
      <c r="I623" s="101"/>
      <c r="J623" s="101"/>
      <c r="K623" s="101"/>
      <c r="L623" s="101"/>
      <c r="M623" s="101"/>
      <c r="N623" s="101"/>
      <c r="O623" s="101"/>
      <c r="P623" s="101"/>
      <c r="Q623" s="101"/>
      <c r="R623" s="101"/>
      <c r="S623" s="110"/>
      <c r="T623" s="102"/>
      <c r="U623" s="101"/>
      <c r="V623" s="103"/>
      <c r="W623" s="101"/>
    </row>
    <row r="624" spans="1:23" x14ac:dyDescent="0.25">
      <c r="A624" s="98"/>
      <c r="H624" s="101"/>
      <c r="I624" s="101"/>
      <c r="J624" s="101"/>
      <c r="K624" s="101"/>
      <c r="L624" s="101"/>
      <c r="M624" s="101"/>
      <c r="N624" s="101"/>
      <c r="O624" s="101"/>
      <c r="P624" s="101"/>
      <c r="Q624" s="101"/>
      <c r="R624" s="101"/>
      <c r="S624" s="110"/>
      <c r="T624" s="102"/>
      <c r="U624" s="101"/>
      <c r="V624" s="103"/>
      <c r="W624" s="101"/>
    </row>
    <row r="625" spans="1:23" x14ac:dyDescent="0.25">
      <c r="A625" s="98"/>
      <c r="H625" s="101"/>
      <c r="I625" s="101"/>
      <c r="J625" s="101"/>
      <c r="K625" s="101"/>
      <c r="L625" s="101"/>
      <c r="M625" s="101"/>
      <c r="N625" s="101"/>
      <c r="O625" s="101"/>
      <c r="P625" s="101"/>
      <c r="Q625" s="101"/>
      <c r="R625" s="101"/>
      <c r="S625" s="110"/>
      <c r="T625" s="102"/>
      <c r="U625" s="101"/>
      <c r="V625" s="103"/>
      <c r="W625" s="101"/>
    </row>
    <row r="626" spans="1:23" x14ac:dyDescent="0.25">
      <c r="A626" s="98"/>
      <c r="H626" s="101"/>
      <c r="I626" s="101"/>
      <c r="J626" s="101"/>
      <c r="K626" s="101"/>
      <c r="L626" s="101"/>
      <c r="M626" s="101"/>
      <c r="N626" s="101"/>
      <c r="O626" s="101"/>
      <c r="P626" s="101"/>
      <c r="Q626" s="101"/>
      <c r="R626" s="101"/>
      <c r="S626" s="110"/>
      <c r="T626" s="102"/>
      <c r="U626" s="101"/>
      <c r="V626" s="103"/>
      <c r="W626" s="101"/>
    </row>
    <row r="627" spans="1:23" x14ac:dyDescent="0.25">
      <c r="A627" s="98"/>
      <c r="H627" s="101"/>
      <c r="I627" s="101"/>
      <c r="J627" s="101"/>
      <c r="K627" s="101"/>
      <c r="L627" s="101"/>
      <c r="M627" s="101"/>
      <c r="N627" s="101"/>
      <c r="O627" s="101"/>
      <c r="P627" s="101"/>
      <c r="Q627" s="101"/>
      <c r="R627" s="101"/>
      <c r="S627" s="110"/>
      <c r="T627" s="102"/>
      <c r="U627" s="101"/>
      <c r="V627" s="103"/>
      <c r="W627" s="101"/>
    </row>
    <row r="628" spans="1:23" x14ac:dyDescent="0.25">
      <c r="A628" s="98"/>
      <c r="H628" s="101"/>
      <c r="I628" s="101"/>
      <c r="J628" s="101"/>
      <c r="K628" s="101"/>
      <c r="L628" s="101"/>
      <c r="M628" s="101"/>
      <c r="N628" s="101"/>
      <c r="O628" s="101"/>
      <c r="P628" s="101"/>
      <c r="Q628" s="101"/>
      <c r="R628" s="101"/>
      <c r="S628" s="110"/>
      <c r="T628" s="102"/>
      <c r="U628" s="101"/>
      <c r="V628" s="103"/>
      <c r="W628" s="101"/>
    </row>
    <row r="629" spans="1:23" x14ac:dyDescent="0.25">
      <c r="A629" s="98"/>
      <c r="H629" s="101"/>
      <c r="I629" s="101"/>
      <c r="J629" s="101"/>
      <c r="K629" s="101"/>
      <c r="L629" s="101"/>
      <c r="M629" s="101"/>
      <c r="N629" s="101"/>
      <c r="O629" s="101"/>
      <c r="P629" s="101"/>
      <c r="Q629" s="101"/>
      <c r="R629" s="101"/>
      <c r="S629" s="110"/>
      <c r="T629" s="102"/>
      <c r="U629" s="101"/>
      <c r="V629" s="103"/>
      <c r="W629" s="101"/>
    </row>
    <row r="630" spans="1:23" x14ac:dyDescent="0.25">
      <c r="A630" s="98"/>
      <c r="H630" s="101"/>
      <c r="I630" s="101"/>
      <c r="J630" s="101"/>
      <c r="K630" s="101"/>
      <c r="L630" s="101"/>
      <c r="M630" s="101"/>
      <c r="N630" s="101"/>
      <c r="O630" s="101"/>
      <c r="P630" s="101"/>
      <c r="Q630" s="101"/>
      <c r="R630" s="101"/>
      <c r="S630" s="110"/>
      <c r="T630" s="102"/>
      <c r="U630" s="101"/>
      <c r="V630" s="103"/>
      <c r="W630" s="101"/>
    </row>
    <row r="631" spans="1:23" x14ac:dyDescent="0.25">
      <c r="A631" s="98"/>
      <c r="H631" s="101"/>
      <c r="I631" s="101"/>
      <c r="J631" s="101"/>
      <c r="K631" s="101"/>
      <c r="L631" s="101"/>
      <c r="M631" s="101"/>
      <c r="N631" s="101"/>
      <c r="O631" s="101"/>
      <c r="P631" s="101"/>
      <c r="Q631" s="101"/>
      <c r="R631" s="101"/>
      <c r="S631" s="110"/>
      <c r="T631" s="102"/>
      <c r="U631" s="101"/>
      <c r="V631" s="103"/>
      <c r="W631" s="101"/>
    </row>
    <row r="632" spans="1:23" x14ac:dyDescent="0.25">
      <c r="A632" s="98"/>
      <c r="H632" s="101"/>
      <c r="I632" s="101"/>
      <c r="J632" s="101"/>
      <c r="K632" s="101"/>
      <c r="L632" s="101"/>
      <c r="M632" s="101"/>
      <c r="N632" s="101"/>
      <c r="O632" s="101"/>
      <c r="P632" s="101"/>
      <c r="Q632" s="101"/>
      <c r="R632" s="101"/>
      <c r="S632" s="110"/>
      <c r="T632" s="102"/>
      <c r="U632" s="101"/>
      <c r="V632" s="103"/>
      <c r="W632" s="101"/>
    </row>
    <row r="633" spans="1:23" x14ac:dyDescent="0.25">
      <c r="A633" s="98"/>
      <c r="H633" s="101"/>
      <c r="I633" s="101"/>
      <c r="J633" s="101"/>
      <c r="K633" s="101"/>
      <c r="L633" s="101"/>
      <c r="M633" s="101"/>
      <c r="N633" s="101"/>
      <c r="O633" s="101"/>
      <c r="P633" s="101"/>
      <c r="Q633" s="101"/>
      <c r="R633" s="101"/>
      <c r="S633" s="110"/>
      <c r="T633" s="102"/>
      <c r="U633" s="101"/>
      <c r="V633" s="103"/>
      <c r="W633" s="101"/>
    </row>
    <row r="634" spans="1:23" x14ac:dyDescent="0.25">
      <c r="A634" s="98"/>
      <c r="H634" s="101"/>
      <c r="I634" s="101"/>
      <c r="J634" s="101"/>
      <c r="K634" s="101"/>
      <c r="L634" s="101"/>
      <c r="M634" s="101"/>
      <c r="N634" s="101"/>
      <c r="O634" s="101"/>
      <c r="P634" s="101"/>
      <c r="Q634" s="101"/>
      <c r="R634" s="101"/>
      <c r="S634" s="110"/>
      <c r="T634" s="102"/>
      <c r="U634" s="101"/>
      <c r="V634" s="103"/>
      <c r="W634" s="101"/>
    </row>
    <row r="635" spans="1:23" x14ac:dyDescent="0.25">
      <c r="A635" s="98"/>
      <c r="H635" s="101"/>
      <c r="I635" s="101"/>
      <c r="J635" s="101"/>
      <c r="K635" s="101"/>
      <c r="L635" s="101"/>
      <c r="M635" s="101"/>
      <c r="N635" s="101"/>
      <c r="O635" s="101"/>
      <c r="P635" s="101"/>
      <c r="Q635" s="101"/>
      <c r="R635" s="101"/>
      <c r="S635" s="110"/>
      <c r="T635" s="102"/>
      <c r="U635" s="101"/>
      <c r="V635" s="103"/>
      <c r="W635" s="101"/>
    </row>
    <row r="636" spans="1:23" x14ac:dyDescent="0.25">
      <c r="A636" s="98"/>
      <c r="H636" s="101"/>
      <c r="I636" s="101"/>
      <c r="J636" s="101"/>
      <c r="K636" s="101"/>
      <c r="L636" s="101"/>
      <c r="M636" s="101"/>
      <c r="N636" s="101"/>
      <c r="O636" s="101"/>
      <c r="P636" s="101"/>
      <c r="Q636" s="101"/>
      <c r="R636" s="101"/>
      <c r="S636" s="110"/>
      <c r="T636" s="102"/>
      <c r="U636" s="101"/>
      <c r="V636" s="103"/>
      <c r="W636" s="101"/>
    </row>
    <row r="637" spans="1:23" x14ac:dyDescent="0.25">
      <c r="A637" s="98"/>
      <c r="H637" s="101"/>
      <c r="I637" s="101"/>
      <c r="J637" s="101"/>
      <c r="K637" s="101"/>
      <c r="L637" s="101"/>
      <c r="M637" s="101"/>
      <c r="N637" s="101"/>
      <c r="O637" s="101"/>
      <c r="P637" s="101"/>
      <c r="Q637" s="101"/>
      <c r="R637" s="101"/>
      <c r="S637" s="110"/>
      <c r="T637" s="102"/>
      <c r="U637" s="101"/>
      <c r="V637" s="103"/>
      <c r="W637" s="101"/>
    </row>
    <row r="638" spans="1:23" x14ac:dyDescent="0.25">
      <c r="A638" s="98"/>
      <c r="H638" s="101"/>
      <c r="I638" s="101"/>
      <c r="J638" s="101"/>
      <c r="K638" s="101"/>
      <c r="L638" s="101"/>
      <c r="M638" s="101"/>
      <c r="N638" s="101"/>
      <c r="O638" s="101"/>
      <c r="P638" s="101"/>
      <c r="Q638" s="101"/>
      <c r="R638" s="101"/>
      <c r="S638" s="110"/>
      <c r="T638" s="102"/>
      <c r="U638" s="101"/>
      <c r="V638" s="103"/>
      <c r="W638" s="101"/>
    </row>
    <row r="639" spans="1:23" x14ac:dyDescent="0.25">
      <c r="A639" s="98"/>
      <c r="H639" s="101"/>
      <c r="I639" s="101"/>
      <c r="J639" s="101"/>
      <c r="K639" s="101"/>
      <c r="L639" s="101"/>
      <c r="M639" s="101"/>
      <c r="N639" s="101"/>
      <c r="O639" s="101"/>
      <c r="P639" s="101"/>
      <c r="Q639" s="101"/>
      <c r="R639" s="101"/>
      <c r="S639" s="110"/>
      <c r="T639" s="102"/>
      <c r="U639" s="101"/>
      <c r="V639" s="103"/>
      <c r="W639" s="101"/>
    </row>
    <row r="640" spans="1:23" x14ac:dyDescent="0.25">
      <c r="A640" s="98"/>
      <c r="H640" s="101"/>
      <c r="I640" s="101"/>
      <c r="J640" s="101"/>
      <c r="K640" s="101"/>
      <c r="L640" s="101"/>
      <c r="M640" s="101"/>
      <c r="N640" s="101"/>
      <c r="O640" s="101"/>
      <c r="P640" s="101"/>
      <c r="Q640" s="101"/>
      <c r="R640" s="101"/>
      <c r="S640" s="110"/>
      <c r="T640" s="102"/>
      <c r="U640" s="101"/>
      <c r="V640" s="103"/>
      <c r="W640" s="101"/>
    </row>
    <row r="641" spans="1:23" x14ac:dyDescent="0.25">
      <c r="A641" s="98"/>
      <c r="H641" s="101"/>
      <c r="I641" s="101"/>
      <c r="J641" s="101"/>
      <c r="K641" s="101"/>
      <c r="L641" s="101"/>
      <c r="M641" s="101"/>
      <c r="N641" s="101"/>
      <c r="O641" s="101"/>
      <c r="P641" s="101"/>
      <c r="Q641" s="101"/>
      <c r="R641" s="101"/>
      <c r="S641" s="110"/>
      <c r="T641" s="102"/>
      <c r="U641" s="101"/>
      <c r="V641" s="103"/>
      <c r="W641" s="101"/>
    </row>
    <row r="642" spans="1:23" x14ac:dyDescent="0.25">
      <c r="A642" s="98"/>
      <c r="H642" s="101"/>
      <c r="I642" s="101"/>
      <c r="J642" s="101"/>
      <c r="K642" s="101"/>
      <c r="L642" s="101"/>
      <c r="M642" s="101"/>
      <c r="N642" s="101"/>
      <c r="O642" s="101"/>
      <c r="P642" s="101"/>
      <c r="Q642" s="101"/>
      <c r="R642" s="101"/>
      <c r="S642" s="110"/>
      <c r="T642" s="102"/>
      <c r="U642" s="101"/>
      <c r="V642" s="103"/>
      <c r="W642" s="101"/>
    </row>
    <row r="643" spans="1:23" x14ac:dyDescent="0.25">
      <c r="A643" s="98"/>
      <c r="H643" s="101"/>
      <c r="I643" s="101"/>
      <c r="J643" s="101"/>
      <c r="K643" s="101"/>
      <c r="L643" s="101"/>
      <c r="M643" s="101"/>
      <c r="N643" s="101"/>
      <c r="O643" s="101"/>
      <c r="P643" s="101"/>
      <c r="Q643" s="101"/>
      <c r="R643" s="101"/>
      <c r="S643" s="110"/>
      <c r="T643" s="102"/>
      <c r="U643" s="101"/>
      <c r="V643" s="103"/>
      <c r="W643" s="101"/>
    </row>
    <row r="644" spans="1:23" x14ac:dyDescent="0.25">
      <c r="A644" s="98"/>
      <c r="H644" s="101"/>
      <c r="I644" s="101"/>
      <c r="J644" s="101"/>
      <c r="K644" s="101"/>
      <c r="L644" s="101"/>
      <c r="M644" s="101"/>
      <c r="N644" s="101"/>
      <c r="O644" s="101"/>
      <c r="P644" s="101"/>
      <c r="Q644" s="101"/>
      <c r="R644" s="101"/>
      <c r="S644" s="110"/>
      <c r="T644" s="102"/>
      <c r="U644" s="101"/>
      <c r="V644" s="103"/>
      <c r="W644" s="101"/>
    </row>
    <row r="645" spans="1:23" x14ac:dyDescent="0.25">
      <c r="A645" s="98"/>
      <c r="H645" s="101"/>
      <c r="I645" s="101"/>
      <c r="J645" s="101"/>
      <c r="K645" s="101"/>
      <c r="L645" s="101"/>
      <c r="M645" s="101"/>
      <c r="N645" s="101"/>
      <c r="O645" s="101"/>
      <c r="P645" s="101"/>
      <c r="Q645" s="101"/>
      <c r="R645" s="101"/>
      <c r="S645" s="110"/>
      <c r="T645" s="102"/>
      <c r="U645" s="101"/>
      <c r="V645" s="103"/>
      <c r="W645" s="101"/>
    </row>
    <row r="646" spans="1:23" x14ac:dyDescent="0.25">
      <c r="A646" s="98"/>
      <c r="H646" s="101"/>
      <c r="I646" s="101"/>
      <c r="J646" s="101"/>
      <c r="K646" s="101"/>
      <c r="L646" s="101"/>
      <c r="M646" s="101"/>
      <c r="N646" s="101"/>
      <c r="O646" s="101"/>
      <c r="P646" s="101"/>
      <c r="Q646" s="101"/>
      <c r="R646" s="101"/>
      <c r="S646" s="110"/>
      <c r="T646" s="102"/>
      <c r="U646" s="101"/>
      <c r="V646" s="103"/>
      <c r="W646" s="101"/>
    </row>
    <row r="647" spans="1:23" x14ac:dyDescent="0.25">
      <c r="A647" s="98"/>
      <c r="H647" s="101"/>
      <c r="I647" s="101"/>
      <c r="J647" s="101"/>
      <c r="K647" s="101"/>
      <c r="L647" s="101"/>
      <c r="M647" s="101"/>
      <c r="N647" s="101"/>
      <c r="O647" s="101"/>
      <c r="P647" s="101"/>
      <c r="Q647" s="101"/>
      <c r="R647" s="101"/>
      <c r="S647" s="110"/>
      <c r="T647" s="102"/>
      <c r="U647" s="101"/>
      <c r="V647" s="103"/>
      <c r="W647" s="101"/>
    </row>
    <row r="648" spans="1:23" x14ac:dyDescent="0.25">
      <c r="A648" s="98"/>
      <c r="H648" s="101"/>
      <c r="I648" s="101"/>
      <c r="J648" s="101"/>
      <c r="K648" s="101"/>
      <c r="L648" s="101"/>
      <c r="M648" s="101"/>
      <c r="N648" s="101"/>
      <c r="O648" s="101"/>
      <c r="P648" s="101"/>
      <c r="Q648" s="101"/>
      <c r="R648" s="101"/>
      <c r="S648" s="110"/>
      <c r="T648" s="102"/>
      <c r="U648" s="101"/>
      <c r="V648" s="103"/>
      <c r="W648" s="101"/>
    </row>
    <row r="649" spans="1:23" x14ac:dyDescent="0.25">
      <c r="A649" s="98"/>
      <c r="H649" s="101"/>
      <c r="I649" s="101"/>
      <c r="J649" s="101"/>
      <c r="K649" s="101"/>
      <c r="L649" s="101"/>
      <c r="M649" s="101"/>
      <c r="N649" s="101"/>
      <c r="O649" s="101"/>
      <c r="P649" s="101"/>
      <c r="Q649" s="101"/>
      <c r="R649" s="101"/>
      <c r="S649" s="110"/>
      <c r="T649" s="102"/>
      <c r="U649" s="101"/>
      <c r="V649" s="103"/>
      <c r="W649" s="101"/>
    </row>
    <row r="650" spans="1:23" x14ac:dyDescent="0.25">
      <c r="A650" s="98"/>
      <c r="H650" s="101"/>
      <c r="I650" s="101"/>
      <c r="J650" s="101"/>
      <c r="K650" s="101"/>
      <c r="L650" s="101"/>
      <c r="M650" s="101"/>
      <c r="N650" s="101"/>
      <c r="O650" s="101"/>
      <c r="P650" s="101"/>
      <c r="Q650" s="101"/>
      <c r="R650" s="101"/>
      <c r="S650" s="110"/>
      <c r="T650" s="102"/>
      <c r="U650" s="101"/>
      <c r="V650" s="103"/>
      <c r="W650" s="101"/>
    </row>
    <row r="651" spans="1:23" x14ac:dyDescent="0.25">
      <c r="A651" s="98"/>
      <c r="H651" s="101"/>
      <c r="I651" s="101"/>
      <c r="J651" s="101"/>
      <c r="K651" s="101"/>
      <c r="L651" s="101"/>
      <c r="M651" s="101"/>
      <c r="N651" s="101"/>
      <c r="O651" s="101"/>
      <c r="P651" s="101"/>
      <c r="Q651" s="101"/>
      <c r="R651" s="101"/>
      <c r="S651" s="110"/>
      <c r="T651" s="102"/>
      <c r="U651" s="101"/>
      <c r="V651" s="103"/>
      <c r="W651" s="101"/>
    </row>
    <row r="652" spans="1:23" x14ac:dyDescent="0.25">
      <c r="A652" s="98"/>
      <c r="H652" s="101"/>
      <c r="I652" s="101"/>
      <c r="J652" s="101"/>
      <c r="K652" s="101"/>
      <c r="L652" s="101"/>
      <c r="M652" s="101"/>
      <c r="N652" s="101"/>
      <c r="O652" s="101"/>
      <c r="P652" s="101"/>
      <c r="Q652" s="101"/>
      <c r="R652" s="101"/>
      <c r="S652" s="110"/>
      <c r="T652" s="102"/>
      <c r="U652" s="101"/>
      <c r="V652" s="103"/>
      <c r="W652" s="101"/>
    </row>
    <row r="653" spans="1:23" x14ac:dyDescent="0.25">
      <c r="A653" s="98"/>
      <c r="H653" s="101"/>
      <c r="I653" s="101"/>
      <c r="J653" s="101"/>
      <c r="K653" s="101"/>
      <c r="L653" s="101"/>
      <c r="M653" s="101"/>
      <c r="N653" s="101"/>
      <c r="O653" s="101"/>
      <c r="P653" s="101"/>
      <c r="Q653" s="101"/>
      <c r="R653" s="101"/>
      <c r="S653" s="110"/>
      <c r="T653" s="102"/>
      <c r="U653" s="101"/>
      <c r="V653" s="103"/>
      <c r="W653" s="101"/>
    </row>
    <row r="654" spans="1:23" x14ac:dyDescent="0.25">
      <c r="A654" s="98"/>
      <c r="H654" s="101"/>
      <c r="I654" s="101"/>
      <c r="J654" s="101"/>
      <c r="K654" s="101"/>
      <c r="L654" s="101"/>
      <c r="M654" s="101"/>
      <c r="N654" s="101"/>
      <c r="O654" s="101"/>
      <c r="P654" s="101"/>
      <c r="Q654" s="101"/>
      <c r="R654" s="101"/>
      <c r="S654" s="110"/>
      <c r="T654" s="102"/>
      <c r="U654" s="101"/>
      <c r="V654" s="103"/>
      <c r="W654" s="101"/>
    </row>
    <row r="655" spans="1:23" x14ac:dyDescent="0.25">
      <c r="A655" s="98"/>
      <c r="H655" s="101"/>
      <c r="I655" s="101"/>
      <c r="J655" s="101"/>
      <c r="K655" s="101"/>
      <c r="L655" s="101"/>
      <c r="M655" s="101"/>
      <c r="N655" s="101"/>
      <c r="O655" s="101"/>
      <c r="P655" s="101"/>
      <c r="Q655" s="101"/>
      <c r="R655" s="101"/>
      <c r="S655" s="110"/>
      <c r="T655" s="102"/>
      <c r="U655" s="101"/>
      <c r="V655" s="103"/>
      <c r="W655" s="101"/>
    </row>
    <row r="656" spans="1:23" x14ac:dyDescent="0.25">
      <c r="A656" s="98"/>
      <c r="H656" s="101"/>
      <c r="I656" s="101"/>
      <c r="J656" s="101"/>
      <c r="K656" s="101"/>
      <c r="L656" s="101"/>
      <c r="M656" s="101"/>
      <c r="N656" s="101"/>
      <c r="O656" s="101"/>
      <c r="P656" s="101"/>
      <c r="Q656" s="101"/>
      <c r="R656" s="101"/>
      <c r="S656" s="110"/>
      <c r="T656" s="102"/>
      <c r="U656" s="101"/>
      <c r="V656" s="103"/>
      <c r="W656" s="101"/>
    </row>
    <row r="657" spans="1:23" x14ac:dyDescent="0.25">
      <c r="A657" s="98"/>
      <c r="H657" s="101"/>
      <c r="I657" s="101"/>
      <c r="J657" s="101"/>
      <c r="K657" s="101"/>
      <c r="L657" s="101"/>
      <c r="M657" s="101"/>
      <c r="N657" s="101"/>
      <c r="O657" s="101"/>
      <c r="P657" s="101"/>
      <c r="Q657" s="101"/>
      <c r="R657" s="101"/>
      <c r="S657" s="110"/>
      <c r="T657" s="102"/>
      <c r="U657" s="101"/>
      <c r="V657" s="103"/>
      <c r="W657" s="101"/>
    </row>
    <row r="658" spans="1:23" x14ac:dyDescent="0.25">
      <c r="A658" s="98"/>
      <c r="H658" s="101"/>
      <c r="I658" s="101"/>
      <c r="J658" s="101"/>
      <c r="K658" s="101"/>
      <c r="L658" s="101"/>
      <c r="M658" s="101"/>
      <c r="N658" s="101"/>
      <c r="O658" s="101"/>
      <c r="P658" s="101"/>
      <c r="Q658" s="101"/>
      <c r="R658" s="101"/>
      <c r="S658" s="110"/>
      <c r="T658" s="102"/>
      <c r="U658" s="101"/>
      <c r="V658" s="103"/>
      <c r="W658" s="101"/>
    </row>
    <row r="659" spans="1:23" x14ac:dyDescent="0.25">
      <c r="A659" s="98"/>
      <c r="H659" s="101"/>
      <c r="I659" s="101"/>
      <c r="J659" s="101"/>
      <c r="K659" s="101"/>
      <c r="L659" s="101"/>
      <c r="M659" s="101"/>
      <c r="N659" s="101"/>
      <c r="O659" s="101"/>
      <c r="P659" s="101"/>
      <c r="Q659" s="101"/>
      <c r="R659" s="101"/>
      <c r="S659" s="110"/>
      <c r="T659" s="102"/>
      <c r="U659" s="101"/>
      <c r="V659" s="103"/>
      <c r="W659" s="101"/>
    </row>
    <row r="660" spans="1:23" x14ac:dyDescent="0.25">
      <c r="A660" s="98"/>
      <c r="H660" s="101"/>
      <c r="I660" s="101"/>
      <c r="J660" s="101"/>
      <c r="K660" s="101"/>
      <c r="L660" s="101"/>
      <c r="M660" s="101"/>
      <c r="N660" s="101"/>
      <c r="O660" s="101"/>
      <c r="P660" s="101"/>
      <c r="Q660" s="101"/>
      <c r="R660" s="101"/>
      <c r="S660" s="110"/>
      <c r="T660" s="102"/>
      <c r="U660" s="101"/>
      <c r="V660" s="103"/>
      <c r="W660" s="101"/>
    </row>
    <row r="661" spans="1:23" x14ac:dyDescent="0.25">
      <c r="A661" s="98"/>
      <c r="H661" s="101"/>
      <c r="I661" s="101"/>
      <c r="J661" s="101"/>
      <c r="K661" s="101"/>
      <c r="L661" s="101"/>
      <c r="M661" s="101"/>
      <c r="N661" s="101"/>
      <c r="O661" s="101"/>
      <c r="P661" s="101"/>
      <c r="Q661" s="101"/>
      <c r="R661" s="101"/>
      <c r="S661" s="110"/>
      <c r="T661" s="102"/>
      <c r="U661" s="101"/>
      <c r="V661" s="103"/>
      <c r="W661" s="101"/>
    </row>
    <row r="662" spans="1:23" x14ac:dyDescent="0.25">
      <c r="A662" s="98"/>
      <c r="H662" s="101"/>
      <c r="I662" s="101"/>
      <c r="J662" s="101"/>
      <c r="K662" s="101"/>
      <c r="L662" s="101"/>
      <c r="M662" s="101"/>
      <c r="N662" s="101"/>
      <c r="O662" s="101"/>
      <c r="P662" s="101"/>
      <c r="Q662" s="101"/>
      <c r="R662" s="101"/>
      <c r="S662" s="110"/>
      <c r="T662" s="102"/>
      <c r="U662" s="101"/>
      <c r="V662" s="103"/>
      <c r="W662" s="101"/>
    </row>
    <row r="663" spans="1:23" x14ac:dyDescent="0.25">
      <c r="A663" s="98"/>
      <c r="H663" s="101"/>
      <c r="I663" s="101"/>
      <c r="J663" s="101"/>
      <c r="K663" s="101"/>
      <c r="L663" s="101"/>
      <c r="M663" s="101"/>
      <c r="N663" s="101"/>
      <c r="O663" s="101"/>
      <c r="P663" s="101"/>
      <c r="Q663" s="101"/>
      <c r="R663" s="101"/>
      <c r="S663" s="110"/>
      <c r="T663" s="102"/>
      <c r="U663" s="101"/>
      <c r="V663" s="103"/>
      <c r="W663" s="101"/>
    </row>
    <row r="664" spans="1:23" x14ac:dyDescent="0.25">
      <c r="A664" s="98"/>
      <c r="H664" s="101"/>
      <c r="I664" s="101"/>
      <c r="J664" s="101"/>
      <c r="K664" s="101"/>
      <c r="L664" s="101"/>
      <c r="M664" s="101"/>
      <c r="N664" s="101"/>
      <c r="O664" s="101"/>
      <c r="P664" s="101"/>
      <c r="Q664" s="101"/>
      <c r="R664" s="101"/>
      <c r="S664" s="110"/>
      <c r="T664" s="102"/>
      <c r="U664" s="101"/>
      <c r="V664" s="103"/>
      <c r="W664" s="101"/>
    </row>
    <row r="665" spans="1:23" x14ac:dyDescent="0.25">
      <c r="A665" s="98"/>
      <c r="H665" s="101"/>
      <c r="I665" s="101"/>
      <c r="J665" s="101"/>
      <c r="K665" s="101"/>
      <c r="L665" s="101"/>
      <c r="M665" s="101"/>
      <c r="N665" s="101"/>
      <c r="O665" s="101"/>
      <c r="P665" s="101"/>
      <c r="Q665" s="101"/>
      <c r="R665" s="101"/>
      <c r="S665" s="110"/>
      <c r="T665" s="102"/>
      <c r="U665" s="101"/>
      <c r="V665" s="103"/>
      <c r="W665" s="101"/>
    </row>
    <row r="666" spans="1:23" x14ac:dyDescent="0.25">
      <c r="A666" s="98"/>
      <c r="H666" s="101"/>
      <c r="I666" s="101"/>
      <c r="J666" s="101"/>
      <c r="K666" s="101"/>
      <c r="L666" s="101"/>
      <c r="M666" s="101"/>
      <c r="N666" s="101"/>
      <c r="O666" s="101"/>
      <c r="P666" s="101"/>
      <c r="Q666" s="101"/>
      <c r="R666" s="101"/>
      <c r="S666" s="110"/>
      <c r="T666" s="102"/>
      <c r="U666" s="101"/>
      <c r="V666" s="103"/>
      <c r="W666" s="101"/>
    </row>
    <row r="667" spans="1:23" x14ac:dyDescent="0.25">
      <c r="A667" s="98"/>
      <c r="H667" s="101"/>
      <c r="I667" s="101"/>
      <c r="J667" s="101"/>
      <c r="K667" s="101"/>
      <c r="L667" s="101"/>
      <c r="M667" s="101"/>
      <c r="N667" s="101"/>
      <c r="O667" s="101"/>
      <c r="P667" s="101"/>
      <c r="Q667" s="101"/>
      <c r="R667" s="101"/>
      <c r="S667" s="110"/>
      <c r="T667" s="102"/>
      <c r="U667" s="101"/>
      <c r="V667" s="103"/>
      <c r="W667" s="101"/>
    </row>
    <row r="668" spans="1:23" x14ac:dyDescent="0.25">
      <c r="A668" s="98"/>
      <c r="H668" s="101"/>
      <c r="I668" s="101"/>
      <c r="J668" s="101"/>
      <c r="K668" s="101"/>
      <c r="L668" s="101"/>
      <c r="M668" s="101"/>
      <c r="N668" s="101"/>
      <c r="O668" s="101"/>
      <c r="P668" s="101"/>
      <c r="Q668" s="101"/>
      <c r="R668" s="101"/>
      <c r="S668" s="110"/>
      <c r="T668" s="102"/>
      <c r="U668" s="101"/>
      <c r="V668" s="103"/>
      <c r="W668" s="101"/>
    </row>
    <row r="669" spans="1:23" x14ac:dyDescent="0.25">
      <c r="A669" s="98"/>
      <c r="H669" s="101"/>
      <c r="I669" s="101"/>
      <c r="J669" s="101"/>
      <c r="K669" s="101"/>
      <c r="L669" s="101"/>
      <c r="M669" s="101"/>
      <c r="N669" s="101"/>
      <c r="O669" s="101"/>
      <c r="P669" s="101"/>
      <c r="Q669" s="101"/>
      <c r="R669" s="101"/>
      <c r="S669" s="110"/>
      <c r="T669" s="102"/>
      <c r="U669" s="101"/>
      <c r="V669" s="103"/>
      <c r="W669" s="101"/>
    </row>
    <row r="670" spans="1:23" x14ac:dyDescent="0.25">
      <c r="A670" s="98"/>
      <c r="H670" s="101"/>
      <c r="I670" s="101"/>
      <c r="J670" s="101"/>
      <c r="K670" s="101"/>
      <c r="L670" s="101"/>
      <c r="M670" s="101"/>
      <c r="N670" s="101"/>
      <c r="O670" s="101"/>
      <c r="P670" s="101"/>
      <c r="Q670" s="101"/>
      <c r="R670" s="101"/>
      <c r="S670" s="110"/>
      <c r="T670" s="102"/>
      <c r="U670" s="101"/>
      <c r="V670" s="103"/>
      <c r="W670" s="101"/>
    </row>
    <row r="671" spans="1:23" x14ac:dyDescent="0.25">
      <c r="A671" s="98"/>
      <c r="H671" s="101"/>
      <c r="I671" s="101"/>
      <c r="J671" s="101"/>
      <c r="K671" s="101"/>
      <c r="L671" s="101"/>
      <c r="M671" s="101"/>
      <c r="N671" s="101"/>
      <c r="O671" s="101"/>
      <c r="P671" s="101"/>
      <c r="Q671" s="101"/>
      <c r="R671" s="101"/>
      <c r="S671" s="110"/>
      <c r="T671" s="102"/>
      <c r="U671" s="101"/>
      <c r="V671" s="103"/>
      <c r="W671" s="101"/>
    </row>
    <row r="672" spans="1:23" x14ac:dyDescent="0.25">
      <c r="A672" s="98"/>
      <c r="H672" s="101"/>
      <c r="I672" s="101"/>
      <c r="J672" s="101"/>
      <c r="K672" s="101"/>
      <c r="L672" s="101"/>
      <c r="M672" s="101"/>
      <c r="N672" s="101"/>
      <c r="O672" s="101"/>
      <c r="P672" s="101"/>
      <c r="Q672" s="101"/>
      <c r="R672" s="101"/>
      <c r="S672" s="110"/>
      <c r="T672" s="102"/>
      <c r="U672" s="101"/>
      <c r="V672" s="103"/>
      <c r="W672" s="101"/>
    </row>
    <row r="673" spans="1:23" x14ac:dyDescent="0.25">
      <c r="A673" s="98"/>
      <c r="H673" s="101"/>
      <c r="I673" s="101"/>
      <c r="J673" s="101"/>
      <c r="K673" s="101"/>
      <c r="L673" s="101"/>
      <c r="M673" s="101"/>
      <c r="N673" s="101"/>
      <c r="O673" s="101"/>
      <c r="P673" s="101"/>
      <c r="Q673" s="101"/>
      <c r="R673" s="101"/>
      <c r="S673" s="110"/>
      <c r="T673" s="102"/>
      <c r="U673" s="101"/>
      <c r="V673" s="103"/>
      <c r="W673" s="101"/>
    </row>
    <row r="674" spans="1:23" x14ac:dyDescent="0.25">
      <c r="A674" s="98"/>
      <c r="H674" s="101"/>
      <c r="I674" s="101"/>
      <c r="J674" s="101"/>
      <c r="K674" s="101"/>
      <c r="L674" s="101"/>
      <c r="M674" s="101"/>
      <c r="N674" s="101"/>
      <c r="O674" s="101"/>
      <c r="P674" s="101"/>
      <c r="Q674" s="101"/>
      <c r="R674" s="101"/>
      <c r="S674" s="110"/>
      <c r="T674" s="102"/>
      <c r="U674" s="101"/>
      <c r="V674" s="103"/>
      <c r="W674" s="101"/>
    </row>
    <row r="675" spans="1:23" x14ac:dyDescent="0.25">
      <c r="A675" s="98"/>
      <c r="H675" s="101"/>
      <c r="I675" s="101"/>
      <c r="J675" s="101"/>
      <c r="K675" s="101"/>
      <c r="L675" s="101"/>
      <c r="M675" s="101"/>
      <c r="N675" s="101"/>
      <c r="O675" s="101"/>
      <c r="P675" s="101"/>
      <c r="Q675" s="101"/>
      <c r="R675" s="101"/>
      <c r="S675" s="110"/>
      <c r="T675" s="102"/>
      <c r="U675" s="101"/>
      <c r="V675" s="103"/>
      <c r="W675" s="101"/>
    </row>
    <row r="676" spans="1:23" x14ac:dyDescent="0.25">
      <c r="A676" s="98"/>
      <c r="H676" s="101"/>
      <c r="I676" s="101"/>
      <c r="J676" s="101"/>
      <c r="K676" s="101"/>
      <c r="L676" s="101"/>
      <c r="M676" s="101"/>
      <c r="N676" s="101"/>
      <c r="O676" s="101"/>
      <c r="P676" s="101"/>
      <c r="Q676" s="101"/>
      <c r="R676" s="101"/>
      <c r="S676" s="110"/>
      <c r="T676" s="102"/>
      <c r="U676" s="101"/>
      <c r="V676" s="103"/>
      <c r="W676" s="101"/>
    </row>
    <row r="677" spans="1:23" x14ac:dyDescent="0.25">
      <c r="A677" s="98"/>
      <c r="H677" s="101"/>
      <c r="I677" s="101"/>
      <c r="J677" s="101"/>
      <c r="K677" s="101"/>
      <c r="L677" s="101"/>
      <c r="M677" s="101"/>
      <c r="N677" s="101"/>
      <c r="O677" s="101"/>
      <c r="P677" s="101"/>
      <c r="Q677" s="101"/>
      <c r="R677" s="101"/>
      <c r="S677" s="110"/>
      <c r="T677" s="102"/>
      <c r="U677" s="101"/>
      <c r="V677" s="103"/>
      <c r="W677" s="101"/>
    </row>
    <row r="678" spans="1:23" x14ac:dyDescent="0.25">
      <c r="A678" s="98"/>
      <c r="H678" s="101"/>
      <c r="I678" s="101"/>
      <c r="J678" s="101"/>
      <c r="K678" s="101"/>
      <c r="L678" s="101"/>
      <c r="M678" s="101"/>
      <c r="N678" s="101"/>
      <c r="O678" s="101"/>
      <c r="P678" s="101"/>
      <c r="Q678" s="101"/>
      <c r="R678" s="101"/>
      <c r="S678" s="110"/>
      <c r="T678" s="102"/>
      <c r="U678" s="101"/>
      <c r="V678" s="103"/>
      <c r="W678" s="101"/>
    </row>
    <row r="679" spans="1:23" x14ac:dyDescent="0.25">
      <c r="A679" s="98"/>
      <c r="H679" s="101"/>
      <c r="I679" s="101"/>
      <c r="J679" s="101"/>
      <c r="K679" s="101"/>
      <c r="L679" s="101"/>
      <c r="M679" s="101"/>
      <c r="N679" s="101"/>
      <c r="O679" s="101"/>
      <c r="P679" s="101"/>
      <c r="Q679" s="101"/>
      <c r="R679" s="101"/>
      <c r="S679" s="110"/>
      <c r="T679" s="102"/>
      <c r="U679" s="101"/>
      <c r="V679" s="103"/>
      <c r="W679" s="101"/>
    </row>
    <row r="680" spans="1:23" x14ac:dyDescent="0.25">
      <c r="A680" s="98"/>
      <c r="H680" s="101"/>
      <c r="I680" s="101"/>
      <c r="J680" s="101"/>
      <c r="K680" s="101"/>
      <c r="L680" s="101"/>
      <c r="M680" s="101"/>
      <c r="N680" s="101"/>
      <c r="O680" s="101"/>
      <c r="P680" s="101"/>
      <c r="Q680" s="101"/>
      <c r="R680" s="101"/>
      <c r="S680" s="110"/>
      <c r="T680" s="102"/>
      <c r="U680" s="101"/>
      <c r="V680" s="103"/>
      <c r="W680" s="101"/>
    </row>
    <row r="681" spans="1:23" x14ac:dyDescent="0.25">
      <c r="A681" s="98"/>
      <c r="H681" s="101"/>
      <c r="I681" s="101"/>
      <c r="J681" s="101"/>
      <c r="K681" s="101"/>
      <c r="L681" s="101"/>
      <c r="M681" s="101"/>
      <c r="N681" s="101"/>
      <c r="O681" s="101"/>
      <c r="P681" s="101"/>
      <c r="Q681" s="101"/>
      <c r="R681" s="101"/>
      <c r="S681" s="110"/>
      <c r="T681" s="102"/>
      <c r="U681" s="101"/>
      <c r="V681" s="103"/>
      <c r="W681" s="101"/>
    </row>
    <row r="682" spans="1:23" x14ac:dyDescent="0.25">
      <c r="A682" s="98"/>
      <c r="H682" s="101"/>
      <c r="I682" s="101"/>
      <c r="J682" s="101"/>
      <c r="K682" s="101"/>
      <c r="L682" s="101"/>
      <c r="M682" s="101"/>
      <c r="N682" s="101"/>
      <c r="O682" s="101"/>
      <c r="P682" s="101"/>
      <c r="Q682" s="101"/>
      <c r="R682" s="101"/>
      <c r="S682" s="110"/>
      <c r="T682" s="102"/>
      <c r="U682" s="101"/>
      <c r="V682" s="103"/>
      <c r="W682" s="101"/>
    </row>
    <row r="683" spans="1:23" x14ac:dyDescent="0.25">
      <c r="A683" s="98"/>
      <c r="H683" s="101"/>
      <c r="I683" s="101"/>
      <c r="J683" s="101"/>
      <c r="K683" s="101"/>
      <c r="L683" s="101"/>
      <c r="M683" s="101"/>
      <c r="N683" s="101"/>
      <c r="O683" s="101"/>
      <c r="P683" s="101"/>
      <c r="Q683" s="101"/>
      <c r="R683" s="101"/>
      <c r="S683" s="110"/>
      <c r="T683" s="102"/>
      <c r="U683" s="101"/>
      <c r="V683" s="103"/>
      <c r="W683" s="101"/>
    </row>
    <row r="684" spans="1:23" x14ac:dyDescent="0.25">
      <c r="A684" s="98"/>
      <c r="H684" s="101"/>
      <c r="I684" s="101"/>
      <c r="J684" s="101"/>
      <c r="K684" s="101"/>
      <c r="L684" s="101"/>
      <c r="M684" s="101"/>
      <c r="N684" s="101"/>
      <c r="O684" s="101"/>
      <c r="P684" s="101"/>
      <c r="Q684" s="101"/>
      <c r="R684" s="101"/>
      <c r="S684" s="110"/>
      <c r="T684" s="102"/>
      <c r="U684" s="101"/>
      <c r="V684" s="103"/>
      <c r="W684" s="101"/>
    </row>
    <row r="685" spans="1:23" x14ac:dyDescent="0.25">
      <c r="A685" s="98"/>
      <c r="H685" s="101"/>
      <c r="I685" s="101"/>
      <c r="J685" s="101"/>
      <c r="K685" s="101"/>
      <c r="L685" s="101"/>
      <c r="M685" s="101"/>
      <c r="N685" s="101"/>
      <c r="O685" s="101"/>
      <c r="P685" s="101"/>
      <c r="Q685" s="101"/>
      <c r="R685" s="101"/>
      <c r="S685" s="110"/>
      <c r="T685" s="102"/>
      <c r="U685" s="101"/>
      <c r="V685" s="103"/>
      <c r="W685" s="101"/>
    </row>
    <row r="686" spans="1:23" x14ac:dyDescent="0.25">
      <c r="A686" s="98"/>
      <c r="H686" s="101"/>
      <c r="I686" s="101"/>
      <c r="J686" s="101"/>
      <c r="K686" s="101"/>
      <c r="L686" s="101"/>
      <c r="M686" s="101"/>
      <c r="N686" s="101"/>
      <c r="O686" s="101"/>
      <c r="P686" s="101"/>
      <c r="Q686" s="101"/>
      <c r="R686" s="101"/>
      <c r="S686" s="110"/>
      <c r="T686" s="102"/>
      <c r="U686" s="101"/>
      <c r="V686" s="103"/>
      <c r="W686" s="101"/>
    </row>
    <row r="687" spans="1:23" x14ac:dyDescent="0.25">
      <c r="A687" s="98"/>
      <c r="H687" s="101"/>
      <c r="I687" s="101"/>
      <c r="J687" s="101"/>
      <c r="K687" s="101"/>
      <c r="L687" s="101"/>
      <c r="M687" s="101"/>
      <c r="N687" s="101"/>
      <c r="O687" s="101"/>
      <c r="P687" s="101"/>
      <c r="Q687" s="101"/>
      <c r="R687" s="101"/>
      <c r="S687" s="110"/>
      <c r="T687" s="102"/>
      <c r="U687" s="101"/>
      <c r="V687" s="103"/>
      <c r="W687" s="101"/>
    </row>
    <row r="688" spans="1:23" x14ac:dyDescent="0.25">
      <c r="A688" s="98"/>
      <c r="H688" s="101"/>
      <c r="I688" s="101"/>
      <c r="J688" s="101"/>
      <c r="K688" s="101"/>
      <c r="L688" s="101"/>
      <c r="M688" s="101"/>
      <c r="N688" s="101"/>
      <c r="O688" s="101"/>
      <c r="P688" s="101"/>
      <c r="Q688" s="101"/>
      <c r="R688" s="101"/>
      <c r="S688" s="110"/>
      <c r="T688" s="102"/>
      <c r="U688" s="101"/>
      <c r="V688" s="103"/>
      <c r="W688" s="101"/>
    </row>
    <row r="689" spans="1:23" x14ac:dyDescent="0.25">
      <c r="A689" s="98"/>
      <c r="H689" s="101"/>
      <c r="I689" s="101"/>
      <c r="J689" s="101"/>
      <c r="K689" s="101"/>
      <c r="L689" s="101"/>
      <c r="M689" s="101"/>
      <c r="N689" s="101"/>
      <c r="O689" s="101"/>
      <c r="P689" s="101"/>
      <c r="Q689" s="101"/>
      <c r="R689" s="101"/>
      <c r="S689" s="110"/>
      <c r="T689" s="102"/>
      <c r="U689" s="101"/>
      <c r="V689" s="103"/>
      <c r="W689" s="101"/>
    </row>
    <row r="690" spans="1:23" x14ac:dyDescent="0.25">
      <c r="A690" s="98"/>
      <c r="H690" s="101"/>
      <c r="I690" s="101"/>
      <c r="J690" s="101"/>
      <c r="K690" s="101"/>
      <c r="L690" s="101"/>
      <c r="M690" s="101"/>
      <c r="N690" s="101"/>
      <c r="O690" s="101"/>
      <c r="P690" s="101"/>
      <c r="Q690" s="101"/>
      <c r="R690" s="101"/>
      <c r="S690" s="110"/>
      <c r="T690" s="102"/>
      <c r="U690" s="101"/>
      <c r="V690" s="103"/>
      <c r="W690" s="101"/>
    </row>
    <row r="691" spans="1:23" x14ac:dyDescent="0.25">
      <c r="A691" s="98"/>
      <c r="H691" s="101"/>
      <c r="I691" s="101"/>
      <c r="J691" s="101"/>
      <c r="K691" s="101"/>
      <c r="L691" s="101"/>
      <c r="M691" s="101"/>
      <c r="N691" s="101"/>
      <c r="O691" s="101"/>
      <c r="P691" s="101"/>
      <c r="Q691" s="101"/>
      <c r="R691" s="101"/>
      <c r="S691" s="110"/>
      <c r="T691" s="102"/>
      <c r="U691" s="101"/>
      <c r="V691" s="103"/>
      <c r="W691" s="101"/>
    </row>
    <row r="692" spans="1:23" x14ac:dyDescent="0.25">
      <c r="A692" s="98"/>
      <c r="H692" s="101"/>
      <c r="I692" s="101"/>
      <c r="J692" s="101"/>
      <c r="K692" s="101"/>
      <c r="L692" s="101"/>
      <c r="M692" s="101"/>
      <c r="N692" s="101"/>
      <c r="O692" s="101"/>
      <c r="P692" s="101"/>
      <c r="Q692" s="101"/>
      <c r="R692" s="101"/>
      <c r="S692" s="110"/>
      <c r="T692" s="102"/>
      <c r="U692" s="101"/>
      <c r="V692" s="103"/>
      <c r="W692" s="101"/>
    </row>
    <row r="693" spans="1:23" x14ac:dyDescent="0.25">
      <c r="A693" s="98"/>
      <c r="H693" s="101"/>
      <c r="I693" s="101"/>
      <c r="J693" s="101"/>
      <c r="K693" s="101"/>
      <c r="L693" s="101"/>
      <c r="M693" s="101"/>
      <c r="N693" s="101"/>
      <c r="O693" s="101"/>
      <c r="P693" s="101"/>
      <c r="Q693" s="101"/>
      <c r="R693" s="101"/>
      <c r="S693" s="110"/>
      <c r="T693" s="102"/>
      <c r="U693" s="101"/>
      <c r="V693" s="103"/>
      <c r="W693" s="101"/>
    </row>
    <row r="694" spans="1:23" x14ac:dyDescent="0.25">
      <c r="A694" s="98"/>
      <c r="H694" s="101"/>
      <c r="I694" s="101"/>
      <c r="J694" s="101"/>
      <c r="K694" s="101"/>
      <c r="L694" s="101"/>
      <c r="M694" s="101"/>
      <c r="N694" s="101"/>
      <c r="O694" s="101"/>
      <c r="P694" s="101"/>
      <c r="Q694" s="101"/>
      <c r="R694" s="101"/>
      <c r="S694" s="110"/>
      <c r="T694" s="102"/>
      <c r="U694" s="101"/>
      <c r="V694" s="103"/>
      <c r="W694" s="101"/>
    </row>
    <row r="695" spans="1:23" x14ac:dyDescent="0.25">
      <c r="A695" s="98"/>
      <c r="H695" s="101"/>
      <c r="I695" s="101"/>
      <c r="J695" s="101"/>
      <c r="K695" s="101"/>
      <c r="L695" s="101"/>
      <c r="M695" s="101"/>
      <c r="N695" s="101"/>
      <c r="O695" s="101"/>
      <c r="P695" s="101"/>
      <c r="Q695" s="101"/>
      <c r="R695" s="101"/>
      <c r="S695" s="110"/>
      <c r="T695" s="102"/>
      <c r="U695" s="101"/>
      <c r="V695" s="103"/>
      <c r="W695" s="101"/>
    </row>
    <row r="696" spans="1:23" x14ac:dyDescent="0.25">
      <c r="A696" s="98"/>
      <c r="H696" s="101"/>
      <c r="I696" s="101"/>
      <c r="J696" s="101"/>
      <c r="K696" s="101"/>
      <c r="L696" s="101"/>
      <c r="M696" s="101"/>
      <c r="N696" s="101"/>
      <c r="O696" s="101"/>
      <c r="P696" s="101"/>
      <c r="Q696" s="101"/>
      <c r="R696" s="101"/>
      <c r="S696" s="110"/>
      <c r="T696" s="102"/>
      <c r="U696" s="101"/>
      <c r="V696" s="103"/>
      <c r="W696" s="101"/>
    </row>
    <row r="697" spans="1:23" x14ac:dyDescent="0.25">
      <c r="A697" s="98"/>
      <c r="H697" s="101"/>
      <c r="I697" s="101"/>
      <c r="J697" s="101"/>
      <c r="K697" s="101"/>
      <c r="L697" s="101"/>
      <c r="M697" s="101"/>
      <c r="N697" s="101"/>
      <c r="O697" s="101"/>
      <c r="P697" s="101"/>
      <c r="Q697" s="101"/>
      <c r="R697" s="101"/>
      <c r="S697" s="110"/>
      <c r="T697" s="102"/>
      <c r="U697" s="101"/>
      <c r="V697" s="103"/>
      <c r="W697" s="101"/>
    </row>
    <row r="698" spans="1:23" x14ac:dyDescent="0.25">
      <c r="A698" s="98"/>
      <c r="H698" s="101"/>
      <c r="I698" s="101"/>
      <c r="J698" s="101"/>
      <c r="K698" s="101"/>
      <c r="L698" s="101"/>
      <c r="M698" s="101"/>
      <c r="N698" s="101"/>
      <c r="O698" s="101"/>
      <c r="P698" s="101"/>
      <c r="Q698" s="101"/>
      <c r="R698" s="101"/>
      <c r="S698" s="110"/>
      <c r="T698" s="102"/>
      <c r="U698" s="101"/>
      <c r="V698" s="103"/>
      <c r="W698" s="101"/>
    </row>
    <row r="699" spans="1:23" x14ac:dyDescent="0.25">
      <c r="A699" s="98"/>
      <c r="H699" s="101"/>
      <c r="I699" s="101"/>
      <c r="J699" s="101"/>
      <c r="K699" s="101"/>
      <c r="L699" s="101"/>
      <c r="M699" s="101"/>
      <c r="N699" s="101"/>
      <c r="O699" s="101"/>
      <c r="P699" s="101"/>
      <c r="Q699" s="101"/>
      <c r="R699" s="101"/>
      <c r="S699" s="110"/>
      <c r="T699" s="102"/>
      <c r="U699" s="101"/>
      <c r="V699" s="103"/>
      <c r="W699" s="101"/>
    </row>
    <row r="700" spans="1:23" x14ac:dyDescent="0.25">
      <c r="A700" s="98"/>
      <c r="H700" s="101"/>
      <c r="I700" s="101"/>
      <c r="J700" s="101"/>
      <c r="K700" s="101"/>
      <c r="L700" s="101"/>
      <c r="M700" s="101"/>
      <c r="N700" s="101"/>
      <c r="O700" s="101"/>
      <c r="P700" s="101"/>
      <c r="Q700" s="101"/>
      <c r="R700" s="101"/>
      <c r="S700" s="110"/>
      <c r="T700" s="102"/>
      <c r="U700" s="101"/>
      <c r="V700" s="103"/>
      <c r="W700" s="101"/>
    </row>
    <row r="701" spans="1:23" x14ac:dyDescent="0.25">
      <c r="A701" s="98"/>
      <c r="H701" s="101"/>
      <c r="I701" s="101"/>
      <c r="J701" s="101"/>
      <c r="K701" s="101"/>
      <c r="L701" s="101"/>
      <c r="M701" s="101"/>
      <c r="N701" s="101"/>
      <c r="O701" s="101"/>
      <c r="P701" s="101"/>
      <c r="Q701" s="101"/>
      <c r="R701" s="101"/>
      <c r="S701" s="110"/>
      <c r="T701" s="102"/>
      <c r="U701" s="101"/>
      <c r="V701" s="103"/>
      <c r="W701" s="101"/>
    </row>
    <row r="702" spans="1:23" x14ac:dyDescent="0.25">
      <c r="A702" s="98"/>
      <c r="H702" s="101"/>
      <c r="I702" s="101"/>
      <c r="J702" s="101"/>
      <c r="K702" s="101"/>
      <c r="L702" s="101"/>
      <c r="M702" s="101"/>
      <c r="N702" s="101"/>
      <c r="O702" s="101"/>
      <c r="P702" s="101"/>
      <c r="Q702" s="101"/>
      <c r="R702" s="101"/>
      <c r="S702" s="110"/>
      <c r="T702" s="102"/>
      <c r="U702" s="101"/>
      <c r="V702" s="103"/>
      <c r="W702" s="101"/>
    </row>
    <row r="703" spans="1:23" x14ac:dyDescent="0.25">
      <c r="A703" s="98"/>
      <c r="H703" s="101"/>
      <c r="I703" s="101"/>
      <c r="J703" s="101"/>
      <c r="K703" s="101"/>
      <c r="L703" s="101"/>
      <c r="M703" s="101"/>
      <c r="N703" s="101"/>
      <c r="O703" s="101"/>
      <c r="P703" s="101"/>
      <c r="Q703" s="101"/>
      <c r="R703" s="101"/>
      <c r="S703" s="110"/>
      <c r="T703" s="102"/>
      <c r="U703" s="101"/>
      <c r="V703" s="103"/>
      <c r="W703" s="101"/>
    </row>
    <row r="704" spans="1:23" x14ac:dyDescent="0.25">
      <c r="A704" s="98"/>
      <c r="H704" s="101"/>
      <c r="I704" s="101"/>
      <c r="J704" s="101"/>
      <c r="K704" s="101"/>
      <c r="L704" s="101"/>
      <c r="M704" s="101"/>
      <c r="N704" s="101"/>
      <c r="O704" s="101"/>
      <c r="P704" s="101"/>
      <c r="Q704" s="101"/>
      <c r="R704" s="101"/>
      <c r="S704" s="110"/>
      <c r="T704" s="102"/>
      <c r="U704" s="101"/>
      <c r="V704" s="103"/>
      <c r="W704" s="101"/>
    </row>
    <row r="705" spans="1:23" x14ac:dyDescent="0.25">
      <c r="A705" s="98"/>
      <c r="H705" s="101"/>
      <c r="I705" s="101"/>
      <c r="J705" s="101"/>
      <c r="K705" s="101"/>
      <c r="L705" s="101"/>
      <c r="M705" s="101"/>
      <c r="N705" s="101"/>
      <c r="O705" s="101"/>
      <c r="P705" s="101"/>
      <c r="Q705" s="101"/>
      <c r="R705" s="101"/>
      <c r="S705" s="110"/>
      <c r="T705" s="102"/>
      <c r="U705" s="101"/>
      <c r="V705" s="103"/>
      <c r="W705" s="101"/>
    </row>
    <row r="706" spans="1:23" x14ac:dyDescent="0.25">
      <c r="A706" s="98"/>
      <c r="H706" s="101"/>
      <c r="I706" s="101"/>
      <c r="J706" s="101"/>
      <c r="K706" s="101"/>
      <c r="L706" s="101"/>
      <c r="M706" s="101"/>
      <c r="N706" s="101"/>
      <c r="O706" s="101"/>
      <c r="P706" s="101"/>
      <c r="Q706" s="101"/>
      <c r="R706" s="101"/>
      <c r="S706" s="110"/>
      <c r="T706" s="102"/>
      <c r="U706" s="101"/>
      <c r="V706" s="103"/>
      <c r="W706" s="101"/>
    </row>
    <row r="707" spans="1:23" x14ac:dyDescent="0.25">
      <c r="A707" s="98"/>
      <c r="H707" s="101"/>
      <c r="I707" s="101"/>
      <c r="J707" s="101"/>
      <c r="K707" s="101"/>
      <c r="L707" s="101"/>
      <c r="M707" s="101"/>
      <c r="N707" s="101"/>
      <c r="O707" s="101"/>
      <c r="P707" s="101"/>
      <c r="Q707" s="101"/>
      <c r="R707" s="101"/>
      <c r="S707" s="110"/>
      <c r="T707" s="102"/>
      <c r="U707" s="101"/>
      <c r="V707" s="103"/>
      <c r="W707" s="101"/>
    </row>
    <row r="708" spans="1:23" x14ac:dyDescent="0.25">
      <c r="A708" s="98"/>
      <c r="H708" s="101"/>
      <c r="I708" s="101"/>
      <c r="J708" s="101"/>
      <c r="K708" s="101"/>
      <c r="L708" s="101"/>
      <c r="M708" s="101"/>
      <c r="N708" s="101"/>
      <c r="O708" s="101"/>
      <c r="P708" s="101"/>
      <c r="Q708" s="101"/>
      <c r="R708" s="101"/>
      <c r="S708" s="110"/>
      <c r="T708" s="102"/>
      <c r="U708" s="101"/>
      <c r="V708" s="103"/>
      <c r="W708" s="101"/>
    </row>
    <row r="709" spans="1:23" x14ac:dyDescent="0.25">
      <c r="A709" s="98"/>
      <c r="H709" s="101"/>
      <c r="I709" s="101"/>
      <c r="J709" s="101"/>
      <c r="K709" s="101"/>
      <c r="L709" s="101"/>
      <c r="M709" s="101"/>
      <c r="N709" s="101"/>
      <c r="O709" s="101"/>
      <c r="P709" s="101"/>
      <c r="Q709" s="101"/>
      <c r="R709" s="101"/>
      <c r="S709" s="110"/>
      <c r="T709" s="102"/>
      <c r="U709" s="101"/>
      <c r="V709" s="103"/>
      <c r="W709" s="101"/>
    </row>
    <row r="710" spans="1:23" x14ac:dyDescent="0.25">
      <c r="A710" s="98"/>
      <c r="H710" s="101"/>
      <c r="I710" s="101"/>
      <c r="J710" s="101"/>
      <c r="K710" s="101"/>
      <c r="L710" s="101"/>
      <c r="M710" s="101"/>
      <c r="N710" s="101"/>
      <c r="O710" s="101"/>
      <c r="P710" s="101"/>
      <c r="Q710" s="101"/>
      <c r="R710" s="101"/>
      <c r="S710" s="110"/>
      <c r="T710" s="102"/>
      <c r="U710" s="101"/>
      <c r="V710" s="103"/>
      <c r="W710" s="101"/>
    </row>
    <row r="711" spans="1:23" x14ac:dyDescent="0.25">
      <c r="A711" s="98"/>
      <c r="H711" s="101"/>
      <c r="I711" s="101"/>
      <c r="J711" s="101"/>
      <c r="K711" s="101"/>
      <c r="L711" s="101"/>
      <c r="M711" s="101"/>
      <c r="N711" s="101"/>
      <c r="O711" s="101"/>
      <c r="P711" s="101"/>
      <c r="Q711" s="101"/>
      <c r="R711" s="101"/>
      <c r="S711" s="110"/>
      <c r="T711" s="102"/>
      <c r="U711" s="101"/>
      <c r="V711" s="103"/>
      <c r="W711" s="101"/>
    </row>
    <row r="712" spans="1:23" x14ac:dyDescent="0.25">
      <c r="A712" s="98"/>
      <c r="H712" s="101"/>
      <c r="I712" s="101"/>
      <c r="J712" s="101"/>
      <c r="K712" s="101"/>
      <c r="L712" s="101"/>
      <c r="M712" s="101"/>
      <c r="N712" s="101"/>
      <c r="O712" s="101"/>
      <c r="P712" s="101"/>
      <c r="Q712" s="101"/>
      <c r="R712" s="101"/>
      <c r="S712" s="110"/>
      <c r="T712" s="102"/>
      <c r="U712" s="101"/>
      <c r="V712" s="103"/>
      <c r="W712" s="101"/>
    </row>
    <row r="713" spans="1:23" x14ac:dyDescent="0.25">
      <c r="A713" s="98"/>
      <c r="H713" s="101"/>
      <c r="I713" s="101"/>
      <c r="J713" s="101"/>
      <c r="K713" s="101"/>
      <c r="L713" s="101"/>
      <c r="M713" s="101"/>
      <c r="N713" s="101"/>
      <c r="O713" s="101"/>
      <c r="P713" s="101"/>
      <c r="Q713" s="101"/>
      <c r="R713" s="101"/>
      <c r="S713" s="110"/>
      <c r="T713" s="102"/>
      <c r="U713" s="101"/>
      <c r="V713" s="103"/>
      <c r="W713" s="101"/>
    </row>
    <row r="714" spans="1:23" x14ac:dyDescent="0.25">
      <c r="A714" s="98"/>
      <c r="H714" s="101"/>
      <c r="I714" s="101"/>
      <c r="J714" s="101"/>
      <c r="K714" s="101"/>
      <c r="L714" s="101"/>
      <c r="M714" s="101"/>
      <c r="N714" s="101"/>
      <c r="O714" s="101"/>
      <c r="P714" s="101"/>
      <c r="Q714" s="101"/>
      <c r="R714" s="101"/>
      <c r="S714" s="110"/>
      <c r="T714" s="102"/>
      <c r="U714" s="101"/>
      <c r="V714" s="103"/>
      <c r="W714" s="101"/>
    </row>
    <row r="715" spans="1:23" x14ac:dyDescent="0.25">
      <c r="A715" s="98"/>
      <c r="H715" s="101"/>
      <c r="I715" s="101"/>
      <c r="J715" s="101"/>
      <c r="K715" s="101"/>
      <c r="L715" s="101"/>
      <c r="M715" s="101"/>
      <c r="N715" s="101"/>
      <c r="O715" s="101"/>
      <c r="P715" s="101"/>
      <c r="Q715" s="101"/>
      <c r="R715" s="101"/>
      <c r="S715" s="110"/>
      <c r="T715" s="102"/>
      <c r="U715" s="101"/>
      <c r="V715" s="103"/>
      <c r="W715" s="101"/>
    </row>
    <row r="716" spans="1:23" x14ac:dyDescent="0.25">
      <c r="A716" s="98"/>
      <c r="H716" s="101"/>
      <c r="I716" s="101"/>
      <c r="J716" s="101"/>
      <c r="K716" s="101"/>
      <c r="L716" s="101"/>
      <c r="M716" s="101"/>
      <c r="N716" s="101"/>
      <c r="O716" s="101"/>
      <c r="P716" s="101"/>
      <c r="Q716" s="101"/>
      <c r="R716" s="101"/>
      <c r="S716" s="110"/>
      <c r="T716" s="102"/>
      <c r="U716" s="101"/>
      <c r="V716" s="103"/>
      <c r="W716" s="101"/>
    </row>
    <row r="717" spans="1:23" x14ac:dyDescent="0.25">
      <c r="A717" s="98"/>
      <c r="H717" s="101"/>
      <c r="I717" s="101"/>
      <c r="J717" s="101"/>
      <c r="K717" s="101"/>
      <c r="L717" s="101"/>
      <c r="M717" s="101"/>
      <c r="N717" s="101"/>
      <c r="O717" s="101"/>
      <c r="P717" s="101"/>
      <c r="Q717" s="101"/>
      <c r="R717" s="101"/>
      <c r="S717" s="110"/>
      <c r="T717" s="102"/>
      <c r="U717" s="101"/>
      <c r="V717" s="103"/>
      <c r="W717" s="101"/>
    </row>
    <row r="718" spans="1:23" x14ac:dyDescent="0.25">
      <c r="A718" s="98"/>
      <c r="H718" s="101"/>
      <c r="I718" s="101"/>
      <c r="J718" s="101"/>
      <c r="K718" s="101"/>
      <c r="L718" s="101"/>
      <c r="M718" s="101"/>
      <c r="N718" s="101"/>
      <c r="O718" s="101"/>
      <c r="P718" s="101"/>
      <c r="Q718" s="101"/>
      <c r="R718" s="101"/>
      <c r="S718" s="110"/>
      <c r="T718" s="102"/>
      <c r="U718" s="101"/>
      <c r="V718" s="103"/>
      <c r="W718" s="101"/>
    </row>
    <row r="719" spans="1:23" x14ac:dyDescent="0.25">
      <c r="A719" s="98"/>
      <c r="H719" s="101"/>
      <c r="I719" s="101"/>
      <c r="J719" s="101"/>
      <c r="K719" s="101"/>
      <c r="L719" s="101"/>
      <c r="M719" s="101"/>
      <c r="N719" s="101"/>
      <c r="O719" s="101"/>
      <c r="P719" s="101"/>
      <c r="Q719" s="101"/>
      <c r="R719" s="101"/>
      <c r="S719" s="110"/>
      <c r="T719" s="102"/>
      <c r="U719" s="101"/>
      <c r="V719" s="103"/>
      <c r="W719" s="101"/>
    </row>
    <row r="720" spans="1:23" x14ac:dyDescent="0.25">
      <c r="A720" s="98"/>
      <c r="H720" s="101"/>
      <c r="I720" s="101"/>
      <c r="J720" s="101"/>
      <c r="K720" s="101"/>
      <c r="L720" s="101"/>
      <c r="M720" s="101"/>
      <c r="N720" s="101"/>
      <c r="O720" s="101"/>
      <c r="P720" s="101"/>
      <c r="Q720" s="101"/>
      <c r="R720" s="101"/>
      <c r="S720" s="110"/>
      <c r="T720" s="102"/>
      <c r="U720" s="101"/>
      <c r="V720" s="103"/>
      <c r="W720" s="101"/>
    </row>
    <row r="721" spans="1:23" x14ac:dyDescent="0.25">
      <c r="A721" s="98"/>
      <c r="H721" s="101"/>
      <c r="I721" s="101"/>
      <c r="J721" s="101"/>
      <c r="K721" s="101"/>
      <c r="L721" s="101"/>
      <c r="M721" s="101"/>
      <c r="N721" s="101"/>
      <c r="O721" s="101"/>
      <c r="P721" s="101"/>
      <c r="Q721" s="101"/>
      <c r="R721" s="101"/>
      <c r="S721" s="110"/>
      <c r="T721" s="102"/>
      <c r="U721" s="101"/>
      <c r="V721" s="103"/>
      <c r="W721" s="101"/>
    </row>
    <row r="722" spans="1:23" x14ac:dyDescent="0.25">
      <c r="A722" s="98"/>
      <c r="H722" s="101"/>
      <c r="I722" s="101"/>
      <c r="J722" s="101"/>
      <c r="K722" s="101"/>
      <c r="L722" s="101"/>
      <c r="M722" s="101"/>
      <c r="N722" s="101"/>
      <c r="O722" s="101"/>
      <c r="P722" s="101"/>
      <c r="Q722" s="101"/>
      <c r="R722" s="101"/>
      <c r="S722" s="110"/>
      <c r="T722" s="102"/>
      <c r="U722" s="101"/>
      <c r="V722" s="103"/>
      <c r="W722" s="101"/>
    </row>
    <row r="723" spans="1:23" x14ac:dyDescent="0.25">
      <c r="A723" s="98"/>
      <c r="H723" s="101"/>
      <c r="I723" s="101"/>
      <c r="J723" s="101"/>
      <c r="K723" s="101"/>
      <c r="L723" s="101"/>
      <c r="M723" s="101"/>
      <c r="N723" s="101"/>
      <c r="O723" s="101"/>
      <c r="P723" s="101"/>
      <c r="Q723" s="101"/>
      <c r="R723" s="101"/>
      <c r="S723" s="110"/>
      <c r="T723" s="102"/>
      <c r="U723" s="101"/>
      <c r="V723" s="103"/>
      <c r="W723" s="101"/>
    </row>
    <row r="724" spans="1:23" x14ac:dyDescent="0.25">
      <c r="A724" s="98"/>
      <c r="H724" s="101"/>
      <c r="I724" s="101"/>
      <c r="J724" s="101"/>
      <c r="K724" s="101"/>
      <c r="L724" s="101"/>
      <c r="M724" s="101"/>
      <c r="N724" s="101"/>
      <c r="O724" s="101"/>
      <c r="P724" s="101"/>
      <c r="Q724" s="101"/>
      <c r="R724" s="101"/>
      <c r="S724" s="110"/>
      <c r="T724" s="102"/>
      <c r="U724" s="101"/>
      <c r="V724" s="103"/>
      <c r="W724" s="101"/>
    </row>
    <row r="725" spans="1:23" x14ac:dyDescent="0.25">
      <c r="A725" s="98"/>
      <c r="H725" s="101"/>
      <c r="I725" s="101"/>
      <c r="J725" s="101"/>
      <c r="K725" s="101"/>
      <c r="L725" s="101"/>
      <c r="M725" s="101"/>
      <c r="N725" s="101"/>
      <c r="O725" s="101"/>
      <c r="P725" s="101"/>
      <c r="Q725" s="101"/>
      <c r="R725" s="101"/>
      <c r="S725" s="110"/>
      <c r="T725" s="102"/>
      <c r="U725" s="101"/>
      <c r="V725" s="103"/>
      <c r="W725" s="101"/>
    </row>
    <row r="726" spans="1:23" x14ac:dyDescent="0.25">
      <c r="A726" s="98"/>
      <c r="H726" s="101"/>
      <c r="I726" s="101"/>
      <c r="J726" s="101"/>
      <c r="K726" s="101"/>
      <c r="L726" s="101"/>
      <c r="M726" s="101"/>
      <c r="N726" s="101"/>
      <c r="O726" s="101"/>
      <c r="P726" s="101"/>
      <c r="Q726" s="101"/>
      <c r="R726" s="101"/>
      <c r="S726" s="110"/>
      <c r="T726" s="102"/>
      <c r="U726" s="101"/>
      <c r="V726" s="103"/>
      <c r="W726" s="101"/>
    </row>
    <row r="727" spans="1:23" x14ac:dyDescent="0.25">
      <c r="A727" s="98"/>
      <c r="H727" s="101"/>
      <c r="I727" s="101"/>
      <c r="J727" s="101"/>
      <c r="K727" s="101"/>
      <c r="L727" s="101"/>
      <c r="M727" s="101"/>
      <c r="N727" s="101"/>
      <c r="O727" s="101"/>
      <c r="P727" s="101"/>
      <c r="Q727" s="101"/>
      <c r="R727" s="101"/>
      <c r="S727" s="110"/>
      <c r="T727" s="102"/>
      <c r="U727" s="101"/>
      <c r="V727" s="103"/>
      <c r="W727" s="101"/>
    </row>
    <row r="728" spans="1:23" x14ac:dyDescent="0.25">
      <c r="A728" s="98"/>
      <c r="H728" s="101"/>
      <c r="I728" s="101"/>
      <c r="J728" s="101"/>
      <c r="K728" s="101"/>
      <c r="L728" s="101"/>
      <c r="M728" s="101"/>
      <c r="N728" s="101"/>
      <c r="O728" s="101"/>
      <c r="P728" s="101"/>
      <c r="Q728" s="101"/>
      <c r="R728" s="101"/>
      <c r="S728" s="110"/>
      <c r="T728" s="102"/>
      <c r="U728" s="101"/>
      <c r="V728" s="103"/>
      <c r="W728" s="101"/>
    </row>
    <row r="729" spans="1:23" x14ac:dyDescent="0.25">
      <c r="A729" s="98"/>
      <c r="H729" s="101"/>
      <c r="I729" s="101"/>
      <c r="J729" s="101"/>
      <c r="K729" s="101"/>
      <c r="L729" s="101"/>
      <c r="M729" s="101"/>
      <c r="N729" s="101"/>
      <c r="O729" s="101"/>
      <c r="P729" s="101"/>
      <c r="Q729" s="101"/>
      <c r="R729" s="101"/>
      <c r="S729" s="110"/>
      <c r="T729" s="102"/>
      <c r="U729" s="101"/>
      <c r="V729" s="103"/>
      <c r="W729" s="101"/>
    </row>
    <row r="730" spans="1:23" x14ac:dyDescent="0.25">
      <c r="A730" s="98"/>
      <c r="H730" s="101"/>
      <c r="I730" s="101"/>
      <c r="J730" s="101"/>
      <c r="K730" s="101"/>
      <c r="L730" s="101"/>
      <c r="M730" s="101"/>
      <c r="N730" s="101"/>
      <c r="O730" s="101"/>
      <c r="P730" s="101"/>
      <c r="Q730" s="101"/>
      <c r="R730" s="101"/>
      <c r="S730" s="110"/>
      <c r="T730" s="102"/>
      <c r="U730" s="101"/>
      <c r="V730" s="103"/>
      <c r="W730" s="101"/>
    </row>
    <row r="731" spans="1:23" x14ac:dyDescent="0.25">
      <c r="A731" s="98"/>
      <c r="H731" s="101"/>
      <c r="I731" s="101"/>
      <c r="J731" s="101"/>
      <c r="K731" s="101"/>
      <c r="L731" s="101"/>
      <c r="M731" s="101"/>
      <c r="N731" s="101"/>
      <c r="O731" s="101"/>
      <c r="P731" s="101"/>
      <c r="Q731" s="101"/>
      <c r="R731" s="101"/>
      <c r="S731" s="110"/>
      <c r="T731" s="102"/>
      <c r="U731" s="101"/>
      <c r="V731" s="103"/>
      <c r="W731" s="101"/>
    </row>
    <row r="732" spans="1:23" x14ac:dyDescent="0.25">
      <c r="A732" s="98"/>
      <c r="H732" s="101"/>
      <c r="I732" s="101"/>
      <c r="J732" s="101"/>
      <c r="K732" s="101"/>
      <c r="L732" s="101"/>
      <c r="M732" s="101"/>
      <c r="N732" s="101"/>
      <c r="O732" s="101"/>
      <c r="P732" s="101"/>
      <c r="Q732" s="101"/>
      <c r="R732" s="101"/>
      <c r="S732" s="110"/>
      <c r="T732" s="102"/>
      <c r="U732" s="101"/>
      <c r="V732" s="103"/>
      <c r="W732" s="101"/>
    </row>
    <row r="733" spans="1:23" x14ac:dyDescent="0.25">
      <c r="A733" s="98"/>
      <c r="H733" s="101"/>
      <c r="I733" s="101"/>
      <c r="J733" s="101"/>
      <c r="K733" s="101"/>
      <c r="L733" s="101"/>
      <c r="M733" s="101"/>
      <c r="N733" s="101"/>
      <c r="O733" s="101"/>
      <c r="P733" s="101"/>
      <c r="Q733" s="101"/>
      <c r="R733" s="101"/>
      <c r="S733" s="110"/>
      <c r="T733" s="102"/>
      <c r="U733" s="101"/>
      <c r="V733" s="103"/>
      <c r="W733" s="101"/>
    </row>
    <row r="734" spans="1:23" x14ac:dyDescent="0.25">
      <c r="A734" s="98"/>
      <c r="H734" s="101"/>
      <c r="I734" s="101"/>
      <c r="J734" s="101"/>
      <c r="K734" s="101"/>
      <c r="L734" s="101"/>
      <c r="M734" s="101"/>
      <c r="N734" s="101"/>
      <c r="O734" s="101"/>
      <c r="P734" s="101"/>
      <c r="Q734" s="101"/>
      <c r="R734" s="101"/>
      <c r="S734" s="110"/>
      <c r="T734" s="102"/>
      <c r="U734" s="101"/>
      <c r="V734" s="103"/>
      <c r="W734" s="101"/>
    </row>
    <row r="735" spans="1:23" x14ac:dyDescent="0.25">
      <c r="A735" s="98"/>
      <c r="H735" s="101"/>
      <c r="I735" s="101"/>
      <c r="J735" s="101"/>
      <c r="K735" s="101"/>
      <c r="L735" s="101"/>
      <c r="M735" s="101"/>
      <c r="N735" s="101"/>
      <c r="O735" s="101"/>
      <c r="P735" s="101"/>
      <c r="Q735" s="101"/>
      <c r="R735" s="101"/>
      <c r="S735" s="110"/>
      <c r="T735" s="102"/>
      <c r="U735" s="101"/>
      <c r="V735" s="103"/>
      <c r="W735" s="101"/>
    </row>
    <row r="736" spans="1:23" x14ac:dyDescent="0.25">
      <c r="A736" s="98"/>
      <c r="H736" s="101"/>
      <c r="I736" s="101"/>
      <c r="J736" s="101"/>
      <c r="K736" s="101"/>
      <c r="L736" s="101"/>
      <c r="M736" s="101"/>
      <c r="N736" s="101"/>
      <c r="O736" s="101"/>
      <c r="P736" s="101"/>
      <c r="Q736" s="101"/>
      <c r="R736" s="101"/>
      <c r="S736" s="110"/>
      <c r="T736" s="102"/>
      <c r="U736" s="101"/>
      <c r="V736" s="103"/>
      <c r="W736" s="101"/>
    </row>
    <row r="737" spans="1:23" x14ac:dyDescent="0.25">
      <c r="A737" s="98"/>
      <c r="H737" s="101"/>
      <c r="I737" s="101"/>
      <c r="J737" s="101"/>
      <c r="K737" s="101"/>
      <c r="L737" s="101"/>
      <c r="M737" s="101"/>
      <c r="N737" s="101"/>
      <c r="O737" s="101"/>
      <c r="P737" s="101"/>
      <c r="Q737" s="101"/>
      <c r="R737" s="101"/>
      <c r="S737" s="110"/>
      <c r="T737" s="102"/>
      <c r="U737" s="101"/>
      <c r="V737" s="103"/>
      <c r="W737" s="101"/>
    </row>
    <row r="738" spans="1:23" x14ac:dyDescent="0.25">
      <c r="A738" s="98"/>
      <c r="H738" s="101"/>
      <c r="I738" s="101"/>
      <c r="J738" s="101"/>
      <c r="K738" s="101"/>
      <c r="L738" s="101"/>
      <c r="M738" s="101"/>
      <c r="N738" s="101"/>
      <c r="O738" s="101"/>
      <c r="P738" s="101"/>
      <c r="Q738" s="101"/>
      <c r="R738" s="101"/>
      <c r="S738" s="110"/>
      <c r="T738" s="102"/>
      <c r="U738" s="101"/>
      <c r="V738" s="103"/>
      <c r="W738" s="101"/>
    </row>
    <row r="739" spans="1:23" x14ac:dyDescent="0.25">
      <c r="A739" s="98"/>
      <c r="H739" s="101"/>
      <c r="I739" s="101"/>
      <c r="J739" s="101"/>
      <c r="K739" s="101"/>
      <c r="L739" s="101"/>
      <c r="M739" s="101"/>
      <c r="N739" s="101"/>
      <c r="O739" s="101"/>
      <c r="P739" s="101"/>
      <c r="Q739" s="101"/>
      <c r="R739" s="101"/>
      <c r="S739" s="110"/>
      <c r="T739" s="102"/>
      <c r="U739" s="101"/>
      <c r="V739" s="103"/>
      <c r="W739" s="101"/>
    </row>
    <row r="740" spans="1:23" x14ac:dyDescent="0.25">
      <c r="A740" s="98"/>
      <c r="H740" s="101"/>
      <c r="I740" s="101"/>
      <c r="J740" s="101"/>
      <c r="K740" s="101"/>
      <c r="L740" s="101"/>
      <c r="M740" s="101"/>
      <c r="N740" s="101"/>
      <c r="O740" s="101"/>
      <c r="P740" s="101"/>
      <c r="Q740" s="101"/>
      <c r="R740" s="101"/>
      <c r="S740" s="110"/>
      <c r="T740" s="102"/>
      <c r="U740" s="101"/>
      <c r="V740" s="103"/>
      <c r="W740" s="101"/>
    </row>
    <row r="741" spans="1:23" x14ac:dyDescent="0.25">
      <c r="A741" s="98"/>
      <c r="H741" s="101"/>
      <c r="I741" s="101"/>
      <c r="J741" s="101"/>
      <c r="K741" s="101"/>
      <c r="L741" s="101"/>
      <c r="M741" s="101"/>
      <c r="N741" s="101"/>
      <c r="O741" s="101"/>
      <c r="P741" s="101"/>
      <c r="Q741" s="101"/>
      <c r="R741" s="101"/>
      <c r="S741" s="110"/>
      <c r="T741" s="102"/>
      <c r="U741" s="101"/>
      <c r="V741" s="103"/>
      <c r="W741" s="101"/>
    </row>
    <row r="742" spans="1:23" x14ac:dyDescent="0.25">
      <c r="A742" s="98"/>
      <c r="H742" s="101"/>
      <c r="I742" s="101"/>
      <c r="J742" s="101"/>
      <c r="K742" s="101"/>
      <c r="L742" s="101"/>
      <c r="M742" s="101"/>
      <c r="N742" s="101"/>
      <c r="O742" s="101"/>
      <c r="P742" s="101"/>
      <c r="Q742" s="101"/>
      <c r="R742" s="101"/>
      <c r="S742" s="110"/>
      <c r="T742" s="102"/>
      <c r="U742" s="101"/>
      <c r="V742" s="103"/>
      <c r="W742" s="101"/>
    </row>
    <row r="743" spans="1:23" x14ac:dyDescent="0.25">
      <c r="A743" s="98"/>
      <c r="H743" s="101"/>
      <c r="I743" s="101"/>
      <c r="J743" s="101"/>
      <c r="K743" s="101"/>
      <c r="L743" s="101"/>
      <c r="M743" s="101"/>
      <c r="N743" s="101"/>
      <c r="O743" s="101"/>
      <c r="P743" s="101"/>
      <c r="Q743" s="101"/>
      <c r="R743" s="101"/>
      <c r="S743" s="110"/>
      <c r="T743" s="102"/>
      <c r="U743" s="101"/>
      <c r="V743" s="103"/>
      <c r="W743" s="101"/>
    </row>
    <row r="744" spans="1:23" x14ac:dyDescent="0.25">
      <c r="A744" s="98"/>
      <c r="H744" s="101"/>
      <c r="I744" s="101"/>
      <c r="J744" s="101"/>
      <c r="K744" s="101"/>
      <c r="L744" s="101"/>
      <c r="M744" s="101"/>
      <c r="N744" s="101"/>
      <c r="O744" s="101"/>
      <c r="P744" s="101"/>
      <c r="Q744" s="101"/>
      <c r="R744" s="101"/>
      <c r="S744" s="110"/>
      <c r="T744" s="102"/>
      <c r="U744" s="101"/>
      <c r="V744" s="103"/>
      <c r="W744" s="101"/>
    </row>
    <row r="745" spans="1:23" x14ac:dyDescent="0.25">
      <c r="A745" s="98"/>
      <c r="H745" s="101"/>
      <c r="I745" s="101"/>
      <c r="J745" s="101"/>
      <c r="K745" s="101"/>
      <c r="L745" s="101"/>
      <c r="M745" s="101"/>
      <c r="N745" s="101"/>
      <c r="O745" s="101"/>
      <c r="P745" s="101"/>
      <c r="Q745" s="101"/>
      <c r="R745" s="101"/>
      <c r="S745" s="110"/>
      <c r="T745" s="102"/>
      <c r="U745" s="101"/>
      <c r="V745" s="103"/>
      <c r="W745" s="101"/>
    </row>
    <row r="746" spans="1:23" x14ac:dyDescent="0.25">
      <c r="A746" s="98"/>
      <c r="H746" s="101"/>
      <c r="I746" s="101"/>
      <c r="J746" s="101"/>
      <c r="K746" s="101"/>
      <c r="L746" s="101"/>
      <c r="M746" s="101"/>
      <c r="N746" s="101"/>
      <c r="O746" s="101"/>
      <c r="P746" s="101"/>
      <c r="Q746" s="101"/>
      <c r="R746" s="101"/>
      <c r="S746" s="110"/>
      <c r="T746" s="102"/>
      <c r="U746" s="101"/>
      <c r="V746" s="103"/>
      <c r="W746" s="101"/>
    </row>
    <row r="747" spans="1:23" x14ac:dyDescent="0.25">
      <c r="A747" s="98"/>
      <c r="H747" s="101"/>
      <c r="I747" s="101"/>
      <c r="J747" s="101"/>
      <c r="K747" s="101"/>
      <c r="L747" s="101"/>
      <c r="M747" s="101"/>
      <c r="N747" s="101"/>
      <c r="O747" s="101"/>
      <c r="P747" s="101"/>
      <c r="Q747" s="101"/>
      <c r="R747" s="101"/>
      <c r="S747" s="110"/>
      <c r="T747" s="102"/>
      <c r="U747" s="101"/>
      <c r="V747" s="103"/>
      <c r="W747" s="101"/>
    </row>
    <row r="748" spans="1:23" x14ac:dyDescent="0.25">
      <c r="A748" s="98"/>
      <c r="H748" s="101"/>
      <c r="I748" s="101"/>
      <c r="J748" s="101"/>
      <c r="K748" s="101"/>
      <c r="L748" s="101"/>
      <c r="M748" s="101"/>
      <c r="N748" s="101"/>
      <c r="O748" s="101"/>
      <c r="P748" s="101"/>
      <c r="Q748" s="101"/>
      <c r="R748" s="101"/>
      <c r="S748" s="110"/>
      <c r="T748" s="102"/>
      <c r="U748" s="101"/>
      <c r="V748" s="103"/>
      <c r="W748" s="101"/>
    </row>
    <row r="749" spans="1:23" x14ac:dyDescent="0.25">
      <c r="A749" s="98"/>
      <c r="H749" s="101"/>
      <c r="I749" s="101"/>
      <c r="J749" s="101"/>
      <c r="K749" s="101"/>
      <c r="L749" s="101"/>
      <c r="M749" s="101"/>
      <c r="N749" s="101"/>
      <c r="O749" s="101"/>
      <c r="P749" s="101"/>
      <c r="Q749" s="101"/>
      <c r="R749" s="101"/>
      <c r="S749" s="110"/>
      <c r="T749" s="102"/>
      <c r="U749" s="101"/>
      <c r="V749" s="103"/>
      <c r="W749" s="101"/>
    </row>
    <row r="750" spans="1:23" x14ac:dyDescent="0.25">
      <c r="A750" s="98"/>
      <c r="H750" s="101"/>
      <c r="I750" s="101"/>
      <c r="J750" s="101"/>
      <c r="K750" s="101"/>
      <c r="L750" s="101"/>
      <c r="M750" s="101"/>
      <c r="N750" s="101"/>
      <c r="O750" s="101"/>
      <c r="P750" s="101"/>
      <c r="Q750" s="101"/>
      <c r="R750" s="101"/>
      <c r="S750" s="110"/>
      <c r="T750" s="102"/>
      <c r="U750" s="101"/>
      <c r="V750" s="103"/>
      <c r="W750" s="101"/>
    </row>
    <row r="751" spans="1:23" x14ac:dyDescent="0.25">
      <c r="A751" s="98"/>
      <c r="H751" s="101"/>
      <c r="I751" s="101"/>
      <c r="J751" s="101"/>
      <c r="K751" s="101"/>
      <c r="L751" s="101"/>
      <c r="M751" s="101"/>
      <c r="N751" s="101"/>
      <c r="O751" s="101"/>
      <c r="P751" s="101"/>
      <c r="Q751" s="101"/>
      <c r="R751" s="101"/>
      <c r="S751" s="110"/>
      <c r="T751" s="102"/>
      <c r="U751" s="101"/>
      <c r="V751" s="103"/>
      <c r="W751" s="101"/>
    </row>
    <row r="752" spans="1:23" x14ac:dyDescent="0.25">
      <c r="A752" s="98"/>
      <c r="H752" s="101"/>
      <c r="I752" s="101"/>
      <c r="J752" s="101"/>
      <c r="K752" s="101"/>
      <c r="L752" s="101"/>
      <c r="M752" s="101"/>
      <c r="N752" s="101"/>
      <c r="O752" s="101"/>
      <c r="P752" s="101"/>
      <c r="Q752" s="101"/>
      <c r="R752" s="101"/>
      <c r="S752" s="110"/>
      <c r="T752" s="102"/>
      <c r="U752" s="101"/>
      <c r="V752" s="103"/>
      <c r="W752" s="101"/>
    </row>
    <row r="753" spans="1:23" x14ac:dyDescent="0.25">
      <c r="A753" s="98"/>
      <c r="H753" s="101"/>
      <c r="I753" s="101"/>
      <c r="J753" s="101"/>
      <c r="K753" s="101"/>
      <c r="L753" s="101"/>
      <c r="M753" s="101"/>
      <c r="N753" s="101"/>
      <c r="O753" s="101"/>
      <c r="P753" s="101"/>
      <c r="Q753" s="101"/>
      <c r="R753" s="101"/>
      <c r="S753" s="110"/>
      <c r="T753" s="102"/>
      <c r="U753" s="101"/>
      <c r="V753" s="103"/>
      <c r="W753" s="101"/>
    </row>
    <row r="754" spans="1:23" x14ac:dyDescent="0.25">
      <c r="A754" s="98"/>
      <c r="H754" s="101"/>
      <c r="I754" s="101"/>
      <c r="J754" s="101"/>
      <c r="K754" s="101"/>
      <c r="L754" s="101"/>
      <c r="M754" s="101"/>
      <c r="N754" s="101"/>
      <c r="O754" s="101"/>
      <c r="P754" s="101"/>
      <c r="Q754" s="101"/>
      <c r="R754" s="101"/>
      <c r="S754" s="110"/>
      <c r="T754" s="102"/>
      <c r="U754" s="101"/>
      <c r="V754" s="103"/>
      <c r="W754" s="101"/>
    </row>
    <row r="755" spans="1:23" x14ac:dyDescent="0.25">
      <c r="A755" s="98"/>
      <c r="H755" s="101"/>
      <c r="I755" s="101"/>
      <c r="J755" s="101"/>
      <c r="K755" s="101"/>
      <c r="L755" s="101"/>
      <c r="M755" s="101"/>
      <c r="N755" s="101"/>
      <c r="O755" s="101"/>
      <c r="P755" s="101"/>
      <c r="Q755" s="101"/>
      <c r="R755" s="101"/>
      <c r="S755" s="110"/>
      <c r="T755" s="102"/>
      <c r="U755" s="101"/>
      <c r="V755" s="103"/>
      <c r="W755" s="101"/>
    </row>
    <row r="756" spans="1:23" x14ac:dyDescent="0.25">
      <c r="A756" s="98"/>
      <c r="H756" s="101"/>
      <c r="I756" s="101"/>
      <c r="J756" s="101"/>
      <c r="K756" s="101"/>
      <c r="L756" s="101"/>
      <c r="M756" s="101"/>
      <c r="N756" s="101"/>
      <c r="O756" s="101"/>
      <c r="P756" s="101"/>
      <c r="Q756" s="101"/>
      <c r="R756" s="101"/>
      <c r="S756" s="110"/>
      <c r="T756" s="102"/>
      <c r="U756" s="101"/>
      <c r="V756" s="103"/>
      <c r="W756" s="101"/>
    </row>
    <row r="757" spans="1:23" x14ac:dyDescent="0.25">
      <c r="A757" s="98"/>
      <c r="H757" s="101"/>
      <c r="I757" s="101"/>
      <c r="J757" s="101"/>
      <c r="K757" s="101"/>
      <c r="L757" s="101"/>
      <c r="M757" s="101"/>
      <c r="N757" s="101"/>
      <c r="O757" s="101"/>
      <c r="P757" s="101"/>
      <c r="Q757" s="101"/>
      <c r="R757" s="101"/>
      <c r="S757" s="110"/>
      <c r="T757" s="102"/>
      <c r="U757" s="101"/>
      <c r="V757" s="103"/>
      <c r="W757" s="101"/>
    </row>
    <row r="758" spans="1:23" x14ac:dyDescent="0.25">
      <c r="A758" s="98"/>
      <c r="H758" s="101"/>
      <c r="I758" s="101"/>
      <c r="J758" s="101"/>
      <c r="K758" s="101"/>
      <c r="L758" s="101"/>
      <c r="M758" s="101"/>
      <c r="N758" s="101"/>
      <c r="O758" s="101"/>
      <c r="P758" s="101"/>
      <c r="Q758" s="101"/>
      <c r="R758" s="101"/>
      <c r="S758" s="110"/>
      <c r="T758" s="102"/>
      <c r="U758" s="101"/>
      <c r="V758" s="103"/>
      <c r="W758" s="101"/>
    </row>
    <row r="759" spans="1:23" x14ac:dyDescent="0.25">
      <c r="A759" s="98"/>
      <c r="H759" s="101"/>
      <c r="I759" s="101"/>
      <c r="J759" s="101"/>
      <c r="K759" s="101"/>
      <c r="L759" s="101"/>
      <c r="M759" s="101"/>
      <c r="N759" s="101"/>
      <c r="O759" s="101"/>
      <c r="P759" s="101"/>
      <c r="Q759" s="101"/>
      <c r="R759" s="101"/>
      <c r="S759" s="110"/>
      <c r="T759" s="102"/>
      <c r="U759" s="101"/>
      <c r="V759" s="103"/>
      <c r="W759" s="101"/>
    </row>
    <row r="760" spans="1:23" x14ac:dyDescent="0.25">
      <c r="A760" s="98"/>
      <c r="H760" s="101"/>
      <c r="I760" s="101"/>
      <c r="J760" s="101"/>
      <c r="K760" s="101"/>
      <c r="L760" s="101"/>
      <c r="M760" s="101"/>
      <c r="N760" s="101"/>
      <c r="O760" s="101"/>
      <c r="P760" s="101"/>
      <c r="Q760" s="101"/>
      <c r="R760" s="101"/>
      <c r="S760" s="110"/>
      <c r="T760" s="102"/>
      <c r="U760" s="101"/>
      <c r="V760" s="103"/>
      <c r="W760" s="101"/>
    </row>
    <row r="761" spans="1:23" x14ac:dyDescent="0.25">
      <c r="A761" s="98"/>
      <c r="H761" s="101"/>
      <c r="I761" s="101"/>
      <c r="J761" s="101"/>
      <c r="K761" s="101"/>
      <c r="L761" s="101"/>
      <c r="M761" s="101"/>
      <c r="N761" s="101"/>
      <c r="O761" s="101"/>
      <c r="P761" s="101"/>
      <c r="Q761" s="101"/>
      <c r="R761" s="101"/>
      <c r="S761" s="110"/>
      <c r="T761" s="102"/>
      <c r="U761" s="101"/>
      <c r="V761" s="103"/>
      <c r="W761" s="101"/>
    </row>
    <row r="762" spans="1:23" x14ac:dyDescent="0.25">
      <c r="A762" s="98"/>
      <c r="H762" s="101"/>
      <c r="I762" s="101"/>
      <c r="J762" s="101"/>
      <c r="K762" s="101"/>
      <c r="L762" s="101"/>
      <c r="M762" s="101"/>
      <c r="N762" s="101"/>
      <c r="O762" s="101"/>
      <c r="P762" s="101"/>
      <c r="Q762" s="101"/>
      <c r="R762" s="101"/>
      <c r="S762" s="110"/>
      <c r="T762" s="102"/>
      <c r="U762" s="101"/>
      <c r="V762" s="103"/>
      <c r="W762" s="101"/>
    </row>
    <row r="763" spans="1:23" x14ac:dyDescent="0.25">
      <c r="A763" s="98"/>
      <c r="H763" s="101"/>
      <c r="I763" s="101"/>
      <c r="J763" s="101"/>
      <c r="K763" s="101"/>
      <c r="L763" s="101"/>
      <c r="M763" s="101"/>
      <c r="N763" s="101"/>
      <c r="O763" s="101"/>
      <c r="P763" s="101"/>
      <c r="Q763" s="101"/>
      <c r="R763" s="101"/>
      <c r="S763" s="110"/>
      <c r="T763" s="102"/>
      <c r="U763" s="101"/>
      <c r="V763" s="103"/>
      <c r="W763" s="101"/>
    </row>
    <row r="764" spans="1:23" x14ac:dyDescent="0.25">
      <c r="A764" s="98"/>
      <c r="H764" s="101"/>
      <c r="I764" s="101"/>
      <c r="J764" s="101"/>
      <c r="K764" s="101"/>
      <c r="L764" s="101"/>
      <c r="M764" s="101"/>
      <c r="N764" s="101"/>
      <c r="O764" s="101"/>
      <c r="P764" s="101"/>
      <c r="Q764" s="101"/>
      <c r="R764" s="101"/>
      <c r="S764" s="110"/>
      <c r="T764" s="102"/>
      <c r="U764" s="101"/>
      <c r="V764" s="103"/>
      <c r="W764" s="101"/>
    </row>
    <row r="765" spans="1:23" x14ac:dyDescent="0.25">
      <c r="A765" s="98"/>
      <c r="H765" s="101"/>
      <c r="I765" s="101"/>
      <c r="J765" s="101"/>
      <c r="K765" s="101"/>
      <c r="L765" s="101"/>
      <c r="M765" s="101"/>
      <c r="N765" s="101"/>
      <c r="O765" s="101"/>
      <c r="P765" s="101"/>
      <c r="Q765" s="101"/>
      <c r="R765" s="101"/>
      <c r="S765" s="110"/>
      <c r="T765" s="102"/>
      <c r="U765" s="101"/>
      <c r="V765" s="103"/>
      <c r="W765" s="101"/>
    </row>
    <row r="766" spans="1:23" x14ac:dyDescent="0.25">
      <c r="A766" s="98"/>
      <c r="H766" s="101"/>
      <c r="I766" s="101"/>
      <c r="J766" s="101"/>
      <c r="K766" s="101"/>
      <c r="L766" s="101"/>
      <c r="M766" s="101"/>
      <c r="N766" s="101"/>
      <c r="O766" s="101"/>
      <c r="P766" s="101"/>
      <c r="Q766" s="101"/>
      <c r="R766" s="101"/>
      <c r="S766" s="110"/>
      <c r="T766" s="102"/>
      <c r="U766" s="101"/>
      <c r="V766" s="103"/>
      <c r="W766" s="101"/>
    </row>
    <row r="767" spans="1:23" x14ac:dyDescent="0.25">
      <c r="A767" s="98"/>
      <c r="H767" s="101"/>
      <c r="I767" s="101"/>
      <c r="J767" s="101"/>
      <c r="K767" s="101"/>
      <c r="L767" s="101"/>
      <c r="M767" s="101"/>
      <c r="N767" s="101"/>
      <c r="O767" s="101"/>
      <c r="P767" s="101"/>
      <c r="Q767" s="101"/>
      <c r="R767" s="101"/>
      <c r="S767" s="110"/>
      <c r="T767" s="102"/>
      <c r="U767" s="101"/>
      <c r="V767" s="103"/>
      <c r="W767" s="101"/>
    </row>
    <row r="768" spans="1:23" x14ac:dyDescent="0.25">
      <c r="A768" s="98"/>
      <c r="H768" s="101"/>
      <c r="I768" s="101"/>
      <c r="J768" s="101"/>
      <c r="K768" s="101"/>
      <c r="L768" s="101"/>
      <c r="M768" s="101"/>
      <c r="N768" s="101"/>
      <c r="O768" s="101"/>
      <c r="P768" s="101"/>
      <c r="Q768" s="101"/>
      <c r="R768" s="101"/>
      <c r="S768" s="110"/>
      <c r="T768" s="102"/>
      <c r="U768" s="101"/>
      <c r="V768" s="103"/>
      <c r="W768" s="101"/>
    </row>
    <row r="769" spans="1:23" x14ac:dyDescent="0.25">
      <c r="A769" s="98"/>
      <c r="H769" s="101"/>
      <c r="I769" s="101"/>
      <c r="J769" s="101"/>
      <c r="K769" s="101"/>
      <c r="L769" s="101"/>
      <c r="M769" s="101"/>
      <c r="N769" s="101"/>
      <c r="O769" s="101"/>
      <c r="P769" s="101"/>
      <c r="Q769" s="101"/>
      <c r="R769" s="101"/>
      <c r="S769" s="110"/>
      <c r="T769" s="102"/>
      <c r="U769" s="101"/>
      <c r="V769" s="103"/>
      <c r="W769" s="101"/>
    </row>
    <row r="770" spans="1:23" x14ac:dyDescent="0.25">
      <c r="A770" s="98"/>
      <c r="H770" s="101"/>
      <c r="I770" s="101"/>
      <c r="J770" s="101"/>
      <c r="K770" s="101"/>
      <c r="L770" s="101"/>
      <c r="M770" s="101"/>
      <c r="N770" s="101"/>
      <c r="O770" s="101"/>
      <c r="P770" s="101"/>
      <c r="Q770" s="101"/>
      <c r="R770" s="101"/>
      <c r="S770" s="110"/>
      <c r="T770" s="102"/>
      <c r="U770" s="101"/>
      <c r="V770" s="103"/>
      <c r="W770" s="101"/>
    </row>
    <row r="771" spans="1:23" x14ac:dyDescent="0.25">
      <c r="A771" s="98"/>
      <c r="H771" s="101"/>
      <c r="I771" s="101"/>
      <c r="J771" s="101"/>
      <c r="K771" s="101"/>
      <c r="L771" s="101"/>
      <c r="M771" s="101"/>
      <c r="N771" s="101"/>
      <c r="O771" s="101"/>
      <c r="P771" s="101"/>
      <c r="Q771" s="101"/>
      <c r="R771" s="101"/>
      <c r="S771" s="110"/>
      <c r="T771" s="102"/>
      <c r="U771" s="101"/>
      <c r="V771" s="103"/>
      <c r="W771" s="101"/>
    </row>
    <row r="772" spans="1:23" x14ac:dyDescent="0.25">
      <c r="A772" s="98"/>
      <c r="H772" s="101"/>
      <c r="I772" s="101"/>
      <c r="J772" s="101"/>
      <c r="K772" s="101"/>
      <c r="L772" s="101"/>
      <c r="M772" s="101"/>
      <c r="N772" s="101"/>
      <c r="O772" s="101"/>
      <c r="P772" s="101"/>
      <c r="Q772" s="101"/>
      <c r="R772" s="101"/>
      <c r="S772" s="110"/>
      <c r="T772" s="102"/>
      <c r="U772" s="101"/>
      <c r="V772" s="103"/>
      <c r="W772" s="101"/>
    </row>
    <row r="773" spans="1:23" x14ac:dyDescent="0.25">
      <c r="A773" s="98"/>
      <c r="H773" s="101"/>
      <c r="I773" s="101"/>
      <c r="J773" s="101"/>
      <c r="K773" s="101"/>
      <c r="L773" s="101"/>
      <c r="M773" s="101"/>
      <c r="N773" s="101"/>
      <c r="O773" s="101"/>
      <c r="P773" s="101"/>
      <c r="Q773" s="101"/>
      <c r="R773" s="101"/>
      <c r="S773" s="110"/>
      <c r="T773" s="102"/>
      <c r="U773" s="101"/>
      <c r="V773" s="103"/>
      <c r="W773" s="101"/>
    </row>
    <row r="774" spans="1:23" x14ac:dyDescent="0.25">
      <c r="A774" s="98"/>
      <c r="H774" s="101"/>
      <c r="I774" s="101"/>
      <c r="J774" s="101"/>
      <c r="K774" s="101"/>
      <c r="L774" s="101"/>
      <c r="M774" s="101"/>
      <c r="N774" s="101"/>
      <c r="O774" s="101"/>
      <c r="P774" s="101"/>
      <c r="Q774" s="101"/>
      <c r="R774" s="101"/>
      <c r="S774" s="110"/>
      <c r="T774" s="102"/>
      <c r="U774" s="101"/>
      <c r="V774" s="103"/>
      <c r="W774" s="101"/>
    </row>
    <row r="775" spans="1:23" x14ac:dyDescent="0.25">
      <c r="A775" s="98"/>
      <c r="H775" s="101"/>
      <c r="I775" s="101"/>
      <c r="J775" s="101"/>
      <c r="K775" s="101"/>
      <c r="L775" s="101"/>
      <c r="M775" s="101"/>
      <c r="N775" s="101"/>
      <c r="O775" s="101"/>
      <c r="P775" s="101"/>
      <c r="Q775" s="101"/>
      <c r="R775" s="101"/>
      <c r="S775" s="110"/>
      <c r="T775" s="102"/>
      <c r="U775" s="101"/>
      <c r="V775" s="103"/>
      <c r="W775" s="101"/>
    </row>
    <row r="776" spans="1:23" x14ac:dyDescent="0.25">
      <c r="A776" s="98"/>
      <c r="H776" s="101"/>
      <c r="I776" s="101"/>
      <c r="J776" s="101"/>
      <c r="K776" s="101"/>
      <c r="L776" s="101"/>
      <c r="M776" s="101"/>
      <c r="N776" s="101"/>
      <c r="O776" s="101"/>
      <c r="P776" s="101"/>
      <c r="Q776" s="101"/>
      <c r="R776" s="101"/>
      <c r="S776" s="110"/>
      <c r="T776" s="102"/>
      <c r="U776" s="101"/>
      <c r="V776" s="103"/>
      <c r="W776" s="101"/>
    </row>
    <row r="777" spans="1:23" x14ac:dyDescent="0.25">
      <c r="A777" s="98"/>
      <c r="H777" s="101"/>
      <c r="I777" s="101"/>
      <c r="J777" s="101"/>
      <c r="K777" s="101"/>
      <c r="L777" s="101"/>
      <c r="M777" s="101"/>
      <c r="N777" s="101"/>
      <c r="O777" s="101"/>
      <c r="P777" s="101"/>
      <c r="Q777" s="101"/>
      <c r="R777" s="101"/>
      <c r="S777" s="110"/>
      <c r="T777" s="102"/>
      <c r="U777" s="101"/>
      <c r="V777" s="103"/>
      <c r="W777" s="101"/>
    </row>
    <row r="778" spans="1:23" x14ac:dyDescent="0.25">
      <c r="A778" s="98"/>
      <c r="H778" s="101"/>
      <c r="I778" s="101"/>
      <c r="J778" s="101"/>
      <c r="K778" s="101"/>
      <c r="L778" s="101"/>
      <c r="M778" s="101"/>
      <c r="N778" s="101"/>
      <c r="O778" s="101"/>
      <c r="P778" s="101"/>
      <c r="Q778" s="101"/>
      <c r="R778" s="101"/>
      <c r="S778" s="110"/>
      <c r="T778" s="102"/>
      <c r="U778" s="101"/>
      <c r="V778" s="103"/>
      <c r="W778" s="101"/>
    </row>
    <row r="779" spans="1:23" x14ac:dyDescent="0.25">
      <c r="A779" s="98"/>
      <c r="H779" s="101"/>
      <c r="I779" s="101"/>
      <c r="J779" s="101"/>
      <c r="K779" s="101"/>
      <c r="L779" s="101"/>
      <c r="M779" s="101"/>
      <c r="N779" s="101"/>
      <c r="O779" s="101"/>
      <c r="P779" s="101"/>
      <c r="Q779" s="101"/>
      <c r="R779" s="101"/>
      <c r="S779" s="110"/>
      <c r="T779" s="102"/>
      <c r="U779" s="101"/>
      <c r="V779" s="103"/>
      <c r="W779" s="101"/>
    </row>
    <row r="780" spans="1:23" x14ac:dyDescent="0.25">
      <c r="A780" s="98"/>
      <c r="H780" s="101"/>
      <c r="I780" s="101"/>
      <c r="J780" s="101"/>
      <c r="K780" s="101"/>
      <c r="L780" s="101"/>
      <c r="M780" s="101"/>
      <c r="N780" s="101"/>
      <c r="O780" s="101"/>
      <c r="P780" s="101"/>
      <c r="Q780" s="101"/>
      <c r="R780" s="101"/>
      <c r="S780" s="110"/>
      <c r="T780" s="102"/>
      <c r="U780" s="101"/>
      <c r="V780" s="103"/>
      <c r="W780" s="101"/>
    </row>
    <row r="781" spans="1:23" x14ac:dyDescent="0.25">
      <c r="A781" s="98"/>
      <c r="H781" s="101"/>
      <c r="I781" s="101"/>
      <c r="J781" s="101"/>
      <c r="K781" s="101"/>
      <c r="L781" s="101"/>
      <c r="M781" s="101"/>
      <c r="N781" s="101"/>
      <c r="O781" s="101"/>
      <c r="P781" s="101"/>
      <c r="Q781" s="101"/>
      <c r="R781" s="101"/>
      <c r="S781" s="110"/>
      <c r="T781" s="102"/>
      <c r="U781" s="101"/>
      <c r="V781" s="103"/>
      <c r="W781" s="101"/>
    </row>
    <row r="782" spans="1:23" x14ac:dyDescent="0.25">
      <c r="A782" s="98"/>
      <c r="H782" s="101"/>
      <c r="I782" s="101"/>
      <c r="J782" s="101"/>
      <c r="K782" s="101"/>
      <c r="L782" s="101"/>
      <c r="M782" s="101"/>
      <c r="N782" s="101"/>
      <c r="O782" s="101"/>
      <c r="P782" s="101"/>
      <c r="Q782" s="101"/>
      <c r="R782" s="101"/>
      <c r="S782" s="110"/>
      <c r="T782" s="102"/>
      <c r="U782" s="101"/>
      <c r="V782" s="103"/>
      <c r="W782" s="101"/>
    </row>
    <row r="783" spans="1:23" x14ac:dyDescent="0.25">
      <c r="A783" s="98"/>
      <c r="H783" s="101"/>
      <c r="I783" s="101"/>
      <c r="J783" s="101"/>
      <c r="K783" s="101"/>
      <c r="L783" s="101"/>
      <c r="M783" s="101"/>
      <c r="N783" s="101"/>
      <c r="O783" s="101"/>
      <c r="P783" s="101"/>
      <c r="Q783" s="101"/>
      <c r="R783" s="101"/>
      <c r="S783" s="110"/>
      <c r="T783" s="102"/>
      <c r="U783" s="101"/>
      <c r="V783" s="103"/>
      <c r="W783" s="101"/>
    </row>
    <row r="784" spans="1:23" x14ac:dyDescent="0.25">
      <c r="A784" s="98"/>
      <c r="H784" s="101"/>
      <c r="I784" s="101"/>
      <c r="J784" s="101"/>
      <c r="K784" s="101"/>
      <c r="L784" s="101"/>
      <c r="M784" s="101"/>
      <c r="N784" s="101"/>
      <c r="O784" s="101"/>
      <c r="P784" s="101"/>
      <c r="Q784" s="101"/>
      <c r="R784" s="101"/>
      <c r="S784" s="110"/>
      <c r="T784" s="102"/>
      <c r="U784" s="101"/>
      <c r="V784" s="103"/>
      <c r="W784" s="101"/>
    </row>
    <row r="785" spans="1:23" x14ac:dyDescent="0.25">
      <c r="A785" s="98"/>
      <c r="H785" s="101"/>
      <c r="I785" s="101"/>
      <c r="J785" s="101"/>
      <c r="K785" s="101"/>
      <c r="L785" s="101"/>
      <c r="M785" s="101"/>
      <c r="N785" s="101"/>
      <c r="O785" s="101"/>
      <c r="P785" s="101"/>
      <c r="Q785" s="101"/>
      <c r="R785" s="101"/>
      <c r="S785" s="110"/>
      <c r="T785" s="102"/>
      <c r="U785" s="101"/>
      <c r="V785" s="103"/>
      <c r="W785" s="101"/>
    </row>
    <row r="786" spans="1:23" x14ac:dyDescent="0.25">
      <c r="A786" s="98"/>
      <c r="H786" s="101"/>
      <c r="I786" s="101"/>
      <c r="J786" s="101"/>
      <c r="K786" s="101"/>
      <c r="L786" s="101"/>
      <c r="M786" s="101"/>
      <c r="N786" s="101"/>
      <c r="O786" s="101"/>
      <c r="P786" s="101"/>
      <c r="Q786" s="101"/>
      <c r="R786" s="101"/>
      <c r="S786" s="110"/>
      <c r="T786" s="102"/>
      <c r="U786" s="101"/>
      <c r="V786" s="103"/>
      <c r="W786" s="101"/>
    </row>
    <row r="787" spans="1:23" x14ac:dyDescent="0.25">
      <c r="A787" s="98"/>
      <c r="H787" s="101"/>
      <c r="I787" s="101"/>
      <c r="J787" s="101"/>
      <c r="K787" s="101"/>
      <c r="L787" s="101"/>
      <c r="M787" s="101"/>
      <c r="N787" s="101"/>
      <c r="O787" s="101"/>
      <c r="P787" s="101"/>
      <c r="Q787" s="101"/>
      <c r="R787" s="101"/>
      <c r="S787" s="110"/>
      <c r="T787" s="102"/>
      <c r="U787" s="101"/>
      <c r="V787" s="103"/>
      <c r="W787" s="101"/>
    </row>
    <row r="788" spans="1:23" x14ac:dyDescent="0.25">
      <c r="A788" s="98"/>
      <c r="H788" s="101"/>
      <c r="I788" s="101"/>
      <c r="J788" s="101"/>
      <c r="K788" s="101"/>
      <c r="L788" s="101"/>
      <c r="M788" s="101"/>
      <c r="N788" s="101"/>
      <c r="O788" s="101"/>
      <c r="P788" s="101"/>
      <c r="Q788" s="101"/>
      <c r="R788" s="101"/>
      <c r="S788" s="110"/>
      <c r="T788" s="102"/>
      <c r="U788" s="101"/>
      <c r="V788" s="103"/>
      <c r="W788" s="101"/>
    </row>
    <row r="789" spans="1:23" x14ac:dyDescent="0.25">
      <c r="A789" s="98"/>
      <c r="H789" s="101"/>
      <c r="I789" s="101"/>
      <c r="J789" s="101"/>
      <c r="K789" s="101"/>
      <c r="L789" s="101"/>
      <c r="M789" s="101"/>
      <c r="N789" s="101"/>
      <c r="O789" s="101"/>
      <c r="P789" s="101"/>
      <c r="Q789" s="101"/>
      <c r="R789" s="101"/>
      <c r="S789" s="110"/>
      <c r="T789" s="102"/>
      <c r="U789" s="101"/>
      <c r="V789" s="103"/>
      <c r="W789" s="101"/>
    </row>
    <row r="790" spans="1:23" x14ac:dyDescent="0.25">
      <c r="A790" s="98"/>
      <c r="H790" s="101"/>
      <c r="I790" s="101"/>
      <c r="J790" s="101"/>
      <c r="K790" s="101"/>
      <c r="L790" s="101"/>
      <c r="M790" s="101"/>
      <c r="N790" s="101"/>
      <c r="O790" s="101"/>
      <c r="P790" s="101"/>
      <c r="Q790" s="101"/>
      <c r="R790" s="101"/>
      <c r="S790" s="110"/>
      <c r="T790" s="102"/>
      <c r="U790" s="101"/>
      <c r="V790" s="103"/>
      <c r="W790" s="101"/>
    </row>
    <row r="791" spans="1:23" x14ac:dyDescent="0.25">
      <c r="A791" s="98"/>
      <c r="H791" s="101"/>
      <c r="I791" s="101"/>
      <c r="J791" s="101"/>
      <c r="K791" s="101"/>
      <c r="L791" s="101"/>
      <c r="M791" s="101"/>
      <c r="N791" s="101"/>
      <c r="O791" s="101"/>
      <c r="P791" s="101"/>
      <c r="Q791" s="101"/>
      <c r="R791" s="101"/>
      <c r="S791" s="110"/>
      <c r="T791" s="102"/>
      <c r="U791" s="101"/>
      <c r="V791" s="103"/>
      <c r="W791" s="101"/>
    </row>
    <row r="792" spans="1:23" x14ac:dyDescent="0.25">
      <c r="A792" s="98"/>
      <c r="H792" s="101"/>
      <c r="I792" s="101"/>
      <c r="J792" s="101"/>
      <c r="K792" s="101"/>
      <c r="L792" s="101"/>
      <c r="M792" s="101"/>
      <c r="N792" s="101"/>
      <c r="O792" s="101"/>
      <c r="P792" s="101"/>
      <c r="Q792" s="101"/>
      <c r="R792" s="101"/>
      <c r="S792" s="110"/>
      <c r="T792" s="102"/>
      <c r="U792" s="101"/>
      <c r="V792" s="103"/>
      <c r="W792" s="101"/>
    </row>
    <row r="793" spans="1:23" x14ac:dyDescent="0.25">
      <c r="A793" s="98"/>
      <c r="H793" s="101"/>
      <c r="I793" s="101"/>
      <c r="J793" s="101"/>
      <c r="K793" s="101"/>
      <c r="L793" s="101"/>
      <c r="M793" s="101"/>
      <c r="N793" s="101"/>
      <c r="O793" s="101"/>
      <c r="P793" s="101"/>
      <c r="Q793" s="101"/>
      <c r="R793" s="101"/>
      <c r="S793" s="110"/>
      <c r="T793" s="102"/>
      <c r="U793" s="101"/>
      <c r="V793" s="103"/>
      <c r="W793" s="101"/>
    </row>
    <row r="794" spans="1:23" x14ac:dyDescent="0.25">
      <c r="A794" s="98"/>
      <c r="H794" s="101"/>
      <c r="I794" s="101"/>
      <c r="J794" s="101"/>
      <c r="K794" s="101"/>
      <c r="L794" s="101"/>
      <c r="M794" s="101"/>
      <c r="N794" s="101"/>
      <c r="O794" s="101"/>
      <c r="P794" s="101"/>
      <c r="Q794" s="101"/>
      <c r="R794" s="101"/>
      <c r="S794" s="110"/>
      <c r="T794" s="102"/>
      <c r="U794" s="101"/>
      <c r="V794" s="103"/>
      <c r="W794" s="101"/>
    </row>
    <row r="795" spans="1:23" x14ac:dyDescent="0.25">
      <c r="A795" s="98"/>
      <c r="H795" s="101"/>
      <c r="I795" s="101"/>
      <c r="J795" s="101"/>
      <c r="K795" s="101"/>
      <c r="L795" s="101"/>
      <c r="M795" s="101"/>
      <c r="N795" s="101"/>
      <c r="O795" s="101"/>
      <c r="P795" s="101"/>
      <c r="Q795" s="101"/>
      <c r="R795" s="101"/>
      <c r="S795" s="110"/>
      <c r="T795" s="102"/>
      <c r="U795" s="101"/>
      <c r="V795" s="103"/>
      <c r="W795" s="101"/>
    </row>
    <row r="796" spans="1:23" x14ac:dyDescent="0.25">
      <c r="A796" s="98"/>
      <c r="H796" s="101"/>
      <c r="I796" s="101"/>
      <c r="J796" s="101"/>
      <c r="K796" s="101"/>
      <c r="L796" s="101"/>
      <c r="M796" s="101"/>
      <c r="N796" s="101"/>
      <c r="O796" s="101"/>
      <c r="P796" s="101"/>
      <c r="Q796" s="101"/>
      <c r="R796" s="101"/>
      <c r="S796" s="110"/>
      <c r="T796" s="102"/>
      <c r="U796" s="101"/>
      <c r="V796" s="103"/>
      <c r="W796" s="101"/>
    </row>
    <row r="797" spans="1:23" x14ac:dyDescent="0.25">
      <c r="A797" s="98"/>
      <c r="H797" s="101"/>
      <c r="I797" s="101"/>
      <c r="J797" s="101"/>
      <c r="K797" s="101"/>
      <c r="L797" s="101"/>
      <c r="M797" s="101"/>
      <c r="N797" s="101"/>
      <c r="O797" s="101"/>
      <c r="P797" s="101"/>
      <c r="Q797" s="101"/>
      <c r="R797" s="101"/>
      <c r="S797" s="110"/>
      <c r="T797" s="102"/>
      <c r="U797" s="101"/>
      <c r="V797" s="103"/>
      <c r="W797" s="101"/>
    </row>
    <row r="798" spans="1:23" x14ac:dyDescent="0.25">
      <c r="A798" s="98"/>
      <c r="H798" s="101"/>
      <c r="I798" s="101"/>
      <c r="J798" s="101"/>
      <c r="K798" s="101"/>
      <c r="L798" s="101"/>
      <c r="M798" s="101"/>
      <c r="N798" s="101"/>
      <c r="O798" s="101"/>
      <c r="P798" s="101"/>
      <c r="Q798" s="101"/>
      <c r="R798" s="101"/>
      <c r="S798" s="110"/>
      <c r="T798" s="102"/>
      <c r="U798" s="101"/>
      <c r="V798" s="103"/>
      <c r="W798" s="101"/>
    </row>
    <row r="799" spans="1:23" x14ac:dyDescent="0.25">
      <c r="A799" s="98"/>
      <c r="H799" s="101"/>
      <c r="I799" s="101"/>
      <c r="J799" s="101"/>
      <c r="K799" s="101"/>
      <c r="L799" s="101"/>
      <c r="M799" s="101"/>
      <c r="N799" s="101"/>
      <c r="O799" s="101"/>
      <c r="P799" s="101"/>
      <c r="Q799" s="101"/>
      <c r="R799" s="101"/>
      <c r="S799" s="110"/>
      <c r="T799" s="102"/>
      <c r="U799" s="101"/>
      <c r="V799" s="103"/>
      <c r="W799" s="101"/>
    </row>
    <row r="800" spans="1:23" x14ac:dyDescent="0.25">
      <c r="A800" s="98"/>
      <c r="H800" s="101"/>
      <c r="I800" s="101"/>
      <c r="J800" s="101"/>
      <c r="K800" s="101"/>
      <c r="L800" s="101"/>
      <c r="M800" s="101"/>
      <c r="N800" s="101"/>
      <c r="O800" s="101"/>
      <c r="P800" s="101"/>
      <c r="Q800" s="101"/>
      <c r="R800" s="101"/>
      <c r="S800" s="110"/>
      <c r="T800" s="102"/>
      <c r="U800" s="101"/>
      <c r="V800" s="103"/>
      <c r="W800" s="101"/>
    </row>
    <row r="801" spans="1:23" x14ac:dyDescent="0.25">
      <c r="A801" s="98"/>
      <c r="H801" s="101"/>
      <c r="I801" s="101"/>
      <c r="J801" s="101"/>
      <c r="K801" s="101"/>
      <c r="L801" s="101"/>
      <c r="M801" s="101"/>
      <c r="N801" s="101"/>
      <c r="O801" s="101"/>
      <c r="P801" s="101"/>
      <c r="Q801" s="101"/>
      <c r="R801" s="101"/>
      <c r="S801" s="110"/>
      <c r="T801" s="102"/>
      <c r="U801" s="101"/>
      <c r="V801" s="103"/>
      <c r="W801" s="101"/>
    </row>
    <row r="802" spans="1:23" x14ac:dyDescent="0.25">
      <c r="A802" s="98"/>
      <c r="H802" s="101"/>
      <c r="I802" s="101"/>
      <c r="J802" s="101"/>
      <c r="K802" s="101"/>
      <c r="L802" s="101"/>
      <c r="M802" s="101"/>
      <c r="N802" s="101"/>
      <c r="O802" s="101"/>
      <c r="P802" s="101"/>
      <c r="Q802" s="101"/>
      <c r="R802" s="101"/>
      <c r="S802" s="110"/>
      <c r="T802" s="102"/>
      <c r="U802" s="101"/>
      <c r="V802" s="103"/>
      <c r="W802" s="101"/>
    </row>
    <row r="803" spans="1:23" x14ac:dyDescent="0.25">
      <c r="A803" s="98"/>
      <c r="H803" s="101"/>
      <c r="I803" s="101"/>
      <c r="J803" s="101"/>
      <c r="K803" s="101"/>
      <c r="L803" s="101"/>
      <c r="M803" s="101"/>
      <c r="N803" s="101"/>
      <c r="O803" s="101"/>
      <c r="P803" s="101"/>
      <c r="Q803" s="101"/>
      <c r="R803" s="101"/>
      <c r="S803" s="110"/>
      <c r="T803" s="102"/>
      <c r="U803" s="101"/>
      <c r="V803" s="103"/>
      <c r="W803" s="101"/>
    </row>
    <row r="804" spans="1:23" x14ac:dyDescent="0.25">
      <c r="A804" s="98"/>
      <c r="H804" s="101"/>
      <c r="I804" s="101"/>
      <c r="J804" s="101"/>
      <c r="K804" s="101"/>
      <c r="L804" s="101"/>
      <c r="M804" s="101"/>
      <c r="N804" s="101"/>
      <c r="O804" s="101"/>
      <c r="P804" s="101"/>
      <c r="Q804" s="101"/>
      <c r="R804" s="101"/>
      <c r="S804" s="110"/>
      <c r="T804" s="102"/>
      <c r="U804" s="101"/>
      <c r="V804" s="103"/>
      <c r="W804" s="101"/>
    </row>
    <row r="805" spans="1:23" x14ac:dyDescent="0.25">
      <c r="A805" s="98"/>
      <c r="H805" s="101"/>
      <c r="I805" s="101"/>
      <c r="J805" s="101"/>
      <c r="K805" s="101"/>
      <c r="L805" s="101"/>
      <c r="M805" s="101"/>
      <c r="N805" s="101"/>
      <c r="O805" s="101"/>
      <c r="P805" s="101"/>
      <c r="Q805" s="101"/>
      <c r="R805" s="101"/>
      <c r="S805" s="110"/>
      <c r="T805" s="102"/>
      <c r="U805" s="101"/>
      <c r="V805" s="103"/>
      <c r="W805" s="101"/>
    </row>
    <row r="806" spans="1:23" x14ac:dyDescent="0.25">
      <c r="A806" s="98"/>
      <c r="H806" s="101"/>
      <c r="I806" s="101"/>
      <c r="J806" s="101"/>
      <c r="K806" s="101"/>
      <c r="L806" s="101"/>
      <c r="M806" s="101"/>
      <c r="N806" s="101"/>
      <c r="O806" s="101"/>
      <c r="P806" s="101"/>
      <c r="Q806" s="101"/>
      <c r="R806" s="101"/>
      <c r="S806" s="110"/>
      <c r="T806" s="102"/>
      <c r="U806" s="101"/>
      <c r="V806" s="103"/>
      <c r="W806" s="101"/>
    </row>
    <row r="807" spans="1:23" x14ac:dyDescent="0.25">
      <c r="A807" s="98"/>
      <c r="H807" s="101"/>
      <c r="I807" s="101"/>
      <c r="J807" s="101"/>
      <c r="K807" s="101"/>
      <c r="L807" s="101"/>
      <c r="M807" s="101"/>
      <c r="N807" s="101"/>
      <c r="O807" s="101"/>
      <c r="P807" s="101"/>
      <c r="Q807" s="101"/>
      <c r="R807" s="101"/>
      <c r="S807" s="110"/>
      <c r="T807" s="102"/>
      <c r="U807" s="101"/>
      <c r="V807" s="103"/>
      <c r="W807" s="101"/>
    </row>
    <row r="808" spans="1:23" x14ac:dyDescent="0.25">
      <c r="A808" s="98"/>
      <c r="H808" s="101"/>
      <c r="I808" s="101"/>
      <c r="J808" s="101"/>
      <c r="K808" s="101"/>
      <c r="L808" s="101"/>
      <c r="M808" s="101"/>
      <c r="N808" s="101"/>
      <c r="O808" s="101"/>
      <c r="P808" s="101"/>
      <c r="Q808" s="101"/>
      <c r="R808" s="101"/>
      <c r="S808" s="110"/>
      <c r="T808" s="102"/>
      <c r="U808" s="101"/>
      <c r="V808" s="103"/>
      <c r="W808" s="101"/>
    </row>
    <row r="809" spans="1:23" x14ac:dyDescent="0.25">
      <c r="A809" s="98"/>
      <c r="H809" s="101"/>
      <c r="I809" s="101"/>
      <c r="J809" s="101"/>
      <c r="K809" s="101"/>
      <c r="L809" s="101"/>
      <c r="M809" s="101"/>
      <c r="N809" s="101"/>
      <c r="O809" s="101"/>
      <c r="P809" s="101"/>
      <c r="Q809" s="101"/>
      <c r="R809" s="101"/>
      <c r="S809" s="110"/>
      <c r="T809" s="102"/>
      <c r="U809" s="101"/>
      <c r="V809" s="103"/>
      <c r="W809" s="101"/>
    </row>
    <row r="810" spans="1:23" x14ac:dyDescent="0.25">
      <c r="A810" s="98"/>
      <c r="H810" s="101"/>
      <c r="I810" s="101"/>
      <c r="J810" s="101"/>
      <c r="K810" s="101"/>
      <c r="L810" s="101"/>
      <c r="M810" s="101"/>
      <c r="N810" s="101"/>
      <c r="O810" s="101"/>
      <c r="P810" s="101"/>
      <c r="Q810" s="101"/>
      <c r="R810" s="101"/>
      <c r="S810" s="110"/>
      <c r="T810" s="102"/>
      <c r="U810" s="101"/>
      <c r="V810" s="103"/>
      <c r="W810" s="101"/>
    </row>
    <row r="811" spans="1:23" x14ac:dyDescent="0.25">
      <c r="A811" s="98"/>
      <c r="H811" s="101"/>
      <c r="I811" s="101"/>
      <c r="J811" s="101"/>
      <c r="K811" s="101"/>
      <c r="L811" s="101"/>
      <c r="M811" s="101"/>
      <c r="N811" s="101"/>
      <c r="O811" s="101"/>
      <c r="P811" s="101"/>
      <c r="Q811" s="101"/>
      <c r="R811" s="101"/>
      <c r="S811" s="110"/>
      <c r="T811" s="102"/>
      <c r="U811" s="101"/>
      <c r="V811" s="103"/>
      <c r="W811" s="101"/>
    </row>
    <row r="812" spans="1:23" x14ac:dyDescent="0.25">
      <c r="A812" s="98"/>
      <c r="H812" s="101"/>
      <c r="I812" s="101"/>
      <c r="J812" s="101"/>
      <c r="K812" s="101"/>
      <c r="L812" s="101"/>
      <c r="M812" s="101"/>
      <c r="N812" s="101"/>
      <c r="O812" s="101"/>
      <c r="P812" s="101"/>
      <c r="Q812" s="101"/>
      <c r="R812" s="101"/>
      <c r="S812" s="110"/>
      <c r="T812" s="102"/>
      <c r="U812" s="101"/>
      <c r="V812" s="103"/>
      <c r="W812" s="101"/>
    </row>
    <row r="813" spans="1:23" x14ac:dyDescent="0.25">
      <c r="A813" s="98"/>
      <c r="H813" s="101"/>
      <c r="I813" s="101"/>
      <c r="J813" s="101"/>
      <c r="K813" s="101"/>
      <c r="L813" s="101"/>
      <c r="M813" s="101"/>
      <c r="N813" s="101"/>
      <c r="O813" s="101"/>
      <c r="P813" s="101"/>
      <c r="Q813" s="101"/>
      <c r="R813" s="101"/>
      <c r="S813" s="110"/>
      <c r="T813" s="102"/>
      <c r="U813" s="101"/>
      <c r="V813" s="103"/>
      <c r="W813" s="101"/>
    </row>
    <row r="814" spans="1:23" x14ac:dyDescent="0.25">
      <c r="A814" s="98"/>
      <c r="H814" s="101"/>
      <c r="I814" s="101"/>
      <c r="J814" s="101"/>
      <c r="K814" s="101"/>
      <c r="L814" s="101"/>
      <c r="M814" s="101"/>
      <c r="N814" s="101"/>
      <c r="O814" s="101"/>
      <c r="P814" s="101"/>
      <c r="Q814" s="101"/>
      <c r="R814" s="101"/>
      <c r="S814" s="110"/>
      <c r="T814" s="102"/>
      <c r="U814" s="101"/>
      <c r="V814" s="103"/>
      <c r="W814" s="101"/>
    </row>
    <row r="815" spans="1:23" x14ac:dyDescent="0.25">
      <c r="A815" s="98"/>
      <c r="H815" s="101"/>
      <c r="I815" s="101"/>
      <c r="J815" s="101"/>
      <c r="K815" s="101"/>
      <c r="L815" s="101"/>
      <c r="M815" s="101"/>
      <c r="N815" s="101"/>
      <c r="O815" s="101"/>
      <c r="P815" s="101"/>
      <c r="Q815" s="101"/>
      <c r="R815" s="101"/>
      <c r="S815" s="110"/>
      <c r="T815" s="102"/>
      <c r="U815" s="101"/>
      <c r="V815" s="103"/>
      <c r="W815" s="101"/>
    </row>
    <row r="816" spans="1:23" x14ac:dyDescent="0.25">
      <c r="A816" s="98"/>
      <c r="H816" s="101"/>
      <c r="I816" s="101"/>
      <c r="J816" s="101"/>
      <c r="K816" s="101"/>
      <c r="L816" s="101"/>
      <c r="M816" s="101"/>
      <c r="N816" s="101"/>
      <c r="O816" s="101"/>
      <c r="P816" s="101"/>
      <c r="Q816" s="101"/>
      <c r="R816" s="101"/>
      <c r="S816" s="110"/>
      <c r="T816" s="102"/>
      <c r="U816" s="101"/>
      <c r="V816" s="103"/>
      <c r="W816" s="101"/>
    </row>
    <row r="817" spans="1:23" x14ac:dyDescent="0.25">
      <c r="A817" s="98"/>
      <c r="H817" s="101"/>
      <c r="I817" s="101"/>
      <c r="J817" s="101"/>
      <c r="K817" s="101"/>
      <c r="L817" s="101"/>
      <c r="M817" s="101"/>
      <c r="N817" s="101"/>
      <c r="O817" s="101"/>
      <c r="P817" s="101"/>
      <c r="Q817" s="101"/>
      <c r="R817" s="101"/>
      <c r="S817" s="110"/>
      <c r="T817" s="102"/>
      <c r="U817" s="101"/>
      <c r="V817" s="103"/>
      <c r="W817" s="101"/>
    </row>
    <row r="818" spans="1:23" x14ac:dyDescent="0.25">
      <c r="A818" s="98"/>
      <c r="H818" s="101"/>
      <c r="I818" s="101"/>
      <c r="J818" s="101"/>
      <c r="K818" s="101"/>
      <c r="L818" s="101"/>
      <c r="M818" s="101"/>
      <c r="N818" s="101"/>
      <c r="O818" s="101"/>
      <c r="P818" s="101"/>
      <c r="Q818" s="101"/>
      <c r="R818" s="101"/>
      <c r="S818" s="110"/>
      <c r="T818" s="102"/>
      <c r="U818" s="101"/>
      <c r="V818" s="103"/>
      <c r="W818" s="101"/>
    </row>
    <row r="819" spans="1:23" x14ac:dyDescent="0.25">
      <c r="A819" s="98"/>
      <c r="H819" s="101"/>
      <c r="I819" s="101"/>
      <c r="J819" s="101"/>
      <c r="K819" s="101"/>
      <c r="L819" s="101"/>
      <c r="M819" s="101"/>
      <c r="N819" s="101"/>
      <c r="O819" s="101"/>
      <c r="P819" s="101"/>
      <c r="Q819" s="101"/>
      <c r="R819" s="101"/>
      <c r="S819" s="110"/>
      <c r="T819" s="102"/>
      <c r="U819" s="101"/>
      <c r="V819" s="103"/>
      <c r="W819" s="101"/>
    </row>
    <row r="820" spans="1:23" x14ac:dyDescent="0.25">
      <c r="A820" s="98"/>
      <c r="H820" s="101"/>
      <c r="I820" s="101"/>
      <c r="J820" s="101"/>
      <c r="K820" s="101"/>
      <c r="L820" s="101"/>
      <c r="M820" s="101"/>
      <c r="N820" s="101"/>
      <c r="O820" s="101"/>
      <c r="P820" s="101"/>
      <c r="Q820" s="101"/>
      <c r="R820" s="101"/>
      <c r="S820" s="110"/>
      <c r="T820" s="102"/>
      <c r="U820" s="101"/>
      <c r="V820" s="103"/>
      <c r="W820" s="101"/>
    </row>
    <row r="821" spans="1:23" x14ac:dyDescent="0.25">
      <c r="A821" s="98"/>
      <c r="H821" s="101"/>
      <c r="I821" s="101"/>
      <c r="J821" s="101"/>
      <c r="K821" s="101"/>
      <c r="L821" s="101"/>
      <c r="M821" s="101"/>
      <c r="N821" s="101"/>
      <c r="O821" s="101"/>
      <c r="P821" s="101"/>
      <c r="Q821" s="101"/>
      <c r="R821" s="101"/>
      <c r="S821" s="110"/>
      <c r="T821" s="102"/>
      <c r="U821" s="101"/>
      <c r="V821" s="103"/>
      <c r="W821" s="101"/>
    </row>
    <row r="822" spans="1:23" x14ac:dyDescent="0.25">
      <c r="A822" s="98"/>
      <c r="H822" s="101"/>
      <c r="I822" s="101"/>
      <c r="J822" s="101"/>
      <c r="K822" s="101"/>
      <c r="L822" s="101"/>
      <c r="M822" s="101"/>
      <c r="N822" s="101"/>
      <c r="O822" s="101"/>
      <c r="P822" s="101"/>
      <c r="Q822" s="101"/>
      <c r="R822" s="101"/>
      <c r="S822" s="110"/>
      <c r="T822" s="102"/>
      <c r="U822" s="101"/>
      <c r="V822" s="103"/>
      <c r="W822" s="101"/>
    </row>
    <row r="823" spans="1:23" x14ac:dyDescent="0.25">
      <c r="A823" s="98"/>
      <c r="H823" s="101"/>
      <c r="I823" s="101"/>
      <c r="J823" s="101"/>
      <c r="K823" s="101"/>
      <c r="L823" s="101"/>
      <c r="M823" s="101"/>
      <c r="N823" s="101"/>
      <c r="O823" s="101"/>
      <c r="P823" s="101"/>
      <c r="Q823" s="101"/>
      <c r="R823" s="101"/>
      <c r="S823" s="110"/>
      <c r="T823" s="102"/>
      <c r="U823" s="101"/>
      <c r="V823" s="103"/>
      <c r="W823" s="101"/>
    </row>
    <row r="824" spans="1:23" x14ac:dyDescent="0.25">
      <c r="A824" s="98"/>
      <c r="H824" s="101"/>
      <c r="I824" s="101"/>
      <c r="J824" s="101"/>
      <c r="K824" s="101"/>
      <c r="L824" s="101"/>
      <c r="M824" s="101"/>
      <c r="N824" s="101"/>
      <c r="O824" s="101"/>
      <c r="P824" s="101"/>
      <c r="Q824" s="101"/>
      <c r="R824" s="101"/>
      <c r="S824" s="110"/>
      <c r="T824" s="102"/>
      <c r="U824" s="101"/>
      <c r="V824" s="103"/>
      <c r="W824" s="101"/>
    </row>
    <row r="825" spans="1:23" x14ac:dyDescent="0.25">
      <c r="A825" s="98"/>
      <c r="H825" s="101"/>
      <c r="I825" s="101"/>
      <c r="J825" s="101"/>
      <c r="K825" s="101"/>
      <c r="L825" s="101"/>
      <c r="M825" s="101"/>
      <c r="N825" s="101"/>
      <c r="O825" s="101"/>
      <c r="P825" s="101"/>
      <c r="Q825" s="101"/>
      <c r="R825" s="101"/>
      <c r="S825" s="110"/>
      <c r="T825" s="102"/>
      <c r="U825" s="101"/>
      <c r="V825" s="103"/>
      <c r="W825" s="101"/>
    </row>
    <row r="826" spans="1:23" x14ac:dyDescent="0.25">
      <c r="A826" s="98"/>
      <c r="H826" s="101"/>
      <c r="I826" s="101"/>
      <c r="J826" s="101"/>
      <c r="K826" s="101"/>
      <c r="L826" s="101"/>
      <c r="M826" s="101"/>
      <c r="N826" s="101"/>
      <c r="O826" s="101"/>
      <c r="P826" s="101"/>
      <c r="Q826" s="101"/>
      <c r="R826" s="101"/>
      <c r="S826" s="110"/>
      <c r="T826" s="102"/>
      <c r="U826" s="101"/>
      <c r="V826" s="103"/>
      <c r="W826" s="101"/>
    </row>
    <row r="827" spans="1:23" x14ac:dyDescent="0.25">
      <c r="A827" s="98"/>
      <c r="H827" s="101"/>
      <c r="I827" s="101"/>
      <c r="J827" s="101"/>
      <c r="K827" s="101"/>
      <c r="L827" s="101"/>
      <c r="M827" s="101"/>
      <c r="N827" s="101"/>
      <c r="O827" s="101"/>
      <c r="P827" s="101"/>
      <c r="Q827" s="101"/>
      <c r="R827" s="101"/>
      <c r="S827" s="110"/>
      <c r="T827" s="102"/>
      <c r="U827" s="101"/>
      <c r="V827" s="103"/>
      <c r="W827" s="101"/>
    </row>
    <row r="828" spans="1:23" x14ac:dyDescent="0.25">
      <c r="A828" s="98"/>
      <c r="H828" s="101"/>
      <c r="I828" s="101"/>
      <c r="J828" s="101"/>
      <c r="K828" s="101"/>
      <c r="L828" s="101"/>
      <c r="M828" s="101"/>
      <c r="N828" s="101"/>
      <c r="O828" s="101"/>
      <c r="P828" s="101"/>
      <c r="Q828" s="101"/>
      <c r="R828" s="101"/>
      <c r="S828" s="110"/>
      <c r="T828" s="102"/>
      <c r="U828" s="101"/>
      <c r="V828" s="103"/>
      <c r="W828" s="101"/>
    </row>
    <row r="829" spans="1:23" x14ac:dyDescent="0.25">
      <c r="A829" s="98"/>
      <c r="H829" s="101"/>
      <c r="I829" s="101"/>
      <c r="J829" s="101"/>
      <c r="K829" s="101"/>
      <c r="L829" s="101"/>
      <c r="M829" s="101"/>
      <c r="N829" s="101"/>
      <c r="O829" s="101"/>
      <c r="P829" s="101"/>
      <c r="Q829" s="101"/>
      <c r="R829" s="101"/>
      <c r="S829" s="110"/>
      <c r="T829" s="102"/>
      <c r="U829" s="101"/>
      <c r="V829" s="103"/>
      <c r="W829" s="101"/>
    </row>
    <row r="830" spans="1:23" x14ac:dyDescent="0.25">
      <c r="A830" s="98"/>
      <c r="H830" s="101"/>
      <c r="I830" s="101"/>
      <c r="J830" s="101"/>
      <c r="K830" s="101"/>
      <c r="L830" s="101"/>
      <c r="M830" s="101"/>
      <c r="N830" s="101"/>
      <c r="O830" s="101"/>
      <c r="P830" s="101"/>
      <c r="Q830" s="101"/>
      <c r="R830" s="101"/>
      <c r="S830" s="110"/>
      <c r="T830" s="102"/>
      <c r="U830" s="101"/>
      <c r="V830" s="103"/>
      <c r="W830" s="101"/>
    </row>
    <row r="831" spans="1:23" x14ac:dyDescent="0.25">
      <c r="A831" s="98"/>
      <c r="H831" s="101"/>
      <c r="I831" s="101"/>
      <c r="J831" s="101"/>
      <c r="K831" s="101"/>
      <c r="L831" s="101"/>
      <c r="M831" s="101"/>
      <c r="N831" s="101"/>
      <c r="O831" s="101"/>
      <c r="P831" s="101"/>
      <c r="Q831" s="101"/>
      <c r="R831" s="101"/>
      <c r="S831" s="110"/>
      <c r="T831" s="102"/>
      <c r="U831" s="101"/>
      <c r="V831" s="103"/>
      <c r="W831" s="101"/>
    </row>
    <row r="832" spans="1:23" x14ac:dyDescent="0.25">
      <c r="A832" s="98"/>
      <c r="H832" s="101"/>
      <c r="I832" s="101"/>
      <c r="J832" s="101"/>
      <c r="K832" s="101"/>
      <c r="L832" s="101"/>
      <c r="M832" s="101"/>
      <c r="N832" s="101"/>
      <c r="O832" s="101"/>
      <c r="P832" s="101"/>
      <c r="Q832" s="101"/>
      <c r="R832" s="101"/>
      <c r="S832" s="110"/>
      <c r="T832" s="102"/>
      <c r="U832" s="101"/>
      <c r="V832" s="103"/>
      <c r="W832" s="101"/>
    </row>
    <row r="833" spans="1:23" x14ac:dyDescent="0.25">
      <c r="A833" s="98"/>
      <c r="H833" s="101"/>
      <c r="I833" s="101"/>
      <c r="J833" s="101"/>
      <c r="K833" s="101"/>
      <c r="L833" s="101"/>
      <c r="M833" s="101"/>
      <c r="N833" s="101"/>
      <c r="O833" s="101"/>
      <c r="P833" s="101"/>
      <c r="Q833" s="101"/>
      <c r="R833" s="101"/>
      <c r="S833" s="110"/>
      <c r="T833" s="102"/>
      <c r="U833" s="101"/>
      <c r="V833" s="103"/>
      <c r="W833" s="101"/>
    </row>
    <row r="834" spans="1:23" x14ac:dyDescent="0.25">
      <c r="A834" s="98"/>
      <c r="H834" s="101"/>
      <c r="I834" s="101"/>
      <c r="J834" s="101"/>
      <c r="K834" s="101"/>
      <c r="L834" s="101"/>
      <c r="M834" s="101"/>
      <c r="N834" s="101"/>
      <c r="O834" s="101"/>
      <c r="P834" s="101"/>
      <c r="Q834" s="101"/>
      <c r="R834" s="101"/>
      <c r="S834" s="110"/>
      <c r="T834" s="102"/>
      <c r="U834" s="101"/>
      <c r="V834" s="103"/>
      <c r="W834" s="101"/>
    </row>
    <row r="835" spans="1:23" x14ac:dyDescent="0.25">
      <c r="A835" s="98"/>
      <c r="H835" s="101"/>
      <c r="I835" s="101"/>
      <c r="J835" s="101"/>
      <c r="K835" s="101"/>
      <c r="L835" s="101"/>
      <c r="M835" s="101"/>
      <c r="N835" s="101"/>
      <c r="O835" s="101"/>
      <c r="P835" s="101"/>
      <c r="Q835" s="101"/>
      <c r="R835" s="101"/>
      <c r="S835" s="110"/>
      <c r="T835" s="102"/>
      <c r="U835" s="101"/>
      <c r="V835" s="103"/>
      <c r="W835" s="101"/>
    </row>
    <row r="836" spans="1:23" x14ac:dyDescent="0.25">
      <c r="A836" s="98"/>
      <c r="H836" s="101"/>
      <c r="I836" s="101"/>
      <c r="J836" s="101"/>
      <c r="K836" s="101"/>
      <c r="L836" s="101"/>
      <c r="M836" s="101"/>
      <c r="N836" s="101"/>
      <c r="O836" s="101"/>
      <c r="P836" s="101"/>
      <c r="Q836" s="101"/>
      <c r="R836" s="101"/>
      <c r="S836" s="110"/>
      <c r="T836" s="102"/>
      <c r="U836" s="101"/>
      <c r="V836" s="103"/>
      <c r="W836" s="101"/>
    </row>
    <row r="837" spans="1:23" x14ac:dyDescent="0.25">
      <c r="A837" s="98"/>
      <c r="H837" s="101"/>
      <c r="I837" s="101"/>
      <c r="J837" s="101"/>
      <c r="K837" s="101"/>
      <c r="L837" s="101"/>
      <c r="M837" s="101"/>
      <c r="N837" s="101"/>
      <c r="O837" s="101"/>
      <c r="P837" s="101"/>
      <c r="Q837" s="101"/>
      <c r="R837" s="101"/>
      <c r="S837" s="110"/>
      <c r="T837" s="102"/>
      <c r="U837" s="101"/>
      <c r="V837" s="103"/>
      <c r="W837" s="101"/>
    </row>
    <row r="838" spans="1:23" x14ac:dyDescent="0.25">
      <c r="A838" s="98"/>
      <c r="H838" s="101"/>
      <c r="I838" s="101"/>
      <c r="J838" s="101"/>
      <c r="K838" s="101"/>
      <c r="L838" s="101"/>
      <c r="M838" s="101"/>
      <c r="N838" s="101"/>
      <c r="O838" s="101"/>
      <c r="P838" s="101"/>
      <c r="Q838" s="101"/>
      <c r="R838" s="101"/>
      <c r="S838" s="110"/>
      <c r="T838" s="102"/>
      <c r="U838" s="101"/>
      <c r="V838" s="103"/>
      <c r="W838" s="101"/>
    </row>
    <row r="839" spans="1:23" x14ac:dyDescent="0.25">
      <c r="A839" s="98"/>
      <c r="H839" s="101"/>
      <c r="I839" s="101"/>
      <c r="J839" s="101"/>
      <c r="K839" s="101"/>
      <c r="L839" s="101"/>
      <c r="M839" s="101"/>
      <c r="N839" s="101"/>
      <c r="O839" s="101"/>
      <c r="P839" s="101"/>
      <c r="Q839" s="101"/>
      <c r="R839" s="101"/>
      <c r="S839" s="110"/>
      <c r="T839" s="102"/>
      <c r="U839" s="101"/>
      <c r="V839" s="103"/>
      <c r="W839" s="101"/>
    </row>
    <row r="840" spans="1:23" x14ac:dyDescent="0.25">
      <c r="A840" s="98"/>
      <c r="H840" s="101"/>
      <c r="I840" s="101"/>
      <c r="J840" s="101"/>
      <c r="K840" s="101"/>
      <c r="L840" s="101"/>
      <c r="M840" s="101"/>
      <c r="N840" s="101"/>
      <c r="O840" s="101"/>
      <c r="P840" s="101"/>
      <c r="Q840" s="101"/>
      <c r="R840" s="101"/>
      <c r="S840" s="110"/>
      <c r="T840" s="102"/>
      <c r="U840" s="101"/>
      <c r="V840" s="103"/>
      <c r="W840" s="101"/>
    </row>
    <row r="841" spans="1:23" x14ac:dyDescent="0.25">
      <c r="A841" s="98"/>
      <c r="H841" s="101"/>
      <c r="I841" s="101"/>
      <c r="J841" s="101"/>
      <c r="K841" s="101"/>
      <c r="L841" s="101"/>
      <c r="M841" s="101"/>
      <c r="N841" s="101"/>
      <c r="O841" s="101"/>
      <c r="P841" s="101"/>
      <c r="Q841" s="101"/>
      <c r="R841" s="101"/>
      <c r="S841" s="110"/>
      <c r="T841" s="102"/>
      <c r="U841" s="101"/>
      <c r="V841" s="103"/>
      <c r="W841" s="101"/>
    </row>
    <row r="842" spans="1:23" x14ac:dyDescent="0.25">
      <c r="A842" s="98"/>
      <c r="H842" s="101"/>
      <c r="I842" s="101"/>
      <c r="J842" s="101"/>
      <c r="K842" s="101"/>
      <c r="L842" s="101"/>
      <c r="M842" s="101"/>
      <c r="N842" s="101"/>
      <c r="O842" s="101"/>
      <c r="P842" s="101"/>
      <c r="Q842" s="101"/>
      <c r="R842" s="101"/>
      <c r="S842" s="110"/>
      <c r="T842" s="102"/>
      <c r="U842" s="101"/>
      <c r="V842" s="103"/>
      <c r="W842" s="101"/>
    </row>
    <row r="843" spans="1:23" x14ac:dyDescent="0.25">
      <c r="A843" s="98"/>
      <c r="H843" s="101"/>
      <c r="I843" s="101"/>
      <c r="J843" s="101"/>
      <c r="K843" s="101"/>
      <c r="L843" s="101"/>
      <c r="M843" s="101"/>
      <c r="N843" s="101"/>
      <c r="O843" s="101"/>
      <c r="P843" s="101"/>
      <c r="Q843" s="101"/>
      <c r="R843" s="101"/>
      <c r="S843" s="110"/>
      <c r="T843" s="102"/>
      <c r="U843" s="101"/>
      <c r="V843" s="103"/>
      <c r="W843" s="101"/>
    </row>
    <row r="844" spans="1:23" x14ac:dyDescent="0.25">
      <c r="A844" s="98"/>
      <c r="H844" s="101"/>
      <c r="I844" s="101"/>
      <c r="J844" s="101"/>
      <c r="K844" s="101"/>
      <c r="L844" s="101"/>
      <c r="M844" s="101"/>
      <c r="N844" s="101"/>
      <c r="O844" s="101"/>
      <c r="P844" s="101"/>
      <c r="Q844" s="101"/>
      <c r="R844" s="101"/>
      <c r="S844" s="110"/>
      <c r="T844" s="102"/>
      <c r="U844" s="101"/>
      <c r="V844" s="103"/>
      <c r="W844" s="101"/>
    </row>
    <row r="845" spans="1:23" x14ac:dyDescent="0.25">
      <c r="A845" s="98"/>
      <c r="H845" s="101"/>
      <c r="I845" s="101"/>
      <c r="J845" s="101"/>
      <c r="K845" s="101"/>
      <c r="L845" s="101"/>
      <c r="M845" s="101"/>
      <c r="N845" s="101"/>
      <c r="O845" s="101"/>
      <c r="P845" s="101"/>
      <c r="Q845" s="101"/>
      <c r="R845" s="101"/>
      <c r="S845" s="110"/>
      <c r="T845" s="102"/>
      <c r="U845" s="101"/>
      <c r="V845" s="103"/>
      <c r="W845" s="101"/>
    </row>
    <row r="846" spans="1:23" x14ac:dyDescent="0.25">
      <c r="A846" s="98"/>
      <c r="H846" s="101"/>
      <c r="I846" s="101"/>
      <c r="J846" s="101"/>
      <c r="K846" s="101"/>
      <c r="L846" s="101"/>
      <c r="M846" s="101"/>
      <c r="N846" s="101"/>
      <c r="O846" s="101"/>
      <c r="P846" s="101"/>
      <c r="Q846" s="101"/>
      <c r="R846" s="101"/>
      <c r="S846" s="110"/>
      <c r="T846" s="102"/>
      <c r="U846" s="101"/>
      <c r="V846" s="103"/>
      <c r="W846" s="101"/>
    </row>
    <row r="847" spans="1:23" x14ac:dyDescent="0.25">
      <c r="A847" s="98"/>
      <c r="H847" s="101"/>
      <c r="I847" s="101"/>
      <c r="J847" s="101"/>
      <c r="K847" s="101"/>
      <c r="L847" s="101"/>
      <c r="M847" s="101"/>
      <c r="N847" s="101"/>
      <c r="O847" s="101"/>
      <c r="P847" s="101"/>
      <c r="Q847" s="101"/>
      <c r="R847" s="101"/>
      <c r="S847" s="110"/>
      <c r="T847" s="102"/>
      <c r="U847" s="101"/>
      <c r="V847" s="103"/>
      <c r="W847" s="101"/>
    </row>
    <row r="848" spans="1:23" x14ac:dyDescent="0.25">
      <c r="A848" s="98"/>
      <c r="H848" s="101"/>
      <c r="I848" s="101"/>
      <c r="J848" s="101"/>
      <c r="K848" s="101"/>
      <c r="L848" s="101"/>
      <c r="M848" s="101"/>
      <c r="N848" s="101"/>
      <c r="O848" s="101"/>
      <c r="P848" s="101"/>
      <c r="Q848" s="101"/>
      <c r="R848" s="101"/>
      <c r="S848" s="110"/>
      <c r="T848" s="102"/>
      <c r="U848" s="101"/>
      <c r="V848" s="103"/>
      <c r="W848" s="101"/>
    </row>
    <row r="849" spans="1:23" x14ac:dyDescent="0.25">
      <c r="A849" s="98"/>
      <c r="H849" s="101"/>
      <c r="I849" s="101"/>
      <c r="J849" s="101"/>
      <c r="K849" s="101"/>
      <c r="L849" s="101"/>
      <c r="M849" s="101"/>
      <c r="N849" s="101"/>
      <c r="O849" s="101"/>
      <c r="P849" s="101"/>
      <c r="Q849" s="101"/>
      <c r="R849" s="101"/>
      <c r="S849" s="110"/>
      <c r="T849" s="102"/>
      <c r="U849" s="101"/>
      <c r="V849" s="103"/>
      <c r="W849" s="101"/>
    </row>
    <row r="850" spans="1:23" x14ac:dyDescent="0.25">
      <c r="A850" s="98"/>
      <c r="H850" s="101"/>
      <c r="I850" s="101"/>
      <c r="J850" s="101"/>
      <c r="K850" s="101"/>
      <c r="L850" s="101"/>
      <c r="M850" s="101"/>
      <c r="N850" s="101"/>
      <c r="O850" s="101"/>
      <c r="P850" s="101"/>
      <c r="Q850" s="101"/>
      <c r="R850" s="101"/>
      <c r="S850" s="110"/>
      <c r="T850" s="102"/>
      <c r="U850" s="101"/>
      <c r="V850" s="103"/>
      <c r="W850" s="101"/>
    </row>
    <row r="851" spans="1:23" x14ac:dyDescent="0.25">
      <c r="A851" s="98"/>
      <c r="H851" s="101"/>
      <c r="I851" s="101"/>
      <c r="J851" s="101"/>
      <c r="K851" s="101"/>
      <c r="L851" s="101"/>
      <c r="M851" s="101"/>
      <c r="N851" s="101"/>
      <c r="O851" s="101"/>
      <c r="P851" s="101"/>
      <c r="Q851" s="101"/>
      <c r="R851" s="101"/>
      <c r="S851" s="110"/>
      <c r="T851" s="102"/>
      <c r="U851" s="101"/>
      <c r="V851" s="103"/>
      <c r="W851" s="101"/>
    </row>
    <row r="852" spans="1:23" x14ac:dyDescent="0.25">
      <c r="A852" s="98"/>
      <c r="H852" s="101"/>
      <c r="I852" s="101"/>
      <c r="J852" s="101"/>
      <c r="K852" s="101"/>
      <c r="L852" s="101"/>
      <c r="M852" s="101"/>
      <c r="N852" s="101"/>
      <c r="O852" s="101"/>
      <c r="P852" s="101"/>
      <c r="Q852" s="101"/>
      <c r="R852" s="101"/>
      <c r="S852" s="110"/>
      <c r="T852" s="102"/>
      <c r="U852" s="101"/>
      <c r="V852" s="103"/>
      <c r="W852" s="101"/>
    </row>
    <row r="853" spans="1:23" x14ac:dyDescent="0.25">
      <c r="A853" s="98"/>
      <c r="H853" s="101"/>
      <c r="I853" s="101"/>
      <c r="J853" s="101"/>
      <c r="K853" s="101"/>
      <c r="L853" s="101"/>
      <c r="M853" s="101"/>
      <c r="N853" s="101"/>
      <c r="O853" s="101"/>
      <c r="P853" s="101"/>
      <c r="Q853" s="101"/>
      <c r="R853" s="101"/>
      <c r="S853" s="110"/>
      <c r="T853" s="102"/>
      <c r="U853" s="101"/>
      <c r="V853" s="103"/>
      <c r="W853" s="101"/>
    </row>
    <row r="854" spans="1:23" x14ac:dyDescent="0.25">
      <c r="A854" s="98"/>
      <c r="H854" s="101"/>
      <c r="I854" s="101"/>
      <c r="J854" s="101"/>
      <c r="K854" s="101"/>
      <c r="L854" s="101"/>
      <c r="M854" s="101"/>
      <c r="N854" s="101"/>
      <c r="O854" s="101"/>
      <c r="P854" s="101"/>
      <c r="Q854" s="101"/>
      <c r="R854" s="101"/>
      <c r="S854" s="110"/>
      <c r="T854" s="102"/>
      <c r="U854" s="101"/>
      <c r="V854" s="103"/>
      <c r="W854" s="101"/>
    </row>
    <row r="855" spans="1:23" x14ac:dyDescent="0.25">
      <c r="A855" s="98"/>
      <c r="H855" s="101"/>
      <c r="I855" s="101"/>
      <c r="J855" s="101"/>
      <c r="K855" s="101"/>
      <c r="L855" s="101"/>
      <c r="M855" s="101"/>
      <c r="N855" s="101"/>
      <c r="O855" s="101"/>
      <c r="P855" s="101"/>
      <c r="Q855" s="101"/>
      <c r="R855" s="101"/>
      <c r="S855" s="110"/>
      <c r="T855" s="102"/>
      <c r="U855" s="101"/>
      <c r="V855" s="103"/>
      <c r="W855" s="101"/>
    </row>
    <row r="856" spans="1:23" x14ac:dyDescent="0.25">
      <c r="A856" s="98"/>
      <c r="H856" s="101"/>
      <c r="I856" s="101"/>
      <c r="J856" s="101"/>
      <c r="K856" s="101"/>
      <c r="L856" s="101"/>
      <c r="M856" s="101"/>
      <c r="N856" s="101"/>
      <c r="O856" s="101"/>
      <c r="P856" s="101"/>
      <c r="Q856" s="101"/>
      <c r="R856" s="101"/>
      <c r="S856" s="110"/>
      <c r="T856" s="102"/>
      <c r="U856" s="101"/>
      <c r="V856" s="103"/>
      <c r="W856" s="101"/>
    </row>
    <row r="857" spans="1:23" x14ac:dyDescent="0.25">
      <c r="A857" s="98"/>
      <c r="H857" s="101"/>
      <c r="I857" s="101"/>
      <c r="J857" s="101"/>
      <c r="K857" s="101"/>
      <c r="L857" s="101"/>
      <c r="M857" s="101"/>
      <c r="N857" s="101"/>
      <c r="O857" s="101"/>
      <c r="P857" s="101"/>
      <c r="Q857" s="101"/>
      <c r="R857" s="101"/>
      <c r="S857" s="110"/>
      <c r="T857" s="102"/>
      <c r="U857" s="101"/>
      <c r="V857" s="103"/>
      <c r="W857" s="101"/>
    </row>
    <row r="858" spans="1:23" x14ac:dyDescent="0.25">
      <c r="A858" s="98"/>
      <c r="H858" s="101"/>
      <c r="I858" s="101"/>
      <c r="J858" s="101"/>
      <c r="K858" s="101"/>
      <c r="L858" s="101"/>
      <c r="M858" s="101"/>
      <c r="N858" s="101"/>
      <c r="O858" s="101"/>
      <c r="P858" s="101"/>
      <c r="Q858" s="101"/>
      <c r="R858" s="101"/>
      <c r="S858" s="110"/>
      <c r="T858" s="102"/>
      <c r="U858" s="101"/>
      <c r="V858" s="103"/>
      <c r="W858" s="101"/>
    </row>
    <row r="859" spans="1:23" x14ac:dyDescent="0.25">
      <c r="A859" s="98"/>
      <c r="H859" s="101"/>
      <c r="I859" s="101"/>
      <c r="J859" s="101"/>
      <c r="K859" s="101"/>
      <c r="L859" s="101"/>
      <c r="M859" s="101"/>
      <c r="N859" s="101"/>
      <c r="O859" s="101"/>
      <c r="P859" s="101"/>
      <c r="Q859" s="101"/>
      <c r="R859" s="101"/>
      <c r="S859" s="110"/>
      <c r="T859" s="102"/>
      <c r="U859" s="101"/>
      <c r="V859" s="103"/>
      <c r="W859" s="101"/>
    </row>
    <row r="860" spans="1:23" x14ac:dyDescent="0.25">
      <c r="A860" s="98"/>
      <c r="H860" s="101"/>
      <c r="I860" s="101"/>
      <c r="J860" s="101"/>
      <c r="K860" s="101"/>
      <c r="L860" s="101"/>
      <c r="M860" s="101"/>
      <c r="N860" s="101"/>
      <c r="O860" s="101"/>
      <c r="P860" s="101"/>
      <c r="Q860" s="101"/>
      <c r="R860" s="101"/>
      <c r="S860" s="110"/>
      <c r="T860" s="102"/>
      <c r="U860" s="101"/>
      <c r="V860" s="103"/>
      <c r="W860" s="101"/>
    </row>
    <row r="861" spans="1:23" x14ac:dyDescent="0.25">
      <c r="A861" s="98"/>
      <c r="H861" s="101"/>
      <c r="I861" s="101"/>
      <c r="J861" s="101"/>
      <c r="K861" s="101"/>
      <c r="L861" s="101"/>
      <c r="M861" s="101"/>
      <c r="N861" s="101"/>
      <c r="O861" s="101"/>
      <c r="P861" s="101"/>
      <c r="Q861" s="101"/>
      <c r="R861" s="101"/>
      <c r="S861" s="110"/>
      <c r="T861" s="102"/>
      <c r="U861" s="101"/>
      <c r="V861" s="103"/>
      <c r="W861" s="101"/>
    </row>
    <row r="862" spans="1:23" x14ac:dyDescent="0.25">
      <c r="A862" s="98"/>
      <c r="H862" s="101"/>
      <c r="I862" s="101"/>
      <c r="J862" s="101"/>
      <c r="K862" s="101"/>
      <c r="L862" s="101"/>
      <c r="M862" s="101"/>
      <c r="N862" s="101"/>
      <c r="O862" s="101"/>
      <c r="P862" s="101"/>
      <c r="Q862" s="101"/>
      <c r="R862" s="101"/>
      <c r="S862" s="110"/>
      <c r="T862" s="102"/>
      <c r="U862" s="101"/>
      <c r="V862" s="103"/>
      <c r="W862" s="101"/>
    </row>
    <row r="863" spans="1:23" x14ac:dyDescent="0.25">
      <c r="A863" s="98"/>
      <c r="H863" s="101"/>
      <c r="I863" s="101"/>
      <c r="J863" s="101"/>
      <c r="K863" s="101"/>
      <c r="L863" s="101"/>
      <c r="M863" s="101"/>
      <c r="N863" s="101"/>
      <c r="O863" s="101"/>
      <c r="P863" s="101"/>
      <c r="Q863" s="101"/>
      <c r="R863" s="101"/>
      <c r="S863" s="110"/>
      <c r="T863" s="102"/>
      <c r="U863" s="101"/>
      <c r="V863" s="103"/>
      <c r="W863" s="101"/>
    </row>
    <row r="864" spans="1:23" x14ac:dyDescent="0.25">
      <c r="A864" s="98"/>
      <c r="H864" s="101"/>
      <c r="I864" s="101"/>
      <c r="J864" s="101"/>
      <c r="K864" s="101"/>
      <c r="L864" s="101"/>
      <c r="M864" s="101"/>
      <c r="N864" s="101"/>
      <c r="O864" s="101"/>
      <c r="P864" s="101"/>
      <c r="Q864" s="101"/>
      <c r="R864" s="101"/>
      <c r="S864" s="110"/>
      <c r="T864" s="102"/>
      <c r="U864" s="101"/>
      <c r="V864" s="103"/>
      <c r="W864" s="101"/>
    </row>
    <row r="865" spans="1:23" x14ac:dyDescent="0.25">
      <c r="A865" s="98"/>
      <c r="H865" s="101"/>
      <c r="I865" s="101"/>
      <c r="J865" s="101"/>
      <c r="K865" s="101"/>
      <c r="L865" s="101"/>
      <c r="M865" s="101"/>
      <c r="N865" s="101"/>
      <c r="O865" s="101"/>
      <c r="P865" s="101"/>
      <c r="Q865" s="101"/>
      <c r="R865" s="101"/>
      <c r="S865" s="110"/>
      <c r="T865" s="102"/>
      <c r="U865" s="101"/>
      <c r="V865" s="103"/>
      <c r="W865" s="101"/>
    </row>
    <row r="866" spans="1:23" x14ac:dyDescent="0.25">
      <c r="A866" s="98"/>
      <c r="H866" s="101"/>
      <c r="I866" s="101"/>
      <c r="J866" s="101"/>
      <c r="K866" s="101"/>
      <c r="L866" s="101"/>
      <c r="M866" s="101"/>
      <c r="N866" s="101"/>
      <c r="O866" s="101"/>
      <c r="P866" s="101"/>
      <c r="Q866" s="101"/>
      <c r="R866" s="101"/>
      <c r="S866" s="110"/>
      <c r="T866" s="102"/>
      <c r="U866" s="101"/>
      <c r="V866" s="103"/>
      <c r="W866" s="101"/>
    </row>
    <row r="867" spans="1:23" x14ac:dyDescent="0.25">
      <c r="A867" s="98"/>
      <c r="H867" s="101"/>
      <c r="I867" s="101"/>
      <c r="J867" s="101"/>
      <c r="K867" s="101"/>
      <c r="L867" s="101"/>
      <c r="M867" s="101"/>
      <c r="N867" s="101"/>
      <c r="O867" s="101"/>
      <c r="P867" s="101"/>
      <c r="Q867" s="101"/>
      <c r="R867" s="101"/>
      <c r="S867" s="110"/>
      <c r="T867" s="102"/>
      <c r="U867" s="101"/>
      <c r="V867" s="103"/>
      <c r="W867" s="101"/>
    </row>
    <row r="868" spans="1:23" x14ac:dyDescent="0.25">
      <c r="A868" s="98"/>
      <c r="H868" s="101"/>
      <c r="I868" s="101"/>
      <c r="J868" s="101"/>
      <c r="K868" s="101"/>
      <c r="L868" s="101"/>
      <c r="M868" s="101"/>
      <c r="N868" s="101"/>
      <c r="O868" s="101"/>
      <c r="P868" s="101"/>
      <c r="Q868" s="101"/>
      <c r="R868" s="101"/>
      <c r="S868" s="110"/>
      <c r="T868" s="102"/>
      <c r="U868" s="101"/>
      <c r="V868" s="103"/>
      <c r="W868" s="101"/>
    </row>
    <row r="869" spans="1:23" x14ac:dyDescent="0.25">
      <c r="A869" s="98"/>
      <c r="H869" s="101"/>
      <c r="I869" s="101"/>
      <c r="J869" s="101"/>
      <c r="K869" s="101"/>
      <c r="L869" s="101"/>
      <c r="M869" s="101"/>
      <c r="N869" s="101"/>
      <c r="O869" s="101"/>
      <c r="P869" s="101"/>
      <c r="Q869" s="101"/>
      <c r="R869" s="101"/>
      <c r="S869" s="110"/>
      <c r="T869" s="102"/>
      <c r="U869" s="101"/>
      <c r="V869" s="103"/>
      <c r="W869" s="101"/>
    </row>
    <row r="870" spans="1:23" x14ac:dyDescent="0.25">
      <c r="A870" s="98"/>
      <c r="H870" s="101"/>
      <c r="I870" s="101"/>
      <c r="J870" s="101"/>
      <c r="K870" s="101"/>
      <c r="L870" s="101"/>
      <c r="M870" s="101"/>
      <c r="N870" s="101"/>
      <c r="O870" s="101"/>
      <c r="P870" s="101"/>
      <c r="Q870" s="101"/>
      <c r="R870" s="101"/>
      <c r="S870" s="110"/>
      <c r="T870" s="102"/>
      <c r="U870" s="101"/>
      <c r="V870" s="103"/>
      <c r="W870" s="101"/>
    </row>
    <row r="871" spans="1:23" x14ac:dyDescent="0.25">
      <c r="A871" s="98"/>
      <c r="H871" s="101"/>
      <c r="I871" s="101"/>
      <c r="J871" s="101"/>
      <c r="K871" s="101"/>
      <c r="L871" s="101"/>
      <c r="M871" s="101"/>
      <c r="N871" s="101"/>
      <c r="O871" s="101"/>
      <c r="P871" s="101"/>
      <c r="Q871" s="101"/>
      <c r="R871" s="101"/>
      <c r="S871" s="110"/>
      <c r="T871" s="102"/>
      <c r="U871" s="101"/>
      <c r="V871" s="103"/>
      <c r="W871" s="101"/>
    </row>
    <row r="872" spans="1:23" x14ac:dyDescent="0.25">
      <c r="A872" s="98"/>
      <c r="H872" s="101"/>
      <c r="I872" s="101"/>
      <c r="J872" s="101"/>
      <c r="K872" s="101"/>
      <c r="L872" s="101"/>
      <c r="M872" s="101"/>
      <c r="N872" s="101"/>
      <c r="O872" s="101"/>
      <c r="P872" s="101"/>
      <c r="Q872" s="101"/>
      <c r="R872" s="101"/>
      <c r="S872" s="110"/>
      <c r="T872" s="102"/>
      <c r="U872" s="101"/>
      <c r="V872" s="103"/>
      <c r="W872" s="101"/>
    </row>
    <row r="873" spans="1:23" x14ac:dyDescent="0.25">
      <c r="A873" s="98"/>
      <c r="H873" s="101"/>
      <c r="I873" s="101"/>
      <c r="J873" s="101"/>
      <c r="K873" s="101"/>
      <c r="L873" s="101"/>
      <c r="M873" s="101"/>
      <c r="N873" s="101"/>
      <c r="O873" s="101"/>
      <c r="P873" s="101"/>
      <c r="Q873" s="101"/>
      <c r="R873" s="101"/>
      <c r="S873" s="110"/>
      <c r="T873" s="102"/>
      <c r="U873" s="101"/>
      <c r="V873" s="103"/>
      <c r="W873" s="101"/>
    </row>
    <row r="874" spans="1:23" x14ac:dyDescent="0.25">
      <c r="A874" s="98"/>
      <c r="H874" s="101"/>
      <c r="I874" s="101"/>
      <c r="J874" s="101"/>
      <c r="K874" s="101"/>
      <c r="L874" s="101"/>
      <c r="M874" s="101"/>
      <c r="N874" s="101"/>
      <c r="O874" s="101"/>
      <c r="P874" s="101"/>
      <c r="Q874" s="101"/>
      <c r="R874" s="101"/>
      <c r="S874" s="110"/>
      <c r="T874" s="102"/>
      <c r="U874" s="101"/>
      <c r="V874" s="103"/>
      <c r="W874" s="101"/>
    </row>
    <row r="875" spans="1:23" x14ac:dyDescent="0.25">
      <c r="A875" s="98"/>
      <c r="H875" s="101"/>
      <c r="I875" s="101"/>
      <c r="J875" s="101"/>
      <c r="K875" s="101"/>
      <c r="L875" s="101"/>
      <c r="M875" s="101"/>
      <c r="N875" s="101"/>
      <c r="O875" s="101"/>
      <c r="P875" s="101"/>
      <c r="Q875" s="101"/>
      <c r="R875" s="101"/>
      <c r="S875" s="110"/>
      <c r="T875" s="102"/>
      <c r="U875" s="101"/>
      <c r="V875" s="103"/>
      <c r="W875" s="101"/>
    </row>
    <row r="876" spans="1:23" x14ac:dyDescent="0.25">
      <c r="A876" s="98"/>
      <c r="H876" s="101"/>
      <c r="I876" s="101"/>
      <c r="J876" s="101"/>
      <c r="K876" s="101"/>
      <c r="L876" s="101"/>
      <c r="M876" s="101"/>
      <c r="N876" s="101"/>
      <c r="O876" s="101"/>
      <c r="P876" s="101"/>
      <c r="Q876" s="101"/>
      <c r="R876" s="101"/>
      <c r="S876" s="110"/>
      <c r="T876" s="102"/>
      <c r="U876" s="101"/>
      <c r="V876" s="103"/>
      <c r="W876" s="101"/>
    </row>
    <row r="877" spans="1:23" x14ac:dyDescent="0.25">
      <c r="A877" s="98"/>
      <c r="H877" s="101"/>
      <c r="I877" s="101"/>
      <c r="J877" s="101"/>
      <c r="K877" s="101"/>
      <c r="L877" s="101"/>
      <c r="M877" s="101"/>
      <c r="N877" s="101"/>
      <c r="O877" s="101"/>
      <c r="P877" s="101"/>
      <c r="Q877" s="101"/>
      <c r="R877" s="101"/>
      <c r="S877" s="110"/>
      <c r="T877" s="102"/>
      <c r="U877" s="101"/>
      <c r="V877" s="103"/>
      <c r="W877" s="101"/>
    </row>
    <row r="878" spans="1:23" x14ac:dyDescent="0.25">
      <c r="A878" s="98"/>
      <c r="H878" s="101"/>
      <c r="I878" s="101"/>
      <c r="J878" s="101"/>
      <c r="K878" s="101"/>
      <c r="L878" s="101"/>
      <c r="M878" s="101"/>
      <c r="N878" s="101"/>
      <c r="O878" s="101"/>
      <c r="P878" s="101"/>
      <c r="Q878" s="101"/>
      <c r="R878" s="101"/>
      <c r="S878" s="110"/>
      <c r="T878" s="102"/>
      <c r="U878" s="101"/>
      <c r="V878" s="103"/>
      <c r="W878" s="101"/>
    </row>
    <row r="879" spans="1:23" x14ac:dyDescent="0.25">
      <c r="A879" s="98"/>
      <c r="H879" s="101"/>
      <c r="I879" s="101"/>
      <c r="J879" s="101"/>
      <c r="K879" s="101"/>
      <c r="L879" s="101"/>
      <c r="M879" s="101"/>
      <c r="N879" s="101"/>
      <c r="O879" s="101"/>
      <c r="P879" s="101"/>
      <c r="Q879" s="101"/>
      <c r="R879" s="101"/>
      <c r="S879" s="110"/>
      <c r="T879" s="102"/>
      <c r="U879" s="101"/>
      <c r="V879" s="103"/>
      <c r="W879" s="101"/>
    </row>
    <row r="880" spans="1:23" x14ac:dyDescent="0.25">
      <c r="A880" s="98"/>
      <c r="H880" s="101"/>
      <c r="I880" s="101"/>
      <c r="J880" s="101"/>
      <c r="K880" s="101"/>
      <c r="L880" s="101"/>
      <c r="M880" s="101"/>
      <c r="N880" s="101"/>
      <c r="O880" s="101"/>
      <c r="P880" s="101"/>
      <c r="Q880" s="101"/>
      <c r="R880" s="101"/>
      <c r="S880" s="110"/>
      <c r="T880" s="102"/>
      <c r="U880" s="101"/>
      <c r="V880" s="103"/>
      <c r="W880" s="101"/>
    </row>
    <row r="881" spans="1:23" x14ac:dyDescent="0.25">
      <c r="A881" s="98"/>
      <c r="H881" s="101"/>
      <c r="I881" s="101"/>
      <c r="J881" s="101"/>
      <c r="K881" s="101"/>
      <c r="L881" s="101"/>
      <c r="M881" s="101"/>
      <c r="N881" s="101"/>
      <c r="O881" s="101"/>
      <c r="P881" s="101"/>
      <c r="Q881" s="101"/>
      <c r="R881" s="101"/>
      <c r="S881" s="110"/>
      <c r="T881" s="102"/>
      <c r="U881" s="101"/>
      <c r="V881" s="103"/>
      <c r="W881" s="101"/>
    </row>
    <row r="882" spans="1:23" x14ac:dyDescent="0.25">
      <c r="A882" s="98"/>
      <c r="H882" s="101"/>
      <c r="I882" s="101"/>
      <c r="J882" s="101"/>
      <c r="K882" s="101"/>
      <c r="L882" s="101"/>
      <c r="M882" s="101"/>
      <c r="N882" s="101"/>
      <c r="O882" s="101"/>
      <c r="P882" s="101"/>
      <c r="Q882" s="101"/>
      <c r="R882" s="101"/>
      <c r="S882" s="110"/>
      <c r="T882" s="102"/>
      <c r="U882" s="101"/>
      <c r="V882" s="103"/>
      <c r="W882" s="101"/>
    </row>
    <row r="883" spans="1:23" x14ac:dyDescent="0.25">
      <c r="A883" s="98"/>
      <c r="H883" s="101"/>
      <c r="I883" s="101"/>
      <c r="J883" s="101"/>
      <c r="K883" s="101"/>
      <c r="L883" s="101"/>
      <c r="M883" s="101"/>
      <c r="N883" s="101"/>
      <c r="O883" s="101"/>
      <c r="P883" s="101"/>
      <c r="Q883" s="101"/>
      <c r="R883" s="101"/>
      <c r="S883" s="110"/>
      <c r="T883" s="102"/>
      <c r="U883" s="101"/>
      <c r="V883" s="103"/>
      <c r="W883" s="101"/>
    </row>
    <row r="884" spans="1:23" x14ac:dyDescent="0.25">
      <c r="A884" s="98"/>
      <c r="H884" s="101"/>
      <c r="I884" s="101"/>
      <c r="J884" s="101"/>
      <c r="K884" s="101"/>
      <c r="L884" s="101"/>
      <c r="M884" s="101"/>
      <c r="N884" s="101"/>
      <c r="O884" s="101"/>
      <c r="P884" s="101"/>
      <c r="Q884" s="101"/>
      <c r="R884" s="101"/>
      <c r="S884" s="110"/>
      <c r="T884" s="102"/>
      <c r="U884" s="101"/>
      <c r="V884" s="103"/>
      <c r="W884" s="101"/>
    </row>
    <row r="885" spans="1:23" x14ac:dyDescent="0.25">
      <c r="A885" s="98"/>
      <c r="H885" s="101"/>
      <c r="I885" s="101"/>
      <c r="J885" s="101"/>
      <c r="K885" s="101"/>
      <c r="L885" s="101"/>
      <c r="M885" s="101"/>
      <c r="N885" s="101"/>
      <c r="O885" s="101"/>
      <c r="P885" s="101"/>
      <c r="Q885" s="101"/>
      <c r="R885" s="101"/>
      <c r="S885" s="110"/>
      <c r="T885" s="102"/>
      <c r="U885" s="101"/>
      <c r="V885" s="103"/>
      <c r="W885" s="101"/>
    </row>
    <row r="886" spans="1:23" x14ac:dyDescent="0.25">
      <c r="A886" s="98"/>
      <c r="H886" s="101"/>
      <c r="I886" s="101"/>
      <c r="J886" s="101"/>
      <c r="K886" s="101"/>
      <c r="L886" s="101"/>
      <c r="M886" s="101"/>
      <c r="N886" s="101"/>
      <c r="O886" s="101"/>
      <c r="P886" s="101"/>
      <c r="Q886" s="101"/>
      <c r="R886" s="101"/>
      <c r="S886" s="110"/>
      <c r="T886" s="102"/>
      <c r="U886" s="101"/>
      <c r="V886" s="103"/>
      <c r="W886" s="101"/>
    </row>
    <row r="887" spans="1:23" x14ac:dyDescent="0.25">
      <c r="A887" s="98"/>
      <c r="H887" s="101"/>
      <c r="I887" s="101"/>
      <c r="J887" s="101"/>
      <c r="K887" s="101"/>
      <c r="L887" s="101"/>
      <c r="M887" s="101"/>
      <c r="N887" s="101"/>
      <c r="O887" s="101"/>
      <c r="P887" s="101"/>
      <c r="Q887" s="101"/>
      <c r="R887" s="101"/>
      <c r="S887" s="110"/>
      <c r="T887" s="102"/>
      <c r="U887" s="101"/>
      <c r="V887" s="103"/>
      <c r="W887" s="101"/>
    </row>
    <row r="888" spans="1:23" x14ac:dyDescent="0.25">
      <c r="A888" s="98"/>
      <c r="H888" s="101"/>
      <c r="I888" s="101"/>
      <c r="J888" s="101"/>
      <c r="K888" s="101"/>
      <c r="L888" s="101"/>
      <c r="M888" s="101"/>
      <c r="N888" s="101"/>
      <c r="O888" s="101"/>
      <c r="P888" s="101"/>
      <c r="Q888" s="101"/>
      <c r="R888" s="101"/>
      <c r="S888" s="110"/>
      <c r="T888" s="102"/>
      <c r="U888" s="101"/>
      <c r="V888" s="103"/>
      <c r="W888" s="101"/>
    </row>
    <row r="889" spans="1:23" x14ac:dyDescent="0.25">
      <c r="A889" s="98"/>
      <c r="H889" s="101"/>
      <c r="I889" s="101"/>
      <c r="J889" s="101"/>
      <c r="K889" s="101"/>
      <c r="L889" s="101"/>
      <c r="M889" s="101"/>
      <c r="N889" s="101"/>
      <c r="O889" s="101"/>
      <c r="P889" s="101"/>
      <c r="Q889" s="101"/>
      <c r="R889" s="101"/>
      <c r="S889" s="110"/>
      <c r="T889" s="102"/>
      <c r="U889" s="101"/>
      <c r="V889" s="103"/>
      <c r="W889" s="101"/>
    </row>
    <row r="890" spans="1:23" x14ac:dyDescent="0.25">
      <c r="A890" s="98"/>
      <c r="H890" s="101"/>
      <c r="I890" s="101"/>
      <c r="J890" s="101"/>
      <c r="K890" s="101"/>
      <c r="L890" s="101"/>
      <c r="M890" s="101"/>
      <c r="N890" s="101"/>
      <c r="O890" s="101"/>
      <c r="P890" s="101"/>
      <c r="Q890" s="101"/>
      <c r="R890" s="101"/>
      <c r="S890" s="110"/>
      <c r="T890" s="102"/>
      <c r="U890" s="101"/>
      <c r="V890" s="103"/>
      <c r="W890" s="101"/>
    </row>
    <row r="891" spans="1:23" x14ac:dyDescent="0.25">
      <c r="A891" s="98"/>
      <c r="H891" s="101"/>
      <c r="I891" s="101"/>
      <c r="J891" s="101"/>
      <c r="K891" s="101"/>
      <c r="L891" s="101"/>
      <c r="M891" s="101"/>
      <c r="N891" s="101"/>
      <c r="O891" s="101"/>
      <c r="P891" s="101"/>
      <c r="Q891" s="101"/>
      <c r="R891" s="101"/>
      <c r="S891" s="110"/>
      <c r="T891" s="102"/>
      <c r="U891" s="101"/>
      <c r="V891" s="103"/>
      <c r="W891" s="101"/>
    </row>
    <row r="892" spans="1:23" x14ac:dyDescent="0.25">
      <c r="A892" s="98"/>
      <c r="H892" s="101"/>
      <c r="I892" s="101"/>
      <c r="J892" s="101"/>
      <c r="K892" s="101"/>
      <c r="L892" s="101"/>
      <c r="M892" s="101"/>
      <c r="N892" s="101"/>
      <c r="O892" s="101"/>
      <c r="P892" s="101"/>
      <c r="Q892" s="101"/>
      <c r="R892" s="101"/>
      <c r="S892" s="110"/>
      <c r="T892" s="102"/>
      <c r="U892" s="101"/>
      <c r="V892" s="103"/>
      <c r="W892" s="101"/>
    </row>
    <row r="893" spans="1:23" x14ac:dyDescent="0.25">
      <c r="A893" s="98"/>
      <c r="H893" s="101"/>
      <c r="I893" s="101"/>
      <c r="J893" s="101"/>
      <c r="K893" s="101"/>
      <c r="L893" s="101"/>
      <c r="M893" s="101"/>
      <c r="N893" s="101"/>
      <c r="O893" s="101"/>
      <c r="P893" s="101"/>
      <c r="Q893" s="101"/>
      <c r="R893" s="101"/>
      <c r="S893" s="110"/>
      <c r="T893" s="102"/>
      <c r="U893" s="101"/>
      <c r="V893" s="103"/>
      <c r="W893" s="101"/>
    </row>
    <row r="894" spans="1:23" x14ac:dyDescent="0.25">
      <c r="A894" s="98"/>
      <c r="H894" s="101"/>
      <c r="I894" s="101"/>
      <c r="J894" s="101"/>
      <c r="K894" s="101"/>
      <c r="L894" s="101"/>
      <c r="M894" s="101"/>
      <c r="N894" s="101"/>
      <c r="O894" s="101"/>
      <c r="P894" s="101"/>
      <c r="Q894" s="101"/>
      <c r="R894" s="101"/>
      <c r="S894" s="110"/>
      <c r="T894" s="102"/>
      <c r="U894" s="101"/>
      <c r="V894" s="103"/>
      <c r="W894" s="101"/>
    </row>
    <row r="895" spans="1:23" x14ac:dyDescent="0.25">
      <c r="A895" s="98"/>
      <c r="H895" s="101"/>
      <c r="I895" s="101"/>
      <c r="J895" s="101"/>
      <c r="K895" s="101"/>
      <c r="L895" s="101"/>
      <c r="M895" s="101"/>
      <c r="N895" s="101"/>
      <c r="O895" s="101"/>
      <c r="P895" s="101"/>
      <c r="Q895" s="101"/>
      <c r="R895" s="101"/>
      <c r="S895" s="110"/>
      <c r="T895" s="102"/>
      <c r="U895" s="101"/>
      <c r="V895" s="103"/>
      <c r="W895" s="101"/>
    </row>
    <row r="896" spans="1:23" x14ac:dyDescent="0.25">
      <c r="A896" s="98"/>
      <c r="H896" s="101"/>
      <c r="I896" s="101"/>
      <c r="J896" s="101"/>
      <c r="K896" s="101"/>
      <c r="L896" s="101"/>
      <c r="M896" s="101"/>
      <c r="N896" s="101"/>
      <c r="O896" s="101"/>
      <c r="P896" s="101"/>
      <c r="Q896" s="101"/>
      <c r="R896" s="101"/>
      <c r="S896" s="110"/>
      <c r="T896" s="102"/>
      <c r="U896" s="101"/>
      <c r="V896" s="103"/>
      <c r="W896" s="101"/>
    </row>
    <row r="897" spans="1:23" x14ac:dyDescent="0.25">
      <c r="A897" s="98"/>
      <c r="H897" s="101"/>
      <c r="I897" s="101"/>
      <c r="J897" s="101"/>
      <c r="K897" s="101"/>
      <c r="L897" s="101"/>
      <c r="M897" s="101"/>
      <c r="N897" s="101"/>
      <c r="O897" s="101"/>
      <c r="P897" s="101"/>
      <c r="Q897" s="101"/>
      <c r="R897" s="101"/>
      <c r="S897" s="110"/>
      <c r="T897" s="102"/>
      <c r="U897" s="101"/>
      <c r="V897" s="103"/>
      <c r="W897" s="101"/>
    </row>
    <row r="898" spans="1:23" x14ac:dyDescent="0.25">
      <c r="A898" s="98"/>
      <c r="H898" s="101"/>
      <c r="I898" s="101"/>
      <c r="J898" s="101"/>
      <c r="K898" s="101"/>
      <c r="L898" s="101"/>
      <c r="M898" s="101"/>
      <c r="N898" s="101"/>
      <c r="O898" s="101"/>
      <c r="P898" s="101"/>
      <c r="Q898" s="101"/>
      <c r="R898" s="101"/>
      <c r="S898" s="110"/>
      <c r="T898" s="102"/>
      <c r="U898" s="101"/>
      <c r="V898" s="103"/>
      <c r="W898" s="101"/>
    </row>
    <row r="899" spans="1:23" x14ac:dyDescent="0.25">
      <c r="A899" s="98"/>
      <c r="H899" s="101"/>
      <c r="I899" s="101"/>
      <c r="J899" s="101"/>
      <c r="K899" s="101"/>
      <c r="L899" s="101"/>
      <c r="M899" s="101"/>
      <c r="N899" s="101"/>
      <c r="O899" s="101"/>
      <c r="P899" s="101"/>
      <c r="Q899" s="101"/>
      <c r="R899" s="101"/>
      <c r="S899" s="110"/>
      <c r="T899" s="102"/>
      <c r="U899" s="101"/>
      <c r="V899" s="103"/>
      <c r="W899" s="101"/>
    </row>
    <row r="900" spans="1:23" x14ac:dyDescent="0.25">
      <c r="A900" s="98"/>
      <c r="H900" s="101"/>
      <c r="I900" s="101"/>
      <c r="J900" s="101"/>
      <c r="K900" s="101"/>
      <c r="L900" s="101"/>
      <c r="M900" s="101"/>
      <c r="N900" s="101"/>
      <c r="O900" s="101"/>
      <c r="P900" s="101"/>
      <c r="Q900" s="101"/>
      <c r="R900" s="101"/>
      <c r="S900" s="110"/>
      <c r="T900" s="102"/>
      <c r="U900" s="101"/>
      <c r="V900" s="103"/>
      <c r="W900" s="101"/>
    </row>
    <row r="901" spans="1:23" x14ac:dyDescent="0.25">
      <c r="A901" s="98"/>
      <c r="H901" s="101"/>
      <c r="I901" s="101"/>
      <c r="J901" s="101"/>
      <c r="K901" s="101"/>
      <c r="L901" s="101"/>
      <c r="M901" s="101"/>
      <c r="N901" s="101"/>
      <c r="O901" s="101"/>
      <c r="P901" s="101"/>
      <c r="Q901" s="101"/>
      <c r="R901" s="101"/>
      <c r="S901" s="110"/>
      <c r="T901" s="102"/>
      <c r="U901" s="101"/>
      <c r="V901" s="103"/>
      <c r="W901" s="101"/>
    </row>
    <row r="902" spans="1:23" x14ac:dyDescent="0.25">
      <c r="A902" s="98"/>
      <c r="H902" s="101"/>
      <c r="I902" s="101"/>
      <c r="J902" s="101"/>
      <c r="K902" s="101"/>
      <c r="L902" s="101"/>
      <c r="M902" s="101"/>
      <c r="N902" s="101"/>
      <c r="O902" s="101"/>
      <c r="P902" s="101"/>
      <c r="Q902" s="101"/>
      <c r="R902" s="101"/>
      <c r="S902" s="110"/>
      <c r="T902" s="102"/>
      <c r="U902" s="101"/>
      <c r="V902" s="103"/>
      <c r="W902" s="101"/>
    </row>
    <row r="903" spans="1:23" x14ac:dyDescent="0.25">
      <c r="A903" s="98"/>
      <c r="H903" s="101"/>
      <c r="I903" s="101"/>
      <c r="J903" s="101"/>
      <c r="K903" s="101"/>
      <c r="L903" s="101"/>
      <c r="M903" s="101"/>
      <c r="N903" s="101"/>
      <c r="O903" s="101"/>
      <c r="P903" s="101"/>
      <c r="Q903" s="101"/>
      <c r="R903" s="101"/>
      <c r="S903" s="110"/>
      <c r="T903" s="102"/>
      <c r="U903" s="101"/>
      <c r="V903" s="103"/>
      <c r="W903" s="101"/>
    </row>
    <row r="904" spans="1:23" x14ac:dyDescent="0.25">
      <c r="A904" s="98"/>
      <c r="H904" s="101"/>
      <c r="I904" s="101"/>
      <c r="J904" s="101"/>
      <c r="K904" s="101"/>
      <c r="L904" s="101"/>
      <c r="M904" s="101"/>
      <c r="N904" s="101"/>
      <c r="O904" s="101"/>
      <c r="P904" s="101"/>
      <c r="Q904" s="101"/>
      <c r="R904" s="101"/>
      <c r="S904" s="110"/>
      <c r="T904" s="102"/>
      <c r="U904" s="101"/>
      <c r="V904" s="103"/>
      <c r="W904" s="101"/>
    </row>
    <row r="905" spans="1:23" x14ac:dyDescent="0.25">
      <c r="A905" s="98"/>
      <c r="H905" s="101"/>
      <c r="I905" s="101"/>
      <c r="J905" s="101"/>
      <c r="K905" s="101"/>
      <c r="L905" s="101"/>
      <c r="M905" s="101"/>
      <c r="N905" s="101"/>
      <c r="O905" s="101"/>
      <c r="P905" s="101"/>
      <c r="Q905" s="101"/>
      <c r="R905" s="101"/>
      <c r="S905" s="110"/>
      <c r="T905" s="102"/>
      <c r="U905" s="101"/>
      <c r="V905" s="103"/>
      <c r="W905" s="101"/>
    </row>
    <row r="906" spans="1:23" x14ac:dyDescent="0.25">
      <c r="A906" s="98"/>
      <c r="H906" s="101"/>
      <c r="I906" s="101"/>
      <c r="J906" s="101"/>
      <c r="K906" s="101"/>
      <c r="L906" s="101"/>
      <c r="M906" s="101"/>
      <c r="N906" s="101"/>
      <c r="O906" s="101"/>
      <c r="P906" s="101"/>
      <c r="Q906" s="101"/>
      <c r="R906" s="101"/>
      <c r="S906" s="110"/>
      <c r="T906" s="102"/>
      <c r="U906" s="101"/>
      <c r="V906" s="103"/>
      <c r="W906" s="101"/>
    </row>
    <row r="907" spans="1:23" x14ac:dyDescent="0.25">
      <c r="A907" s="98"/>
      <c r="H907" s="101"/>
      <c r="I907" s="101"/>
      <c r="J907" s="101"/>
      <c r="K907" s="101"/>
      <c r="L907" s="101"/>
      <c r="M907" s="101"/>
      <c r="N907" s="101"/>
      <c r="O907" s="101"/>
      <c r="P907" s="101"/>
      <c r="Q907" s="101"/>
      <c r="R907" s="101"/>
      <c r="S907" s="110"/>
      <c r="T907" s="102"/>
      <c r="U907" s="101"/>
      <c r="V907" s="103"/>
      <c r="W907" s="101"/>
    </row>
    <row r="908" spans="1:23" x14ac:dyDescent="0.25">
      <c r="A908" s="98"/>
      <c r="H908" s="101"/>
      <c r="I908" s="101"/>
      <c r="J908" s="101"/>
      <c r="K908" s="101"/>
      <c r="L908" s="101"/>
      <c r="M908" s="101"/>
      <c r="N908" s="101"/>
      <c r="O908" s="101"/>
      <c r="P908" s="101"/>
      <c r="Q908" s="101"/>
      <c r="R908" s="101"/>
      <c r="S908" s="110"/>
      <c r="T908" s="102"/>
      <c r="U908" s="101"/>
      <c r="V908" s="103"/>
      <c r="W908" s="101"/>
    </row>
    <row r="909" spans="1:23" x14ac:dyDescent="0.25">
      <c r="A909" s="98"/>
      <c r="H909" s="101"/>
      <c r="I909" s="101"/>
      <c r="J909" s="101"/>
      <c r="K909" s="101"/>
      <c r="L909" s="101"/>
      <c r="M909" s="101"/>
      <c r="N909" s="101"/>
      <c r="O909" s="101"/>
      <c r="P909" s="101"/>
      <c r="Q909" s="101"/>
      <c r="R909" s="101"/>
      <c r="S909" s="110"/>
      <c r="T909" s="102"/>
      <c r="U909" s="101"/>
      <c r="V909" s="103"/>
      <c r="W909" s="101"/>
    </row>
    <row r="910" spans="1:23" x14ac:dyDescent="0.25">
      <c r="A910" s="98"/>
      <c r="H910" s="101"/>
      <c r="I910" s="101"/>
      <c r="J910" s="101"/>
      <c r="K910" s="101"/>
      <c r="L910" s="101"/>
      <c r="M910" s="101"/>
      <c r="N910" s="101"/>
      <c r="O910" s="101"/>
      <c r="P910" s="101"/>
      <c r="Q910" s="101"/>
      <c r="R910" s="101"/>
      <c r="S910" s="110"/>
      <c r="T910" s="102"/>
      <c r="U910" s="101"/>
      <c r="V910" s="103"/>
      <c r="W910" s="101"/>
    </row>
    <row r="911" spans="1:23" x14ac:dyDescent="0.25">
      <c r="A911" s="98"/>
      <c r="H911" s="101"/>
      <c r="I911" s="101"/>
      <c r="J911" s="101"/>
      <c r="K911" s="101"/>
      <c r="L911" s="101"/>
      <c r="M911" s="101"/>
      <c r="N911" s="101"/>
      <c r="O911" s="101"/>
      <c r="P911" s="101"/>
      <c r="Q911" s="101"/>
      <c r="R911" s="101"/>
      <c r="S911" s="110"/>
      <c r="T911" s="102"/>
      <c r="U911" s="101"/>
      <c r="V911" s="103"/>
      <c r="W911" s="101"/>
    </row>
    <row r="912" spans="1:23" x14ac:dyDescent="0.25">
      <c r="A912" s="98"/>
      <c r="H912" s="101"/>
      <c r="I912" s="101"/>
      <c r="J912" s="101"/>
      <c r="K912" s="101"/>
      <c r="L912" s="101"/>
      <c r="M912" s="101"/>
      <c r="N912" s="101"/>
      <c r="O912" s="101"/>
      <c r="P912" s="101"/>
      <c r="Q912" s="101"/>
      <c r="R912" s="101"/>
      <c r="S912" s="110"/>
      <c r="T912" s="102"/>
      <c r="U912" s="101"/>
      <c r="V912" s="103"/>
      <c r="W912" s="101"/>
    </row>
    <row r="913" spans="1:23" x14ac:dyDescent="0.25">
      <c r="A913" s="98"/>
      <c r="H913" s="101"/>
      <c r="I913" s="101"/>
      <c r="J913" s="101"/>
      <c r="K913" s="101"/>
      <c r="L913" s="101"/>
      <c r="M913" s="101"/>
      <c r="N913" s="101"/>
      <c r="O913" s="101"/>
      <c r="P913" s="101"/>
      <c r="Q913" s="101"/>
      <c r="R913" s="101"/>
      <c r="S913" s="110"/>
      <c r="T913" s="102"/>
      <c r="U913" s="101"/>
      <c r="V913" s="103"/>
      <c r="W913" s="101"/>
    </row>
    <row r="914" spans="1:23" x14ac:dyDescent="0.25">
      <c r="A914" s="98"/>
      <c r="H914" s="101"/>
      <c r="I914" s="101"/>
      <c r="J914" s="101"/>
      <c r="K914" s="101"/>
      <c r="L914" s="101"/>
      <c r="M914" s="101"/>
      <c r="N914" s="101"/>
      <c r="O914" s="101"/>
      <c r="P914" s="101"/>
      <c r="Q914" s="101"/>
      <c r="R914" s="101"/>
      <c r="S914" s="110"/>
      <c r="T914" s="102"/>
      <c r="U914" s="101"/>
      <c r="V914" s="103"/>
      <c r="W914" s="101"/>
    </row>
    <row r="915" spans="1:23" x14ac:dyDescent="0.25">
      <c r="A915" s="98"/>
      <c r="H915" s="101"/>
      <c r="I915" s="101"/>
      <c r="J915" s="101"/>
      <c r="K915" s="101"/>
      <c r="L915" s="101"/>
      <c r="M915" s="101"/>
      <c r="N915" s="101"/>
      <c r="O915" s="101"/>
      <c r="P915" s="101"/>
      <c r="Q915" s="101"/>
      <c r="R915" s="101"/>
      <c r="S915" s="110"/>
      <c r="T915" s="102"/>
      <c r="U915" s="101"/>
      <c r="V915" s="103"/>
      <c r="W915" s="101"/>
    </row>
    <row r="916" spans="1:23" x14ac:dyDescent="0.25">
      <c r="A916" s="98"/>
      <c r="H916" s="101"/>
      <c r="I916" s="101"/>
      <c r="J916" s="101"/>
      <c r="K916" s="101"/>
      <c r="L916" s="101"/>
      <c r="M916" s="101"/>
      <c r="N916" s="101"/>
      <c r="O916" s="101"/>
      <c r="P916" s="101"/>
      <c r="Q916" s="101"/>
      <c r="R916" s="101"/>
      <c r="S916" s="110"/>
      <c r="T916" s="102"/>
      <c r="U916" s="101"/>
      <c r="V916" s="103"/>
      <c r="W916" s="101"/>
    </row>
    <row r="917" spans="1:23" x14ac:dyDescent="0.25">
      <c r="A917" s="98"/>
      <c r="H917" s="101"/>
      <c r="I917" s="101"/>
      <c r="J917" s="101"/>
      <c r="K917" s="101"/>
      <c r="L917" s="101"/>
      <c r="M917" s="101"/>
      <c r="N917" s="101"/>
      <c r="O917" s="101"/>
      <c r="P917" s="101"/>
      <c r="Q917" s="101"/>
      <c r="R917" s="101"/>
      <c r="S917" s="110"/>
      <c r="T917" s="102"/>
      <c r="U917" s="101"/>
      <c r="V917" s="103"/>
      <c r="W917" s="101"/>
    </row>
    <row r="918" spans="1:23" x14ac:dyDescent="0.25">
      <c r="A918" s="98"/>
      <c r="H918" s="101"/>
      <c r="I918" s="101"/>
      <c r="J918" s="101"/>
      <c r="K918" s="101"/>
      <c r="L918" s="101"/>
      <c r="M918" s="101"/>
      <c r="N918" s="101"/>
      <c r="O918" s="101"/>
      <c r="P918" s="101"/>
      <c r="Q918" s="101"/>
      <c r="R918" s="101"/>
      <c r="S918" s="110"/>
      <c r="T918" s="102"/>
      <c r="U918" s="101"/>
      <c r="V918" s="103"/>
      <c r="W918" s="101"/>
    </row>
    <row r="919" spans="1:23" x14ac:dyDescent="0.25">
      <c r="A919" s="98"/>
      <c r="H919" s="101"/>
      <c r="I919" s="101"/>
      <c r="J919" s="101"/>
      <c r="K919" s="101"/>
      <c r="L919" s="101"/>
      <c r="M919" s="101"/>
      <c r="N919" s="101"/>
      <c r="O919" s="101"/>
      <c r="P919" s="101"/>
      <c r="Q919" s="101"/>
      <c r="R919" s="101"/>
      <c r="S919" s="110"/>
      <c r="T919" s="102"/>
      <c r="U919" s="101"/>
      <c r="V919" s="103"/>
      <c r="W919" s="101"/>
    </row>
    <row r="920" spans="1:23" x14ac:dyDescent="0.25">
      <c r="A920" s="98"/>
      <c r="H920" s="101"/>
      <c r="I920" s="101"/>
      <c r="J920" s="101"/>
      <c r="K920" s="101"/>
      <c r="L920" s="101"/>
      <c r="M920" s="101"/>
      <c r="N920" s="101"/>
      <c r="O920" s="101"/>
      <c r="P920" s="101"/>
      <c r="Q920" s="101"/>
      <c r="R920" s="101"/>
      <c r="S920" s="110"/>
      <c r="T920" s="102"/>
      <c r="U920" s="101"/>
      <c r="V920" s="103"/>
      <c r="W920" s="101"/>
    </row>
    <row r="921" spans="1:23" x14ac:dyDescent="0.25">
      <c r="A921" s="98"/>
      <c r="H921" s="101"/>
      <c r="I921" s="101"/>
      <c r="J921" s="101"/>
      <c r="K921" s="101"/>
      <c r="L921" s="101"/>
      <c r="M921" s="101"/>
      <c r="N921" s="101"/>
      <c r="O921" s="101"/>
      <c r="P921" s="101"/>
      <c r="Q921" s="101"/>
      <c r="R921" s="101"/>
      <c r="S921" s="110"/>
      <c r="T921" s="102"/>
      <c r="U921" s="101"/>
      <c r="V921" s="103"/>
      <c r="W921" s="101"/>
    </row>
    <row r="922" spans="1:23" x14ac:dyDescent="0.25">
      <c r="A922" s="98"/>
      <c r="H922" s="101"/>
      <c r="I922" s="101"/>
      <c r="J922" s="101"/>
      <c r="K922" s="101"/>
      <c r="L922" s="101"/>
      <c r="M922" s="101"/>
      <c r="N922" s="101"/>
      <c r="O922" s="101"/>
      <c r="P922" s="101"/>
      <c r="Q922" s="101"/>
      <c r="R922" s="101"/>
      <c r="S922" s="110"/>
      <c r="T922" s="102"/>
      <c r="U922" s="101"/>
      <c r="V922" s="103"/>
      <c r="W922" s="101"/>
    </row>
    <row r="923" spans="1:23" x14ac:dyDescent="0.25">
      <c r="A923" s="98"/>
      <c r="H923" s="101"/>
      <c r="I923" s="101"/>
      <c r="J923" s="101"/>
      <c r="K923" s="101"/>
      <c r="L923" s="101"/>
      <c r="M923" s="101"/>
      <c r="N923" s="101"/>
      <c r="O923" s="101"/>
      <c r="P923" s="101"/>
      <c r="Q923" s="101"/>
      <c r="R923" s="101"/>
      <c r="S923" s="110"/>
      <c r="T923" s="102"/>
      <c r="U923" s="101"/>
      <c r="V923" s="103"/>
      <c r="W923" s="101"/>
    </row>
    <row r="924" spans="1:23" x14ac:dyDescent="0.25">
      <c r="A924" s="98"/>
      <c r="H924" s="101"/>
      <c r="I924" s="101"/>
      <c r="J924" s="101"/>
      <c r="K924" s="101"/>
      <c r="L924" s="101"/>
      <c r="M924" s="101"/>
      <c r="N924" s="101"/>
      <c r="O924" s="101"/>
      <c r="P924" s="101"/>
      <c r="Q924" s="101"/>
      <c r="R924" s="101"/>
      <c r="S924" s="110"/>
      <c r="T924" s="102"/>
      <c r="U924" s="101"/>
      <c r="V924" s="103"/>
      <c r="W924" s="101"/>
    </row>
    <row r="925" spans="1:23" x14ac:dyDescent="0.25">
      <c r="A925" s="98"/>
      <c r="H925" s="101"/>
      <c r="I925" s="101"/>
      <c r="J925" s="101"/>
      <c r="K925" s="101"/>
      <c r="L925" s="101"/>
      <c r="M925" s="101"/>
      <c r="N925" s="101"/>
      <c r="O925" s="101"/>
      <c r="P925" s="101"/>
      <c r="Q925" s="101"/>
      <c r="R925" s="101"/>
      <c r="S925" s="110"/>
      <c r="T925" s="102"/>
      <c r="U925" s="101"/>
      <c r="V925" s="103"/>
      <c r="W925" s="101"/>
    </row>
    <row r="926" spans="1:23" x14ac:dyDescent="0.25">
      <c r="A926" s="98"/>
      <c r="H926" s="101"/>
      <c r="I926" s="101"/>
      <c r="J926" s="101"/>
      <c r="K926" s="101"/>
      <c r="L926" s="101"/>
      <c r="M926" s="101"/>
      <c r="N926" s="101"/>
      <c r="O926" s="101"/>
      <c r="P926" s="101"/>
      <c r="Q926" s="101"/>
      <c r="R926" s="101"/>
      <c r="S926" s="110"/>
      <c r="T926" s="102"/>
      <c r="U926" s="101"/>
      <c r="V926" s="103"/>
      <c r="W926" s="101"/>
    </row>
    <row r="927" spans="1:23" x14ac:dyDescent="0.25">
      <c r="A927" s="98"/>
      <c r="H927" s="101"/>
      <c r="I927" s="101"/>
      <c r="J927" s="101"/>
      <c r="K927" s="101"/>
      <c r="L927" s="101"/>
      <c r="M927" s="101"/>
      <c r="N927" s="101"/>
      <c r="O927" s="101"/>
      <c r="P927" s="101"/>
      <c r="Q927" s="101"/>
      <c r="R927" s="101"/>
      <c r="S927" s="110"/>
      <c r="T927" s="102"/>
      <c r="U927" s="101"/>
      <c r="V927" s="103"/>
      <c r="W927" s="101"/>
    </row>
    <row r="928" spans="1:23" x14ac:dyDescent="0.25">
      <c r="A928" s="98"/>
      <c r="H928" s="101"/>
      <c r="I928" s="101"/>
      <c r="J928" s="101"/>
      <c r="K928" s="101"/>
      <c r="L928" s="101"/>
      <c r="M928" s="101"/>
      <c r="N928" s="101"/>
      <c r="O928" s="101"/>
      <c r="P928" s="101"/>
      <c r="Q928" s="101"/>
      <c r="R928" s="101"/>
      <c r="S928" s="110"/>
      <c r="T928" s="102"/>
      <c r="U928" s="101"/>
      <c r="V928" s="103"/>
      <c r="W928" s="101"/>
    </row>
    <row r="929" spans="1:23" x14ac:dyDescent="0.25">
      <c r="A929" s="98"/>
      <c r="H929" s="101"/>
      <c r="I929" s="101"/>
      <c r="J929" s="101"/>
      <c r="K929" s="101"/>
      <c r="L929" s="101"/>
      <c r="M929" s="101"/>
      <c r="N929" s="101"/>
      <c r="O929" s="101"/>
      <c r="P929" s="101"/>
      <c r="Q929" s="101"/>
      <c r="R929" s="101"/>
      <c r="S929" s="110"/>
      <c r="T929" s="102"/>
      <c r="U929" s="101"/>
      <c r="V929" s="103"/>
      <c r="W929" s="101"/>
    </row>
    <row r="930" spans="1:23" x14ac:dyDescent="0.25">
      <c r="A930" s="98"/>
      <c r="H930" s="101"/>
      <c r="I930" s="101"/>
      <c r="J930" s="101"/>
      <c r="K930" s="101"/>
      <c r="L930" s="101"/>
      <c r="M930" s="101"/>
      <c r="N930" s="101"/>
      <c r="O930" s="101"/>
      <c r="P930" s="101"/>
      <c r="Q930" s="101"/>
      <c r="R930" s="101"/>
      <c r="S930" s="110"/>
      <c r="T930" s="102"/>
      <c r="U930" s="101"/>
      <c r="V930" s="103"/>
      <c r="W930" s="101"/>
    </row>
    <row r="931" spans="1:23" x14ac:dyDescent="0.25">
      <c r="A931" s="98"/>
      <c r="H931" s="101"/>
      <c r="I931" s="101"/>
      <c r="J931" s="101"/>
      <c r="K931" s="101"/>
      <c r="L931" s="101"/>
      <c r="M931" s="101"/>
      <c r="N931" s="101"/>
      <c r="O931" s="101"/>
      <c r="P931" s="101"/>
      <c r="Q931" s="101"/>
      <c r="R931" s="101"/>
      <c r="S931" s="110"/>
      <c r="T931" s="102"/>
      <c r="U931" s="101"/>
      <c r="V931" s="103"/>
      <c r="W931" s="101"/>
    </row>
    <row r="932" spans="1:23" x14ac:dyDescent="0.25">
      <c r="A932" s="98"/>
      <c r="H932" s="101"/>
      <c r="I932" s="101"/>
      <c r="J932" s="101"/>
      <c r="K932" s="101"/>
      <c r="L932" s="101"/>
      <c r="M932" s="101"/>
      <c r="N932" s="101"/>
      <c r="O932" s="101"/>
      <c r="P932" s="101"/>
      <c r="Q932" s="101"/>
      <c r="R932" s="101"/>
      <c r="S932" s="110"/>
      <c r="T932" s="102"/>
      <c r="U932" s="101"/>
      <c r="V932" s="103"/>
      <c r="W932" s="101"/>
    </row>
    <row r="933" spans="1:23" x14ac:dyDescent="0.25">
      <c r="A933" s="98"/>
      <c r="H933" s="101"/>
      <c r="I933" s="101"/>
      <c r="J933" s="101"/>
      <c r="K933" s="101"/>
      <c r="L933" s="101"/>
      <c r="M933" s="101"/>
      <c r="N933" s="101"/>
      <c r="O933" s="101"/>
      <c r="P933" s="101"/>
      <c r="Q933" s="101"/>
      <c r="R933" s="101"/>
      <c r="S933" s="110"/>
      <c r="T933" s="102"/>
      <c r="U933" s="101"/>
      <c r="V933" s="103"/>
      <c r="W933" s="101"/>
    </row>
    <row r="934" spans="1:23" x14ac:dyDescent="0.25">
      <c r="A934" s="98"/>
      <c r="H934" s="101"/>
      <c r="I934" s="101"/>
      <c r="J934" s="101"/>
      <c r="K934" s="101"/>
      <c r="L934" s="101"/>
      <c r="M934" s="101"/>
      <c r="N934" s="101"/>
      <c r="O934" s="101"/>
      <c r="P934" s="101"/>
      <c r="Q934" s="101"/>
      <c r="R934" s="101"/>
      <c r="S934" s="110"/>
      <c r="T934" s="102"/>
      <c r="U934" s="101"/>
      <c r="V934" s="103"/>
      <c r="W934" s="101"/>
    </row>
    <row r="935" spans="1:23" x14ac:dyDescent="0.25">
      <c r="A935" s="98"/>
      <c r="H935" s="101"/>
      <c r="I935" s="101"/>
      <c r="J935" s="101"/>
      <c r="K935" s="101"/>
      <c r="L935" s="101"/>
      <c r="M935" s="101"/>
      <c r="N935" s="101"/>
      <c r="O935" s="101"/>
      <c r="P935" s="101"/>
      <c r="Q935" s="101"/>
      <c r="R935" s="101"/>
      <c r="S935" s="110"/>
      <c r="T935" s="102"/>
      <c r="U935" s="101"/>
      <c r="V935" s="103"/>
      <c r="W935" s="101"/>
    </row>
    <row r="936" spans="1:23" x14ac:dyDescent="0.25">
      <c r="A936" s="98"/>
      <c r="H936" s="101"/>
      <c r="I936" s="101"/>
      <c r="J936" s="101"/>
      <c r="K936" s="101"/>
      <c r="L936" s="101"/>
      <c r="M936" s="101"/>
      <c r="N936" s="101"/>
      <c r="O936" s="101"/>
      <c r="P936" s="101"/>
      <c r="Q936" s="101"/>
      <c r="R936" s="101"/>
      <c r="S936" s="110"/>
      <c r="T936" s="102"/>
      <c r="U936" s="101"/>
      <c r="V936" s="103"/>
      <c r="W936" s="101"/>
    </row>
    <row r="937" spans="1:23" x14ac:dyDescent="0.25">
      <c r="A937" s="98"/>
      <c r="H937" s="101"/>
      <c r="I937" s="101"/>
      <c r="J937" s="101"/>
      <c r="K937" s="101"/>
      <c r="L937" s="101"/>
      <c r="M937" s="101"/>
      <c r="N937" s="101"/>
      <c r="O937" s="101"/>
      <c r="P937" s="101"/>
      <c r="Q937" s="101"/>
      <c r="R937" s="101"/>
      <c r="S937" s="110"/>
      <c r="T937" s="102"/>
      <c r="U937" s="101"/>
      <c r="V937" s="103"/>
      <c r="W937" s="101"/>
    </row>
    <row r="938" spans="1:23" x14ac:dyDescent="0.25">
      <c r="A938" s="98"/>
      <c r="H938" s="101"/>
      <c r="I938" s="101"/>
      <c r="J938" s="101"/>
      <c r="K938" s="101"/>
      <c r="L938" s="101"/>
      <c r="M938" s="101"/>
      <c r="N938" s="101"/>
      <c r="O938" s="101"/>
      <c r="P938" s="101"/>
      <c r="Q938" s="101"/>
      <c r="R938" s="101"/>
      <c r="S938" s="110"/>
      <c r="T938" s="102"/>
      <c r="U938" s="101"/>
      <c r="V938" s="103"/>
      <c r="W938" s="101"/>
    </row>
    <row r="939" spans="1:23" x14ac:dyDescent="0.25">
      <c r="A939" s="98"/>
      <c r="H939" s="101"/>
      <c r="I939" s="101"/>
      <c r="J939" s="101"/>
      <c r="K939" s="101"/>
      <c r="L939" s="101"/>
      <c r="M939" s="101"/>
      <c r="N939" s="101"/>
      <c r="O939" s="101"/>
      <c r="P939" s="101"/>
      <c r="Q939" s="101"/>
      <c r="R939" s="101"/>
      <c r="S939" s="110"/>
      <c r="T939" s="102"/>
      <c r="U939" s="101"/>
      <c r="V939" s="103"/>
      <c r="W939" s="101"/>
    </row>
    <row r="940" spans="1:23" x14ac:dyDescent="0.25">
      <c r="A940" s="98"/>
      <c r="H940" s="101"/>
      <c r="I940" s="101"/>
      <c r="J940" s="101"/>
      <c r="K940" s="101"/>
      <c r="L940" s="101"/>
      <c r="M940" s="101"/>
      <c r="N940" s="101"/>
      <c r="O940" s="101"/>
      <c r="P940" s="101"/>
      <c r="Q940" s="101"/>
      <c r="R940" s="101"/>
      <c r="S940" s="110"/>
      <c r="T940" s="102"/>
      <c r="U940" s="101"/>
      <c r="V940" s="103"/>
      <c r="W940" s="101"/>
    </row>
    <row r="941" spans="1:23" x14ac:dyDescent="0.25">
      <c r="A941" s="98"/>
      <c r="H941" s="101"/>
      <c r="I941" s="101"/>
      <c r="J941" s="101"/>
      <c r="K941" s="101"/>
      <c r="L941" s="101"/>
      <c r="M941" s="101"/>
      <c r="N941" s="101"/>
      <c r="O941" s="101"/>
      <c r="P941" s="101"/>
      <c r="Q941" s="101"/>
      <c r="R941" s="101"/>
      <c r="S941" s="110"/>
      <c r="T941" s="102"/>
      <c r="U941" s="101"/>
      <c r="V941" s="103"/>
      <c r="W941" s="101"/>
    </row>
    <row r="942" spans="1:23" x14ac:dyDescent="0.25">
      <c r="A942" s="98"/>
      <c r="H942" s="101"/>
      <c r="I942" s="101"/>
      <c r="J942" s="101"/>
      <c r="K942" s="101"/>
      <c r="L942" s="101"/>
      <c r="M942" s="101"/>
      <c r="N942" s="101"/>
      <c r="O942" s="101"/>
      <c r="P942" s="101"/>
      <c r="Q942" s="101"/>
      <c r="R942" s="101"/>
      <c r="S942" s="110"/>
      <c r="T942" s="102"/>
      <c r="U942" s="101"/>
      <c r="V942" s="103"/>
      <c r="W942" s="101"/>
    </row>
    <row r="943" spans="1:23" x14ac:dyDescent="0.25">
      <c r="A943" s="98"/>
      <c r="H943" s="101"/>
      <c r="I943" s="101"/>
      <c r="J943" s="101"/>
      <c r="K943" s="101"/>
      <c r="L943" s="101"/>
      <c r="M943" s="101"/>
      <c r="N943" s="101"/>
      <c r="O943" s="101"/>
      <c r="P943" s="101"/>
      <c r="Q943" s="101"/>
      <c r="R943" s="101"/>
      <c r="S943" s="110"/>
      <c r="T943" s="102"/>
      <c r="U943" s="101"/>
      <c r="V943" s="103"/>
      <c r="W943" s="101"/>
    </row>
    <row r="944" spans="1:23" x14ac:dyDescent="0.25">
      <c r="A944" s="98"/>
      <c r="H944" s="101"/>
      <c r="I944" s="101"/>
      <c r="J944" s="101"/>
      <c r="K944" s="101"/>
      <c r="L944" s="101"/>
      <c r="M944" s="101"/>
      <c r="N944" s="101"/>
      <c r="O944" s="101"/>
      <c r="P944" s="101"/>
      <c r="Q944" s="101"/>
      <c r="R944" s="101"/>
      <c r="S944" s="110"/>
      <c r="T944" s="102"/>
      <c r="U944" s="101"/>
      <c r="V944" s="103"/>
      <c r="W944" s="101"/>
    </row>
    <row r="945" spans="1:23" x14ac:dyDescent="0.25">
      <c r="A945" s="98"/>
      <c r="H945" s="101"/>
      <c r="I945" s="101"/>
      <c r="J945" s="101"/>
      <c r="K945" s="101"/>
      <c r="L945" s="101"/>
      <c r="M945" s="101"/>
      <c r="N945" s="101"/>
      <c r="O945" s="101"/>
      <c r="P945" s="101"/>
      <c r="Q945" s="101"/>
      <c r="R945" s="101"/>
      <c r="S945" s="110"/>
      <c r="T945" s="102"/>
      <c r="U945" s="101"/>
      <c r="V945" s="103"/>
      <c r="W945" s="101"/>
    </row>
    <row r="946" spans="1:23" x14ac:dyDescent="0.25">
      <c r="A946" s="98"/>
      <c r="H946" s="101"/>
      <c r="I946" s="101"/>
      <c r="J946" s="101"/>
      <c r="K946" s="101"/>
      <c r="L946" s="101"/>
      <c r="M946" s="101"/>
      <c r="N946" s="101"/>
      <c r="O946" s="101"/>
      <c r="P946" s="101"/>
      <c r="Q946" s="101"/>
      <c r="R946" s="101"/>
      <c r="S946" s="110"/>
      <c r="T946" s="102"/>
      <c r="U946" s="101"/>
      <c r="V946" s="103"/>
      <c r="W946" s="101"/>
    </row>
    <row r="947" spans="1:23" x14ac:dyDescent="0.25">
      <c r="A947" s="98"/>
      <c r="H947" s="101"/>
      <c r="I947" s="101"/>
      <c r="J947" s="101"/>
      <c r="K947" s="101"/>
      <c r="L947" s="101"/>
      <c r="M947" s="101"/>
      <c r="N947" s="101"/>
      <c r="O947" s="101"/>
      <c r="P947" s="101"/>
      <c r="Q947" s="101"/>
      <c r="R947" s="101"/>
      <c r="S947" s="110"/>
      <c r="T947" s="102"/>
      <c r="U947" s="101"/>
      <c r="V947" s="103"/>
      <c r="W947" s="101"/>
    </row>
    <row r="948" spans="1:23" x14ac:dyDescent="0.25">
      <c r="A948" s="98"/>
      <c r="H948" s="101"/>
      <c r="I948" s="101"/>
      <c r="J948" s="101"/>
      <c r="K948" s="101"/>
      <c r="L948" s="101"/>
      <c r="M948" s="101"/>
      <c r="N948" s="101"/>
      <c r="O948" s="101"/>
      <c r="P948" s="101"/>
      <c r="Q948" s="101"/>
      <c r="R948" s="101"/>
      <c r="S948" s="110"/>
      <c r="T948" s="102"/>
      <c r="U948" s="101"/>
      <c r="V948" s="103"/>
      <c r="W948" s="101"/>
    </row>
    <row r="949" spans="1:23" x14ac:dyDescent="0.25">
      <c r="A949" s="98"/>
      <c r="H949" s="101"/>
      <c r="I949" s="101"/>
      <c r="J949" s="101"/>
      <c r="K949" s="101"/>
      <c r="L949" s="101"/>
      <c r="M949" s="101"/>
      <c r="N949" s="101"/>
      <c r="O949" s="101"/>
      <c r="P949" s="101"/>
      <c r="Q949" s="101"/>
      <c r="R949" s="101"/>
      <c r="S949" s="110"/>
      <c r="T949" s="102"/>
      <c r="U949" s="101"/>
      <c r="V949" s="103"/>
      <c r="W949" s="101"/>
    </row>
    <row r="950" spans="1:23" x14ac:dyDescent="0.25">
      <c r="A950" s="98"/>
      <c r="H950" s="101"/>
      <c r="I950" s="101"/>
      <c r="J950" s="101"/>
      <c r="K950" s="101"/>
      <c r="L950" s="101"/>
      <c r="M950" s="101"/>
      <c r="N950" s="101"/>
      <c r="O950" s="101"/>
      <c r="P950" s="101"/>
      <c r="Q950" s="101"/>
      <c r="R950" s="101"/>
      <c r="S950" s="110"/>
      <c r="T950" s="102"/>
      <c r="U950" s="101"/>
      <c r="V950" s="103"/>
      <c r="W950" s="101"/>
    </row>
    <row r="951" spans="1:23" x14ac:dyDescent="0.25">
      <c r="A951" s="98"/>
      <c r="H951" s="101"/>
      <c r="I951" s="101"/>
      <c r="J951" s="101"/>
      <c r="K951" s="101"/>
      <c r="L951" s="101"/>
      <c r="M951" s="101"/>
      <c r="N951" s="101"/>
      <c r="O951" s="101"/>
      <c r="P951" s="101"/>
      <c r="Q951" s="101"/>
      <c r="R951" s="101"/>
      <c r="S951" s="110"/>
      <c r="T951" s="102"/>
      <c r="U951" s="101"/>
      <c r="V951" s="103"/>
      <c r="W951" s="101"/>
    </row>
    <row r="952" spans="1:23" x14ac:dyDescent="0.25">
      <c r="A952" s="98"/>
      <c r="H952" s="101"/>
      <c r="I952" s="101"/>
      <c r="J952" s="101"/>
      <c r="K952" s="101"/>
      <c r="L952" s="101"/>
      <c r="M952" s="101"/>
      <c r="N952" s="101"/>
      <c r="O952" s="101"/>
      <c r="P952" s="101"/>
      <c r="Q952" s="101"/>
      <c r="R952" s="101"/>
      <c r="S952" s="110"/>
      <c r="T952" s="102"/>
      <c r="U952" s="101"/>
      <c r="V952" s="103"/>
      <c r="W952" s="101"/>
    </row>
    <row r="953" spans="1:23" x14ac:dyDescent="0.25">
      <c r="A953" s="98"/>
      <c r="H953" s="101"/>
      <c r="I953" s="101"/>
      <c r="J953" s="101"/>
      <c r="K953" s="101"/>
      <c r="L953" s="101"/>
      <c r="M953" s="101"/>
      <c r="N953" s="101"/>
      <c r="O953" s="101"/>
      <c r="P953" s="101"/>
      <c r="Q953" s="101"/>
      <c r="R953" s="101"/>
      <c r="S953" s="110"/>
      <c r="T953" s="102"/>
      <c r="U953" s="101"/>
      <c r="V953" s="103"/>
      <c r="W953" s="101"/>
    </row>
    <row r="954" spans="1:23" x14ac:dyDescent="0.25">
      <c r="A954" s="98"/>
      <c r="H954" s="101"/>
      <c r="I954" s="101"/>
      <c r="J954" s="101"/>
      <c r="K954" s="101"/>
      <c r="L954" s="101"/>
      <c r="M954" s="101"/>
      <c r="N954" s="101"/>
      <c r="O954" s="101"/>
      <c r="P954" s="101"/>
      <c r="Q954" s="101"/>
      <c r="R954" s="101"/>
      <c r="S954" s="110"/>
      <c r="T954" s="102"/>
      <c r="U954" s="101"/>
      <c r="V954" s="103"/>
      <c r="W954" s="101"/>
    </row>
    <row r="955" spans="1:23" x14ac:dyDescent="0.25">
      <c r="A955" s="98"/>
      <c r="H955" s="101"/>
      <c r="I955" s="101"/>
      <c r="J955" s="101"/>
      <c r="K955" s="101"/>
      <c r="L955" s="101"/>
      <c r="M955" s="101"/>
      <c r="N955" s="101"/>
      <c r="O955" s="101"/>
      <c r="P955" s="101"/>
      <c r="Q955" s="101"/>
      <c r="R955" s="101"/>
      <c r="S955" s="110"/>
      <c r="T955" s="102"/>
      <c r="U955" s="101"/>
      <c r="V955" s="103"/>
      <c r="W955" s="101"/>
    </row>
    <row r="956" spans="1:23" x14ac:dyDescent="0.25">
      <c r="A956" s="98"/>
      <c r="H956" s="101"/>
      <c r="I956" s="101"/>
      <c r="J956" s="101"/>
      <c r="K956" s="101"/>
      <c r="L956" s="101"/>
      <c r="M956" s="101"/>
      <c r="N956" s="101"/>
      <c r="O956" s="101"/>
      <c r="P956" s="101"/>
      <c r="Q956" s="101"/>
      <c r="R956" s="101"/>
      <c r="S956" s="110"/>
      <c r="T956" s="102"/>
      <c r="U956" s="101"/>
      <c r="V956" s="103"/>
      <c r="W956" s="101"/>
    </row>
    <row r="957" spans="1:23" x14ac:dyDescent="0.25">
      <c r="A957" s="98"/>
      <c r="H957" s="101"/>
      <c r="I957" s="101"/>
      <c r="J957" s="101"/>
      <c r="K957" s="101"/>
      <c r="L957" s="101"/>
      <c r="M957" s="101"/>
      <c r="N957" s="101"/>
      <c r="O957" s="101"/>
      <c r="P957" s="101"/>
      <c r="Q957" s="101"/>
      <c r="R957" s="101"/>
      <c r="S957" s="110"/>
      <c r="T957" s="102"/>
      <c r="U957" s="101"/>
      <c r="V957" s="103"/>
      <c r="W957" s="101"/>
    </row>
    <row r="958" spans="1:23" x14ac:dyDescent="0.25">
      <c r="A958" s="98"/>
      <c r="H958" s="101"/>
      <c r="I958" s="101"/>
      <c r="J958" s="101"/>
      <c r="K958" s="101"/>
      <c r="L958" s="101"/>
      <c r="M958" s="101"/>
      <c r="N958" s="101"/>
      <c r="O958" s="101"/>
      <c r="P958" s="101"/>
      <c r="Q958" s="101"/>
      <c r="R958" s="101"/>
      <c r="S958" s="110"/>
      <c r="T958" s="102"/>
      <c r="U958" s="101"/>
      <c r="V958" s="103"/>
      <c r="W958" s="101"/>
    </row>
    <row r="959" spans="1:23" x14ac:dyDescent="0.25">
      <c r="A959" s="98"/>
      <c r="H959" s="101"/>
      <c r="I959" s="101"/>
      <c r="J959" s="101"/>
      <c r="K959" s="101"/>
      <c r="L959" s="101"/>
      <c r="M959" s="101"/>
      <c r="N959" s="101"/>
      <c r="O959" s="101"/>
      <c r="P959" s="101"/>
      <c r="Q959" s="101"/>
      <c r="R959" s="101"/>
      <c r="S959" s="110"/>
      <c r="T959" s="102"/>
      <c r="U959" s="101"/>
      <c r="V959" s="103"/>
      <c r="W959" s="101"/>
    </row>
    <row r="960" spans="1:23" x14ac:dyDescent="0.25">
      <c r="A960" s="98"/>
      <c r="H960" s="101"/>
      <c r="I960" s="101"/>
      <c r="J960" s="101"/>
      <c r="K960" s="101"/>
      <c r="L960" s="101"/>
      <c r="M960" s="101"/>
      <c r="N960" s="101"/>
      <c r="O960" s="101"/>
      <c r="P960" s="101"/>
      <c r="Q960" s="101"/>
      <c r="R960" s="101"/>
      <c r="S960" s="110"/>
      <c r="T960" s="102"/>
      <c r="U960" s="101"/>
      <c r="V960" s="103"/>
      <c r="W960" s="101"/>
    </row>
    <row r="961" spans="1:23" x14ac:dyDescent="0.25">
      <c r="A961" s="98"/>
      <c r="H961" s="101"/>
      <c r="I961" s="101"/>
      <c r="J961" s="101"/>
      <c r="K961" s="101"/>
      <c r="L961" s="101"/>
      <c r="M961" s="101"/>
      <c r="N961" s="101"/>
      <c r="O961" s="101"/>
      <c r="P961" s="101"/>
      <c r="Q961" s="101"/>
      <c r="R961" s="101"/>
      <c r="S961" s="110"/>
      <c r="T961" s="102"/>
      <c r="U961" s="101"/>
      <c r="V961" s="103"/>
      <c r="W961" s="101"/>
    </row>
    <row r="962" spans="1:23" x14ac:dyDescent="0.25">
      <c r="A962" s="98"/>
      <c r="H962" s="101"/>
      <c r="I962" s="101"/>
      <c r="J962" s="101"/>
      <c r="K962" s="101"/>
      <c r="L962" s="101"/>
      <c r="M962" s="101"/>
      <c r="N962" s="101"/>
      <c r="O962" s="101"/>
      <c r="P962" s="101"/>
      <c r="Q962" s="101"/>
      <c r="R962" s="101"/>
      <c r="S962" s="110"/>
      <c r="T962" s="102"/>
      <c r="U962" s="101"/>
      <c r="V962" s="103"/>
      <c r="W962" s="101"/>
    </row>
    <row r="963" spans="1:23" x14ac:dyDescent="0.25">
      <c r="A963" s="98"/>
      <c r="H963" s="101"/>
      <c r="I963" s="101"/>
      <c r="J963" s="101"/>
      <c r="K963" s="101"/>
      <c r="L963" s="101"/>
      <c r="M963" s="101"/>
      <c r="N963" s="101"/>
      <c r="O963" s="101"/>
      <c r="P963" s="101"/>
      <c r="Q963" s="101"/>
      <c r="R963" s="101"/>
      <c r="S963" s="110"/>
      <c r="T963" s="102"/>
      <c r="U963" s="101"/>
      <c r="V963" s="103"/>
      <c r="W963" s="101"/>
    </row>
    <row r="964" spans="1:23" x14ac:dyDescent="0.25">
      <c r="A964" s="98"/>
      <c r="H964" s="101"/>
      <c r="I964" s="101"/>
      <c r="J964" s="101"/>
      <c r="K964" s="101"/>
      <c r="L964" s="101"/>
      <c r="M964" s="101"/>
      <c r="N964" s="101"/>
      <c r="O964" s="101"/>
      <c r="P964" s="101"/>
      <c r="Q964" s="101"/>
      <c r="R964" s="101"/>
      <c r="S964" s="110"/>
      <c r="T964" s="102"/>
      <c r="U964" s="101"/>
      <c r="V964" s="103"/>
      <c r="W964" s="101"/>
    </row>
    <row r="965" spans="1:23" x14ac:dyDescent="0.25">
      <c r="A965" s="98"/>
      <c r="H965" s="101"/>
      <c r="I965" s="101"/>
      <c r="J965" s="101"/>
      <c r="K965" s="101"/>
      <c r="L965" s="101"/>
      <c r="M965" s="101"/>
      <c r="N965" s="101"/>
      <c r="O965" s="101"/>
      <c r="P965" s="101"/>
      <c r="Q965" s="101"/>
      <c r="R965" s="101"/>
      <c r="S965" s="110"/>
      <c r="T965" s="102"/>
      <c r="U965" s="101"/>
      <c r="V965" s="103"/>
      <c r="W965" s="101"/>
    </row>
    <row r="966" spans="1:23" x14ac:dyDescent="0.25">
      <c r="A966" s="98"/>
      <c r="H966" s="101"/>
      <c r="I966" s="101"/>
      <c r="J966" s="101"/>
      <c r="K966" s="101"/>
      <c r="L966" s="101"/>
      <c r="M966" s="101"/>
      <c r="N966" s="101"/>
      <c r="O966" s="101"/>
      <c r="P966" s="101"/>
      <c r="Q966" s="101"/>
      <c r="R966" s="101"/>
      <c r="S966" s="110"/>
      <c r="T966" s="102"/>
      <c r="U966" s="101"/>
      <c r="V966" s="103"/>
      <c r="W966" s="101"/>
    </row>
    <row r="967" spans="1:23" x14ac:dyDescent="0.25">
      <c r="A967" s="98"/>
      <c r="H967" s="101"/>
      <c r="I967" s="101"/>
      <c r="J967" s="101"/>
      <c r="K967" s="101"/>
      <c r="L967" s="101"/>
      <c r="M967" s="101"/>
      <c r="N967" s="101"/>
      <c r="O967" s="101"/>
      <c r="P967" s="101"/>
      <c r="Q967" s="101"/>
      <c r="R967" s="101"/>
      <c r="S967" s="110"/>
      <c r="T967" s="102"/>
      <c r="U967" s="101"/>
      <c r="V967" s="103"/>
      <c r="W967" s="101"/>
    </row>
    <row r="968" spans="1:23" x14ac:dyDescent="0.25">
      <c r="A968" s="98"/>
      <c r="H968" s="101"/>
      <c r="I968" s="101"/>
      <c r="J968" s="101"/>
      <c r="K968" s="101"/>
      <c r="L968" s="101"/>
      <c r="M968" s="101"/>
      <c r="N968" s="101"/>
      <c r="O968" s="101"/>
      <c r="P968" s="101"/>
      <c r="Q968" s="101"/>
      <c r="R968" s="101"/>
      <c r="S968" s="110"/>
      <c r="T968" s="102"/>
      <c r="U968" s="101"/>
      <c r="V968" s="103"/>
      <c r="W968" s="101"/>
    </row>
    <row r="969" spans="1:23" x14ac:dyDescent="0.25">
      <c r="A969" s="98"/>
      <c r="H969" s="101"/>
      <c r="I969" s="101"/>
      <c r="J969" s="101"/>
      <c r="K969" s="101"/>
      <c r="L969" s="101"/>
      <c r="M969" s="101"/>
      <c r="N969" s="101"/>
      <c r="O969" s="101"/>
      <c r="P969" s="101"/>
      <c r="Q969" s="101"/>
      <c r="R969" s="101"/>
      <c r="S969" s="110"/>
      <c r="T969" s="102"/>
      <c r="U969" s="101"/>
      <c r="V969" s="103"/>
      <c r="W969" s="101"/>
    </row>
    <row r="970" spans="1:23" x14ac:dyDescent="0.25">
      <c r="A970" s="98"/>
      <c r="H970" s="101"/>
      <c r="I970" s="101"/>
      <c r="J970" s="101"/>
      <c r="K970" s="101"/>
      <c r="L970" s="101"/>
      <c r="M970" s="101"/>
      <c r="N970" s="101"/>
      <c r="O970" s="101"/>
      <c r="P970" s="101"/>
      <c r="Q970" s="101"/>
      <c r="R970" s="101"/>
      <c r="S970" s="110"/>
      <c r="T970" s="102"/>
      <c r="U970" s="101"/>
      <c r="V970" s="103"/>
      <c r="W970" s="101"/>
    </row>
    <row r="971" spans="1:23" x14ac:dyDescent="0.25">
      <c r="A971" s="98"/>
      <c r="H971" s="101"/>
      <c r="I971" s="101"/>
      <c r="J971" s="101"/>
      <c r="K971" s="101"/>
      <c r="L971" s="101"/>
      <c r="M971" s="101"/>
      <c r="N971" s="101"/>
      <c r="O971" s="101"/>
      <c r="P971" s="101"/>
      <c r="Q971" s="101"/>
      <c r="R971" s="101"/>
      <c r="S971" s="110"/>
      <c r="T971" s="102"/>
      <c r="U971" s="101"/>
      <c r="V971" s="103"/>
      <c r="W971" s="101"/>
    </row>
    <row r="972" spans="1:23" x14ac:dyDescent="0.25">
      <c r="A972" s="98"/>
      <c r="H972" s="101"/>
      <c r="I972" s="101"/>
      <c r="J972" s="101"/>
      <c r="K972" s="101"/>
      <c r="L972" s="101"/>
      <c r="M972" s="101"/>
      <c r="N972" s="101"/>
      <c r="O972" s="101"/>
      <c r="P972" s="101"/>
      <c r="Q972" s="101"/>
      <c r="R972" s="101"/>
      <c r="S972" s="110"/>
      <c r="T972" s="102"/>
      <c r="U972" s="101"/>
      <c r="V972" s="103"/>
      <c r="W972" s="101"/>
    </row>
    <row r="973" spans="1:23" x14ac:dyDescent="0.25">
      <c r="A973" s="98"/>
      <c r="H973" s="101"/>
      <c r="I973" s="101"/>
      <c r="J973" s="101"/>
      <c r="K973" s="101"/>
      <c r="L973" s="101"/>
      <c r="M973" s="101"/>
      <c r="N973" s="101"/>
      <c r="O973" s="101"/>
      <c r="P973" s="101"/>
      <c r="Q973" s="101"/>
      <c r="R973" s="101"/>
      <c r="S973" s="110"/>
      <c r="T973" s="102"/>
      <c r="U973" s="101"/>
      <c r="V973" s="103"/>
      <c r="W973" s="101"/>
    </row>
    <row r="974" spans="1:23" x14ac:dyDescent="0.25">
      <c r="A974" s="98"/>
      <c r="H974" s="101"/>
      <c r="I974" s="101"/>
      <c r="J974" s="101"/>
      <c r="K974" s="101"/>
      <c r="L974" s="101"/>
      <c r="M974" s="101"/>
      <c r="N974" s="101"/>
      <c r="O974" s="101"/>
      <c r="P974" s="101"/>
      <c r="Q974" s="101"/>
      <c r="R974" s="101"/>
      <c r="S974" s="110"/>
      <c r="T974" s="102"/>
      <c r="U974" s="101"/>
      <c r="V974" s="103"/>
      <c r="W974" s="101"/>
    </row>
    <row r="975" spans="1:23" x14ac:dyDescent="0.25">
      <c r="A975" s="98"/>
      <c r="H975" s="101"/>
      <c r="I975" s="101"/>
      <c r="J975" s="101"/>
      <c r="K975" s="101"/>
      <c r="L975" s="101"/>
      <c r="M975" s="101"/>
      <c r="N975" s="101"/>
      <c r="O975" s="101"/>
      <c r="P975" s="101"/>
      <c r="Q975" s="101"/>
      <c r="R975" s="101"/>
      <c r="S975" s="110"/>
      <c r="T975" s="102"/>
      <c r="U975" s="101"/>
      <c r="V975" s="103"/>
      <c r="W975" s="101"/>
    </row>
    <row r="976" spans="1:23" x14ac:dyDescent="0.25">
      <c r="A976" s="98"/>
      <c r="H976" s="101"/>
      <c r="I976" s="101"/>
      <c r="J976" s="101"/>
      <c r="K976" s="101"/>
      <c r="L976" s="101"/>
      <c r="M976" s="101"/>
      <c r="N976" s="101"/>
      <c r="O976" s="101"/>
      <c r="P976" s="101"/>
      <c r="Q976" s="101"/>
      <c r="R976" s="101"/>
      <c r="S976" s="110"/>
      <c r="T976" s="102"/>
      <c r="U976" s="101"/>
      <c r="V976" s="103"/>
      <c r="W976" s="101"/>
    </row>
    <row r="977" spans="1:23" x14ac:dyDescent="0.25">
      <c r="A977" s="98"/>
      <c r="H977" s="101"/>
      <c r="I977" s="101"/>
      <c r="J977" s="101"/>
      <c r="K977" s="101"/>
      <c r="L977" s="101"/>
      <c r="M977" s="101"/>
      <c r="N977" s="101"/>
      <c r="O977" s="101"/>
      <c r="P977" s="101"/>
      <c r="Q977" s="101"/>
      <c r="R977" s="101"/>
      <c r="S977" s="110"/>
      <c r="T977" s="102"/>
      <c r="U977" s="101"/>
      <c r="V977" s="103"/>
      <c r="W977" s="101"/>
    </row>
    <row r="978" spans="1:23" x14ac:dyDescent="0.25">
      <c r="A978" s="98"/>
      <c r="H978" s="101"/>
      <c r="I978" s="101"/>
      <c r="J978" s="101"/>
      <c r="K978" s="101"/>
      <c r="L978" s="101"/>
      <c r="M978" s="101"/>
      <c r="N978" s="101"/>
      <c r="O978" s="101"/>
      <c r="P978" s="101"/>
      <c r="Q978" s="101"/>
      <c r="R978" s="101"/>
      <c r="S978" s="110"/>
      <c r="T978" s="102"/>
      <c r="U978" s="101"/>
      <c r="V978" s="103"/>
      <c r="W978" s="101"/>
    </row>
    <row r="979" spans="1:23" x14ac:dyDescent="0.25">
      <c r="A979" s="98"/>
      <c r="H979" s="101"/>
      <c r="I979" s="101"/>
      <c r="J979" s="101"/>
      <c r="K979" s="101"/>
      <c r="L979" s="101"/>
      <c r="M979" s="101"/>
      <c r="N979" s="101"/>
      <c r="O979" s="101"/>
      <c r="P979" s="101"/>
      <c r="Q979" s="101"/>
      <c r="R979" s="101"/>
      <c r="S979" s="110"/>
      <c r="T979" s="102"/>
      <c r="U979" s="101"/>
      <c r="V979" s="103"/>
      <c r="W979" s="101"/>
    </row>
    <row r="980" spans="1:23" x14ac:dyDescent="0.25">
      <c r="A980" s="98"/>
      <c r="H980" s="101"/>
      <c r="I980" s="101"/>
      <c r="J980" s="101"/>
      <c r="K980" s="101"/>
      <c r="L980" s="101"/>
      <c r="M980" s="101"/>
      <c r="N980" s="101"/>
      <c r="O980" s="101"/>
      <c r="P980" s="101"/>
      <c r="Q980" s="101"/>
      <c r="R980" s="101"/>
      <c r="S980" s="110"/>
      <c r="T980" s="102"/>
      <c r="U980" s="101"/>
      <c r="V980" s="103"/>
      <c r="W980" s="101"/>
    </row>
    <row r="981" spans="1:23" x14ac:dyDescent="0.25">
      <c r="A981" s="98"/>
      <c r="H981" s="101"/>
      <c r="I981" s="101"/>
      <c r="J981" s="101"/>
      <c r="K981" s="101"/>
      <c r="L981" s="101"/>
      <c r="M981" s="101"/>
      <c r="N981" s="101"/>
      <c r="O981" s="101"/>
      <c r="P981" s="101"/>
      <c r="Q981" s="101"/>
      <c r="R981" s="101"/>
      <c r="S981" s="110"/>
      <c r="T981" s="102"/>
      <c r="U981" s="101"/>
      <c r="V981" s="103"/>
      <c r="W981" s="101"/>
    </row>
    <row r="982" spans="1:23" x14ac:dyDescent="0.25">
      <c r="A982" s="98"/>
      <c r="H982" s="101"/>
      <c r="I982" s="101"/>
      <c r="J982" s="101"/>
      <c r="K982" s="101"/>
      <c r="L982" s="101"/>
      <c r="M982" s="101"/>
      <c r="N982" s="101"/>
      <c r="O982" s="101"/>
      <c r="P982" s="101"/>
      <c r="Q982" s="101"/>
      <c r="R982" s="101"/>
      <c r="S982" s="110"/>
      <c r="T982" s="102"/>
      <c r="U982" s="101"/>
      <c r="V982" s="103"/>
      <c r="W982" s="101"/>
    </row>
    <row r="983" spans="1:23" x14ac:dyDescent="0.25">
      <c r="A983" s="98"/>
      <c r="H983" s="101"/>
      <c r="I983" s="101"/>
      <c r="J983" s="101"/>
      <c r="K983" s="101"/>
      <c r="L983" s="101"/>
      <c r="M983" s="101"/>
      <c r="N983" s="101"/>
      <c r="O983" s="101"/>
      <c r="P983" s="101"/>
      <c r="Q983" s="101"/>
      <c r="R983" s="101"/>
      <c r="S983" s="110"/>
      <c r="T983" s="102"/>
      <c r="U983" s="101"/>
      <c r="V983" s="103"/>
      <c r="W983" s="101"/>
    </row>
    <row r="984" spans="1:23" x14ac:dyDescent="0.25">
      <c r="A984" s="98"/>
      <c r="H984" s="101"/>
      <c r="I984" s="101"/>
      <c r="J984" s="101"/>
      <c r="K984" s="101"/>
      <c r="L984" s="101"/>
      <c r="M984" s="101"/>
      <c r="N984" s="101"/>
      <c r="O984" s="101"/>
      <c r="P984" s="101"/>
      <c r="Q984" s="101"/>
      <c r="R984" s="101"/>
      <c r="S984" s="110"/>
      <c r="T984" s="102"/>
      <c r="U984" s="101"/>
      <c r="V984" s="103"/>
      <c r="W984" s="101"/>
    </row>
    <row r="985" spans="1:23" x14ac:dyDescent="0.25">
      <c r="A985" s="98"/>
      <c r="H985" s="101"/>
      <c r="I985" s="101"/>
      <c r="J985" s="101"/>
      <c r="K985" s="101"/>
      <c r="L985" s="101"/>
      <c r="M985" s="101"/>
      <c r="N985" s="101"/>
      <c r="O985" s="101"/>
      <c r="P985" s="101"/>
      <c r="Q985" s="101"/>
      <c r="R985" s="101"/>
      <c r="S985" s="110"/>
      <c r="T985" s="102"/>
      <c r="U985" s="101"/>
      <c r="V985" s="103"/>
      <c r="W985" s="101"/>
    </row>
    <row r="986" spans="1:23" x14ac:dyDescent="0.25">
      <c r="A986" s="98"/>
      <c r="H986" s="101"/>
      <c r="I986" s="101"/>
      <c r="J986" s="101"/>
      <c r="K986" s="101"/>
      <c r="L986" s="101"/>
      <c r="M986" s="101"/>
      <c r="N986" s="101"/>
      <c r="O986" s="101"/>
      <c r="P986" s="101"/>
      <c r="Q986" s="101"/>
      <c r="R986" s="101"/>
      <c r="S986" s="110"/>
      <c r="T986" s="102"/>
      <c r="U986" s="101"/>
      <c r="V986" s="103"/>
      <c r="W986" s="101"/>
    </row>
    <row r="987" spans="1:23" x14ac:dyDescent="0.25">
      <c r="A987" s="98"/>
      <c r="H987" s="101"/>
      <c r="I987" s="101"/>
      <c r="J987" s="101"/>
      <c r="K987" s="101"/>
      <c r="L987" s="101"/>
      <c r="M987" s="101"/>
      <c r="N987" s="101"/>
      <c r="O987" s="101"/>
      <c r="P987" s="101"/>
      <c r="Q987" s="101"/>
      <c r="R987" s="101"/>
      <c r="S987" s="110"/>
      <c r="T987" s="102"/>
      <c r="U987" s="101"/>
      <c r="V987" s="103"/>
      <c r="W987" s="101"/>
    </row>
    <row r="988" spans="1:23" x14ac:dyDescent="0.25">
      <c r="A988" s="98"/>
      <c r="H988" s="101"/>
      <c r="I988" s="101"/>
      <c r="J988" s="101"/>
      <c r="K988" s="101"/>
      <c r="L988" s="101"/>
      <c r="M988" s="101"/>
      <c r="N988" s="101"/>
      <c r="O988" s="101"/>
      <c r="P988" s="101"/>
      <c r="Q988" s="101"/>
      <c r="R988" s="101"/>
      <c r="S988" s="110"/>
      <c r="T988" s="102"/>
      <c r="U988" s="101"/>
      <c r="V988" s="103"/>
      <c r="W988" s="101"/>
    </row>
    <row r="989" spans="1:23" x14ac:dyDescent="0.25">
      <c r="A989" s="98"/>
      <c r="H989" s="101"/>
      <c r="I989" s="101"/>
      <c r="J989" s="101"/>
      <c r="K989" s="101"/>
      <c r="L989" s="101"/>
      <c r="M989" s="101"/>
      <c r="N989" s="101"/>
      <c r="O989" s="101"/>
      <c r="P989" s="101"/>
      <c r="Q989" s="101"/>
      <c r="R989" s="101"/>
      <c r="S989" s="110"/>
      <c r="T989" s="102"/>
      <c r="U989" s="101"/>
      <c r="V989" s="103"/>
      <c r="W989" s="101"/>
    </row>
    <row r="990" spans="1:23" x14ac:dyDescent="0.25">
      <c r="A990" s="98"/>
      <c r="H990" s="101"/>
      <c r="I990" s="101"/>
      <c r="J990" s="101"/>
      <c r="K990" s="101"/>
      <c r="L990" s="101"/>
      <c r="M990" s="101"/>
      <c r="N990" s="101"/>
      <c r="O990" s="101"/>
      <c r="P990" s="101"/>
      <c r="Q990" s="101"/>
      <c r="R990" s="101"/>
      <c r="S990" s="110"/>
      <c r="T990" s="102"/>
      <c r="U990" s="101"/>
      <c r="V990" s="103"/>
      <c r="W990" s="101"/>
    </row>
    <row r="991" spans="1:23" x14ac:dyDescent="0.25">
      <c r="A991" s="98"/>
      <c r="H991" s="101"/>
      <c r="I991" s="101"/>
      <c r="J991" s="101"/>
      <c r="K991" s="101"/>
      <c r="L991" s="101"/>
      <c r="M991" s="101"/>
      <c r="N991" s="101"/>
      <c r="O991" s="101"/>
      <c r="P991" s="101"/>
      <c r="Q991" s="101"/>
      <c r="R991" s="101"/>
      <c r="S991" s="110"/>
      <c r="T991" s="102"/>
      <c r="U991" s="101"/>
      <c r="V991" s="103"/>
      <c r="W991" s="101"/>
    </row>
    <row r="992" spans="1:23" x14ac:dyDescent="0.25">
      <c r="A992" s="98"/>
      <c r="H992" s="101"/>
      <c r="I992" s="101"/>
      <c r="J992" s="101"/>
      <c r="K992" s="101"/>
      <c r="L992" s="101"/>
      <c r="M992" s="101"/>
      <c r="N992" s="101"/>
      <c r="O992" s="101"/>
      <c r="P992" s="101"/>
      <c r="Q992" s="101"/>
      <c r="R992" s="101"/>
      <c r="S992" s="110"/>
      <c r="T992" s="102"/>
      <c r="U992" s="101"/>
      <c r="V992" s="103"/>
      <c r="W992" s="101"/>
    </row>
    <row r="993" spans="1:23" x14ac:dyDescent="0.25">
      <c r="A993" s="98"/>
      <c r="H993" s="101"/>
      <c r="I993" s="101"/>
      <c r="J993" s="101"/>
      <c r="K993" s="101"/>
      <c r="L993" s="101"/>
      <c r="M993" s="101"/>
      <c r="N993" s="101"/>
      <c r="O993" s="101"/>
      <c r="P993" s="101"/>
      <c r="Q993" s="101"/>
      <c r="R993" s="101"/>
      <c r="S993" s="110"/>
      <c r="T993" s="102"/>
      <c r="U993" s="101"/>
      <c r="V993" s="103"/>
      <c r="W993" s="101"/>
    </row>
    <row r="994" spans="1:23" x14ac:dyDescent="0.25">
      <c r="A994" s="98"/>
      <c r="H994" s="101"/>
      <c r="I994" s="101"/>
      <c r="J994" s="101"/>
      <c r="K994" s="101"/>
      <c r="L994" s="101"/>
      <c r="M994" s="101"/>
      <c r="N994" s="101"/>
      <c r="O994" s="101"/>
      <c r="P994" s="101"/>
      <c r="Q994" s="101"/>
      <c r="R994" s="101"/>
      <c r="S994" s="110"/>
      <c r="T994" s="102"/>
      <c r="U994" s="101"/>
      <c r="V994" s="103"/>
      <c r="W994" s="101"/>
    </row>
    <row r="995" spans="1:23" x14ac:dyDescent="0.25">
      <c r="A995" s="98"/>
      <c r="H995" s="101"/>
      <c r="I995" s="101"/>
      <c r="J995" s="101"/>
      <c r="K995" s="101"/>
      <c r="L995" s="101"/>
      <c r="M995" s="101"/>
      <c r="N995" s="101"/>
      <c r="O995" s="101"/>
      <c r="P995" s="101"/>
      <c r="Q995" s="101"/>
      <c r="R995" s="101"/>
      <c r="S995" s="110"/>
      <c r="T995" s="102"/>
      <c r="U995" s="101"/>
      <c r="V995" s="103"/>
      <c r="W995" s="101"/>
    </row>
    <row r="996" spans="1:23" x14ac:dyDescent="0.25">
      <c r="A996" s="98"/>
      <c r="H996" s="101"/>
      <c r="I996" s="101"/>
      <c r="J996" s="101"/>
      <c r="K996" s="101"/>
      <c r="L996" s="101"/>
      <c r="M996" s="101"/>
      <c r="N996" s="101"/>
      <c r="O996" s="101"/>
      <c r="P996" s="101"/>
      <c r="Q996" s="101"/>
      <c r="R996" s="101"/>
      <c r="S996" s="110"/>
      <c r="T996" s="102"/>
      <c r="U996" s="101"/>
      <c r="V996" s="103"/>
      <c r="W996" s="101"/>
    </row>
    <row r="997" spans="1:23" x14ac:dyDescent="0.25">
      <c r="A997" s="98"/>
      <c r="H997" s="101"/>
      <c r="I997" s="101"/>
      <c r="J997" s="101"/>
      <c r="K997" s="101"/>
      <c r="L997" s="101"/>
      <c r="M997" s="101"/>
      <c r="N997" s="101"/>
      <c r="O997" s="101"/>
      <c r="P997" s="101"/>
      <c r="Q997" s="101"/>
      <c r="R997" s="101"/>
      <c r="S997" s="110"/>
      <c r="T997" s="102"/>
      <c r="U997" s="101"/>
      <c r="V997" s="103"/>
      <c r="W997" s="101"/>
    </row>
    <row r="998" spans="1:23" x14ac:dyDescent="0.25">
      <c r="A998" s="98"/>
      <c r="H998" s="101"/>
      <c r="I998" s="101"/>
      <c r="J998" s="101"/>
      <c r="K998" s="101"/>
      <c r="L998" s="101"/>
      <c r="M998" s="101"/>
      <c r="N998" s="101"/>
      <c r="O998" s="101"/>
      <c r="P998" s="101"/>
      <c r="Q998" s="101"/>
      <c r="R998" s="101"/>
      <c r="S998" s="110"/>
      <c r="T998" s="102"/>
      <c r="U998" s="101"/>
      <c r="V998" s="103"/>
      <c r="W998" s="101"/>
    </row>
    <row r="999" spans="1:23" x14ac:dyDescent="0.25">
      <c r="A999" s="98"/>
      <c r="H999" s="101"/>
      <c r="I999" s="101"/>
      <c r="J999" s="101"/>
      <c r="K999" s="101"/>
      <c r="L999" s="101"/>
      <c r="M999" s="101"/>
      <c r="N999" s="101"/>
      <c r="O999" s="101"/>
      <c r="P999" s="101"/>
      <c r="Q999" s="101"/>
      <c r="R999" s="101"/>
      <c r="S999" s="110"/>
      <c r="T999" s="102"/>
      <c r="U999" s="101"/>
      <c r="V999" s="103"/>
      <c r="W999" s="101"/>
    </row>
    <row r="1000" spans="1:23" x14ac:dyDescent="0.25">
      <c r="A1000" s="98"/>
      <c r="H1000" s="101"/>
      <c r="I1000" s="101"/>
      <c r="J1000" s="101"/>
      <c r="K1000" s="101"/>
      <c r="L1000" s="101"/>
      <c r="M1000" s="101"/>
      <c r="N1000" s="101"/>
      <c r="O1000" s="101"/>
      <c r="P1000" s="101"/>
      <c r="Q1000" s="101"/>
      <c r="R1000" s="101"/>
      <c r="S1000" s="110"/>
      <c r="T1000" s="102"/>
      <c r="U1000" s="101"/>
      <c r="V1000" s="103"/>
      <c r="W1000" s="101"/>
    </row>
    <row r="1001" spans="1:23" x14ac:dyDescent="0.25">
      <c r="A1001" s="98"/>
      <c r="H1001" s="101"/>
      <c r="I1001" s="101"/>
      <c r="J1001" s="101"/>
      <c r="K1001" s="101"/>
      <c r="L1001" s="101"/>
      <c r="M1001" s="101"/>
      <c r="N1001" s="101"/>
      <c r="O1001" s="101"/>
      <c r="P1001" s="101"/>
      <c r="Q1001" s="101"/>
      <c r="R1001" s="101"/>
      <c r="S1001" s="110"/>
      <c r="T1001" s="102"/>
      <c r="U1001" s="101"/>
      <c r="V1001" s="103"/>
      <c r="W1001" s="101"/>
    </row>
    <row r="1002" spans="1:23" x14ac:dyDescent="0.25">
      <c r="A1002" s="98"/>
      <c r="H1002" s="101"/>
      <c r="I1002" s="101"/>
      <c r="J1002" s="101"/>
      <c r="K1002" s="101"/>
      <c r="L1002" s="101"/>
      <c r="M1002" s="101"/>
      <c r="N1002" s="101"/>
      <c r="O1002" s="101"/>
      <c r="P1002" s="101"/>
      <c r="Q1002" s="101"/>
      <c r="R1002" s="101"/>
      <c r="S1002" s="110"/>
      <c r="T1002" s="102"/>
      <c r="U1002" s="101"/>
      <c r="V1002" s="103"/>
      <c r="W1002" s="101"/>
    </row>
    <row r="1003" spans="1:23" x14ac:dyDescent="0.25">
      <c r="A1003" s="98"/>
      <c r="H1003" s="101"/>
      <c r="I1003" s="101"/>
      <c r="J1003" s="101"/>
      <c r="K1003" s="101"/>
      <c r="L1003" s="101"/>
      <c r="M1003" s="101"/>
      <c r="N1003" s="101"/>
      <c r="O1003" s="101"/>
      <c r="P1003" s="101"/>
      <c r="Q1003" s="101"/>
      <c r="R1003" s="101"/>
      <c r="S1003" s="110"/>
      <c r="T1003" s="102"/>
      <c r="U1003" s="101"/>
      <c r="V1003" s="103"/>
      <c r="W1003" s="101"/>
    </row>
    <row r="1004" spans="1:23" x14ac:dyDescent="0.25">
      <c r="A1004" s="98"/>
      <c r="H1004" s="101"/>
      <c r="I1004" s="101"/>
      <c r="J1004" s="101"/>
      <c r="K1004" s="101"/>
      <c r="L1004" s="101"/>
      <c r="M1004" s="101"/>
      <c r="N1004" s="101"/>
      <c r="O1004" s="101"/>
      <c r="P1004" s="101"/>
      <c r="Q1004" s="101"/>
      <c r="R1004" s="101"/>
      <c r="S1004" s="110"/>
      <c r="T1004" s="102"/>
      <c r="U1004" s="101"/>
      <c r="V1004" s="103"/>
      <c r="W1004" s="101"/>
    </row>
    <row r="1005" spans="1:23" x14ac:dyDescent="0.25">
      <c r="A1005" s="98"/>
      <c r="H1005" s="101"/>
      <c r="I1005" s="101"/>
      <c r="J1005" s="101"/>
      <c r="K1005" s="101"/>
      <c r="L1005" s="101"/>
      <c r="M1005" s="101"/>
      <c r="N1005" s="101"/>
      <c r="O1005" s="101"/>
      <c r="P1005" s="101"/>
      <c r="Q1005" s="101"/>
      <c r="R1005" s="101"/>
      <c r="S1005" s="110"/>
      <c r="T1005" s="102"/>
      <c r="U1005" s="101"/>
      <c r="V1005" s="103"/>
      <c r="W1005" s="101"/>
    </row>
    <row r="1006" spans="1:23" x14ac:dyDescent="0.25">
      <c r="A1006" s="98"/>
      <c r="H1006" s="101"/>
      <c r="I1006" s="101"/>
      <c r="J1006" s="101"/>
      <c r="K1006" s="101"/>
      <c r="L1006" s="101"/>
      <c r="M1006" s="101"/>
      <c r="N1006" s="101"/>
      <c r="O1006" s="101"/>
      <c r="P1006" s="101"/>
      <c r="Q1006" s="101"/>
      <c r="R1006" s="101"/>
      <c r="S1006" s="110"/>
      <c r="T1006" s="102"/>
      <c r="U1006" s="101"/>
      <c r="V1006" s="103"/>
      <c r="W1006" s="101"/>
    </row>
    <row r="1007" spans="1:23" x14ac:dyDescent="0.25">
      <c r="A1007" s="98"/>
      <c r="H1007" s="101"/>
      <c r="I1007" s="101"/>
      <c r="J1007" s="101"/>
      <c r="K1007" s="101"/>
      <c r="L1007" s="101"/>
      <c r="M1007" s="101"/>
      <c r="N1007" s="101"/>
      <c r="O1007" s="101"/>
      <c r="P1007" s="101"/>
      <c r="Q1007" s="101"/>
      <c r="R1007" s="101"/>
      <c r="S1007" s="110"/>
      <c r="T1007" s="102"/>
      <c r="U1007" s="101"/>
      <c r="V1007" s="103"/>
      <c r="W1007" s="101"/>
    </row>
    <row r="1008" spans="1:23" x14ac:dyDescent="0.25">
      <c r="A1008" s="98"/>
      <c r="H1008" s="101"/>
      <c r="I1008" s="101"/>
      <c r="J1008" s="101"/>
      <c r="K1008" s="101"/>
      <c r="L1008" s="101"/>
      <c r="M1008" s="101"/>
      <c r="N1008" s="101"/>
      <c r="O1008" s="101"/>
      <c r="P1008" s="101"/>
      <c r="Q1008" s="101"/>
      <c r="R1008" s="101"/>
      <c r="S1008" s="110"/>
      <c r="T1008" s="102"/>
      <c r="U1008" s="101"/>
      <c r="V1008" s="103"/>
      <c r="W1008" s="101"/>
    </row>
    <row r="1009" spans="1:23" x14ac:dyDescent="0.25">
      <c r="A1009" s="98"/>
      <c r="H1009" s="101"/>
      <c r="I1009" s="101"/>
      <c r="J1009" s="101"/>
      <c r="K1009" s="101"/>
      <c r="L1009" s="101"/>
      <c r="M1009" s="101"/>
      <c r="N1009" s="101"/>
      <c r="O1009" s="101"/>
      <c r="P1009" s="101"/>
      <c r="Q1009" s="101"/>
      <c r="R1009" s="101"/>
      <c r="S1009" s="110"/>
      <c r="T1009" s="102"/>
      <c r="U1009" s="101"/>
      <c r="V1009" s="103"/>
      <c r="W1009" s="101"/>
    </row>
    <row r="1010" spans="1:23" x14ac:dyDescent="0.25">
      <c r="A1010" s="98"/>
      <c r="H1010" s="101"/>
      <c r="I1010" s="101"/>
      <c r="J1010" s="101"/>
      <c r="K1010" s="101"/>
      <c r="L1010" s="101"/>
      <c r="M1010" s="101"/>
      <c r="N1010" s="101"/>
      <c r="O1010" s="101"/>
      <c r="P1010" s="101"/>
      <c r="Q1010" s="101"/>
      <c r="R1010" s="101"/>
      <c r="S1010" s="110"/>
      <c r="T1010" s="102"/>
      <c r="U1010" s="101"/>
      <c r="V1010" s="103"/>
      <c r="W1010" s="101"/>
    </row>
    <row r="1011" spans="1:23" x14ac:dyDescent="0.25">
      <c r="A1011" s="98"/>
      <c r="H1011" s="101"/>
      <c r="I1011" s="101"/>
      <c r="J1011" s="101"/>
      <c r="K1011" s="101"/>
      <c r="L1011" s="101"/>
      <c r="M1011" s="101"/>
      <c r="N1011" s="101"/>
      <c r="O1011" s="101"/>
      <c r="P1011" s="101"/>
      <c r="Q1011" s="101"/>
      <c r="R1011" s="101"/>
      <c r="S1011" s="110"/>
      <c r="T1011" s="102"/>
      <c r="U1011" s="101"/>
      <c r="V1011" s="103"/>
      <c r="W1011" s="101"/>
    </row>
    <row r="1012" spans="1:23" x14ac:dyDescent="0.25">
      <c r="A1012" s="98"/>
      <c r="H1012" s="101"/>
      <c r="I1012" s="101"/>
      <c r="J1012" s="101"/>
      <c r="K1012" s="101"/>
      <c r="L1012" s="101"/>
      <c r="M1012" s="101"/>
      <c r="N1012" s="101"/>
      <c r="O1012" s="101"/>
      <c r="P1012" s="101"/>
      <c r="Q1012" s="101"/>
      <c r="R1012" s="101"/>
      <c r="S1012" s="110"/>
      <c r="T1012" s="102"/>
      <c r="U1012" s="101"/>
      <c r="V1012" s="103"/>
      <c r="W1012" s="101"/>
    </row>
    <row r="1013" spans="1:23" x14ac:dyDescent="0.25">
      <c r="A1013" s="98"/>
      <c r="H1013" s="101"/>
      <c r="I1013" s="101"/>
      <c r="J1013" s="101"/>
      <c r="K1013" s="101"/>
      <c r="L1013" s="101"/>
      <c r="M1013" s="101"/>
      <c r="N1013" s="101"/>
      <c r="O1013" s="101"/>
      <c r="P1013" s="101"/>
      <c r="Q1013" s="101"/>
      <c r="R1013" s="101"/>
      <c r="S1013" s="110"/>
      <c r="T1013" s="102"/>
      <c r="U1013" s="101"/>
      <c r="V1013" s="103"/>
      <c r="W1013" s="101"/>
    </row>
    <row r="1014" spans="1:23" x14ac:dyDescent="0.25">
      <c r="A1014" s="98"/>
      <c r="H1014" s="101"/>
      <c r="I1014" s="101"/>
      <c r="J1014" s="101"/>
      <c r="K1014" s="101"/>
      <c r="L1014" s="101"/>
      <c r="M1014" s="101"/>
      <c r="N1014" s="101"/>
      <c r="O1014" s="101"/>
      <c r="P1014" s="101"/>
      <c r="Q1014" s="101"/>
      <c r="R1014" s="101"/>
      <c r="S1014" s="110"/>
      <c r="T1014" s="102"/>
      <c r="U1014" s="101"/>
      <c r="V1014" s="103"/>
      <c r="W1014" s="101"/>
    </row>
    <row r="1015" spans="1:23" x14ac:dyDescent="0.25">
      <c r="A1015" s="98"/>
      <c r="H1015" s="101"/>
      <c r="I1015" s="101"/>
      <c r="J1015" s="101"/>
      <c r="K1015" s="101"/>
      <c r="L1015" s="101"/>
      <c r="M1015" s="101"/>
      <c r="N1015" s="101"/>
      <c r="O1015" s="101"/>
      <c r="P1015" s="101"/>
      <c r="Q1015" s="101"/>
      <c r="R1015" s="101"/>
      <c r="S1015" s="110"/>
      <c r="T1015" s="102"/>
      <c r="U1015" s="101"/>
      <c r="V1015" s="103"/>
      <c r="W1015" s="101"/>
    </row>
    <row r="1016" spans="1:23" x14ac:dyDescent="0.25">
      <c r="A1016" s="98"/>
      <c r="H1016" s="101"/>
      <c r="I1016" s="101"/>
      <c r="J1016" s="101"/>
      <c r="K1016" s="101"/>
      <c r="L1016" s="101"/>
      <c r="M1016" s="101"/>
      <c r="N1016" s="101"/>
      <c r="O1016" s="101"/>
      <c r="P1016" s="101"/>
      <c r="Q1016" s="101"/>
      <c r="R1016" s="101"/>
      <c r="S1016" s="110"/>
      <c r="T1016" s="102"/>
      <c r="U1016" s="101"/>
      <c r="V1016" s="103"/>
      <c r="W1016" s="101"/>
    </row>
    <row r="1017" spans="1:23" x14ac:dyDescent="0.25">
      <c r="A1017" s="98"/>
      <c r="H1017" s="101"/>
      <c r="I1017" s="101"/>
      <c r="J1017" s="101"/>
      <c r="K1017" s="101"/>
      <c r="L1017" s="101"/>
      <c r="M1017" s="101"/>
      <c r="N1017" s="101"/>
      <c r="O1017" s="101"/>
      <c r="P1017" s="101"/>
      <c r="Q1017" s="101"/>
      <c r="R1017" s="101"/>
      <c r="S1017" s="110"/>
      <c r="T1017" s="102"/>
      <c r="U1017" s="101"/>
      <c r="V1017" s="103"/>
      <c r="W1017" s="101"/>
    </row>
    <row r="1018" spans="1:23" x14ac:dyDescent="0.25">
      <c r="A1018" s="98"/>
      <c r="H1018" s="101"/>
      <c r="I1018" s="101"/>
      <c r="J1018" s="101"/>
      <c r="K1018" s="101"/>
      <c r="L1018" s="101"/>
      <c r="M1018" s="101"/>
      <c r="N1018" s="101"/>
      <c r="O1018" s="101"/>
      <c r="P1018" s="101"/>
      <c r="Q1018" s="101"/>
      <c r="R1018" s="101"/>
      <c r="S1018" s="110"/>
      <c r="T1018" s="102"/>
      <c r="U1018" s="101"/>
      <c r="V1018" s="103"/>
      <c r="W1018" s="101"/>
    </row>
    <row r="1019" spans="1:23" x14ac:dyDescent="0.25">
      <c r="A1019" s="98"/>
      <c r="H1019" s="101"/>
      <c r="I1019" s="101"/>
      <c r="J1019" s="101"/>
      <c r="K1019" s="101"/>
      <c r="L1019" s="101"/>
      <c r="M1019" s="101"/>
      <c r="N1019" s="101"/>
      <c r="O1019" s="101"/>
      <c r="P1019" s="101"/>
      <c r="Q1019" s="101"/>
      <c r="R1019" s="101"/>
      <c r="S1019" s="110"/>
      <c r="T1019" s="102"/>
      <c r="U1019" s="101"/>
      <c r="V1019" s="103"/>
      <c r="W1019" s="101"/>
    </row>
    <row r="1020" spans="1:23" x14ac:dyDescent="0.25">
      <c r="A1020" s="98"/>
      <c r="H1020" s="101"/>
      <c r="I1020" s="101"/>
      <c r="J1020" s="101"/>
      <c r="K1020" s="101"/>
      <c r="L1020" s="101"/>
      <c r="M1020" s="101"/>
      <c r="N1020" s="101"/>
      <c r="O1020" s="101"/>
      <c r="P1020" s="101"/>
      <c r="Q1020" s="101"/>
      <c r="R1020" s="101"/>
      <c r="S1020" s="110"/>
      <c r="T1020" s="102"/>
      <c r="U1020" s="101"/>
      <c r="V1020" s="103"/>
      <c r="W1020" s="101"/>
    </row>
    <row r="1021" spans="1:23" x14ac:dyDescent="0.25">
      <c r="A1021" s="98"/>
      <c r="H1021" s="101"/>
      <c r="I1021" s="101"/>
      <c r="J1021" s="101"/>
      <c r="K1021" s="101"/>
      <c r="L1021" s="101"/>
      <c r="M1021" s="101"/>
      <c r="N1021" s="101"/>
      <c r="O1021" s="101"/>
      <c r="P1021" s="101"/>
      <c r="Q1021" s="101"/>
      <c r="R1021" s="101"/>
      <c r="S1021" s="110"/>
      <c r="T1021" s="102"/>
      <c r="U1021" s="101"/>
      <c r="V1021" s="103"/>
      <c r="W1021" s="101"/>
    </row>
    <row r="1022" spans="1:23" x14ac:dyDescent="0.25">
      <c r="A1022" s="98"/>
      <c r="H1022" s="101"/>
      <c r="I1022" s="101"/>
      <c r="J1022" s="101"/>
      <c r="K1022" s="101"/>
      <c r="L1022" s="101"/>
      <c r="M1022" s="101"/>
      <c r="N1022" s="101"/>
      <c r="O1022" s="101"/>
      <c r="P1022" s="101"/>
      <c r="Q1022" s="101"/>
      <c r="R1022" s="101"/>
      <c r="S1022" s="110"/>
      <c r="T1022" s="102"/>
      <c r="U1022" s="101"/>
      <c r="V1022" s="103"/>
      <c r="W1022" s="101"/>
    </row>
    <row r="1023" spans="1:23" x14ac:dyDescent="0.25">
      <c r="A1023" s="98"/>
      <c r="H1023" s="101"/>
      <c r="I1023" s="101"/>
      <c r="J1023" s="101"/>
      <c r="K1023" s="101"/>
      <c r="L1023" s="101"/>
      <c r="M1023" s="101"/>
      <c r="N1023" s="101"/>
      <c r="O1023" s="101"/>
      <c r="P1023" s="101"/>
      <c r="Q1023" s="101"/>
      <c r="R1023" s="101"/>
      <c r="S1023" s="110"/>
      <c r="T1023" s="102"/>
      <c r="U1023" s="101"/>
      <c r="V1023" s="103"/>
      <c r="W1023" s="101"/>
    </row>
    <row r="1024" spans="1:23" x14ac:dyDescent="0.25">
      <c r="A1024" s="98"/>
      <c r="H1024" s="101"/>
      <c r="I1024" s="101"/>
      <c r="J1024" s="101"/>
      <c r="K1024" s="101"/>
      <c r="L1024" s="101"/>
      <c r="M1024" s="101"/>
      <c r="N1024" s="101"/>
      <c r="O1024" s="101"/>
      <c r="P1024" s="101"/>
      <c r="Q1024" s="101"/>
      <c r="R1024" s="101"/>
      <c r="S1024" s="110"/>
      <c r="T1024" s="102"/>
      <c r="U1024" s="101"/>
      <c r="V1024" s="103"/>
      <c r="W1024" s="101"/>
    </row>
    <row r="1025" spans="1:23" x14ac:dyDescent="0.25">
      <c r="A1025" s="98"/>
      <c r="H1025" s="101"/>
      <c r="I1025" s="101"/>
      <c r="J1025" s="101"/>
      <c r="K1025" s="101"/>
      <c r="L1025" s="101"/>
      <c r="M1025" s="101"/>
      <c r="N1025" s="101"/>
      <c r="O1025" s="101"/>
      <c r="P1025" s="101"/>
      <c r="Q1025" s="101"/>
      <c r="R1025" s="101"/>
      <c r="S1025" s="110"/>
      <c r="T1025" s="102"/>
      <c r="U1025" s="101"/>
      <c r="V1025" s="103"/>
      <c r="W1025" s="101"/>
    </row>
    <row r="1026" spans="1:23" x14ac:dyDescent="0.25">
      <c r="A1026" s="98"/>
      <c r="H1026" s="101"/>
      <c r="I1026" s="101"/>
      <c r="J1026" s="101"/>
      <c r="K1026" s="101"/>
      <c r="L1026" s="101"/>
      <c r="M1026" s="101"/>
      <c r="N1026" s="101"/>
      <c r="O1026" s="101"/>
      <c r="P1026" s="101"/>
      <c r="Q1026" s="101"/>
      <c r="R1026" s="101"/>
      <c r="S1026" s="110"/>
      <c r="T1026" s="102"/>
      <c r="U1026" s="101"/>
      <c r="V1026" s="103"/>
      <c r="W1026" s="101"/>
    </row>
    <row r="1027" spans="1:23" x14ac:dyDescent="0.25">
      <c r="A1027" s="98"/>
      <c r="H1027" s="101"/>
      <c r="I1027" s="101"/>
      <c r="J1027" s="101"/>
      <c r="K1027" s="101"/>
      <c r="L1027" s="101"/>
      <c r="M1027" s="101"/>
      <c r="N1027" s="101"/>
      <c r="O1027" s="101"/>
      <c r="P1027" s="101"/>
      <c r="Q1027" s="101"/>
      <c r="R1027" s="101"/>
      <c r="S1027" s="110"/>
      <c r="T1027" s="102"/>
      <c r="U1027" s="101"/>
      <c r="V1027" s="103"/>
      <c r="W1027" s="101"/>
    </row>
    <row r="1028" spans="1:23" x14ac:dyDescent="0.25">
      <c r="A1028" s="98"/>
      <c r="H1028" s="101"/>
      <c r="I1028" s="101"/>
      <c r="J1028" s="101"/>
      <c r="K1028" s="101"/>
      <c r="L1028" s="101"/>
      <c r="M1028" s="101"/>
      <c r="N1028" s="101"/>
      <c r="O1028" s="101"/>
      <c r="P1028" s="101"/>
      <c r="Q1028" s="101"/>
      <c r="R1028" s="101"/>
      <c r="S1028" s="110"/>
      <c r="T1028" s="102"/>
      <c r="U1028" s="101"/>
      <c r="V1028" s="103"/>
      <c r="W1028" s="101"/>
    </row>
    <row r="1029" spans="1:23" x14ac:dyDescent="0.25">
      <c r="A1029" s="98"/>
      <c r="H1029" s="101"/>
      <c r="I1029" s="101"/>
      <c r="J1029" s="101"/>
      <c r="K1029" s="101"/>
      <c r="L1029" s="101"/>
      <c r="M1029" s="101"/>
      <c r="N1029" s="101"/>
      <c r="O1029" s="101"/>
      <c r="P1029" s="101"/>
      <c r="Q1029" s="101"/>
      <c r="R1029" s="101"/>
      <c r="S1029" s="110"/>
      <c r="T1029" s="102"/>
      <c r="U1029" s="101"/>
      <c r="V1029" s="103"/>
      <c r="W1029" s="101"/>
    </row>
    <row r="1030" spans="1:23" x14ac:dyDescent="0.25">
      <c r="A1030" s="98"/>
      <c r="H1030" s="101"/>
      <c r="I1030" s="101"/>
      <c r="J1030" s="101"/>
      <c r="K1030" s="101"/>
      <c r="L1030" s="101"/>
      <c r="M1030" s="101"/>
      <c r="N1030" s="101"/>
      <c r="O1030" s="101"/>
      <c r="P1030" s="101"/>
      <c r="Q1030" s="101"/>
      <c r="R1030" s="101"/>
      <c r="S1030" s="110"/>
      <c r="T1030" s="102"/>
      <c r="U1030" s="101"/>
      <c r="V1030" s="103"/>
      <c r="W1030" s="101"/>
    </row>
    <row r="1031" spans="1:23" x14ac:dyDescent="0.25">
      <c r="A1031" s="98"/>
      <c r="H1031" s="101"/>
      <c r="I1031" s="101"/>
      <c r="J1031" s="101"/>
      <c r="K1031" s="101"/>
      <c r="L1031" s="101"/>
      <c r="M1031" s="101"/>
      <c r="N1031" s="101"/>
      <c r="O1031" s="101"/>
      <c r="P1031" s="101"/>
      <c r="Q1031" s="101"/>
      <c r="R1031" s="101"/>
      <c r="S1031" s="110"/>
      <c r="T1031" s="102"/>
      <c r="U1031" s="101"/>
      <c r="V1031" s="103"/>
      <c r="W1031" s="101"/>
    </row>
    <row r="1032" spans="1:23" x14ac:dyDescent="0.25">
      <c r="A1032" s="98"/>
      <c r="H1032" s="101"/>
      <c r="I1032" s="101"/>
      <c r="J1032" s="101"/>
      <c r="K1032" s="101"/>
      <c r="L1032" s="101"/>
      <c r="M1032" s="101"/>
      <c r="N1032" s="101"/>
      <c r="O1032" s="101"/>
      <c r="P1032" s="101"/>
      <c r="Q1032" s="101"/>
      <c r="R1032" s="101"/>
      <c r="S1032" s="110"/>
      <c r="T1032" s="102"/>
      <c r="U1032" s="101"/>
      <c r="V1032" s="103"/>
      <c r="W1032" s="101"/>
    </row>
    <row r="1033" spans="1:23" x14ac:dyDescent="0.25">
      <c r="A1033" s="98"/>
      <c r="H1033" s="101"/>
      <c r="I1033" s="101"/>
      <c r="J1033" s="101"/>
      <c r="K1033" s="101"/>
      <c r="L1033" s="101"/>
      <c r="M1033" s="101"/>
      <c r="N1033" s="101"/>
      <c r="O1033" s="101"/>
      <c r="P1033" s="101"/>
      <c r="Q1033" s="101"/>
      <c r="R1033" s="101"/>
      <c r="S1033" s="110"/>
      <c r="T1033" s="102"/>
      <c r="U1033" s="101"/>
      <c r="V1033" s="103"/>
      <c r="W1033" s="101"/>
    </row>
    <row r="1034" spans="1:23" x14ac:dyDescent="0.25">
      <c r="A1034" s="98"/>
      <c r="H1034" s="101"/>
      <c r="I1034" s="101"/>
      <c r="J1034" s="101"/>
      <c r="K1034" s="101"/>
      <c r="L1034" s="101"/>
      <c r="M1034" s="101"/>
      <c r="N1034" s="101"/>
      <c r="O1034" s="101"/>
      <c r="P1034" s="101"/>
      <c r="Q1034" s="101"/>
      <c r="R1034" s="101"/>
      <c r="S1034" s="110"/>
      <c r="T1034" s="102"/>
      <c r="U1034" s="101"/>
      <c r="V1034" s="103"/>
      <c r="W1034" s="101"/>
    </row>
    <row r="1035" spans="1:23" x14ac:dyDescent="0.25">
      <c r="A1035" s="98"/>
      <c r="H1035" s="101"/>
      <c r="I1035" s="101"/>
      <c r="J1035" s="101"/>
      <c r="K1035" s="101"/>
      <c r="L1035" s="101"/>
      <c r="M1035" s="101"/>
      <c r="N1035" s="101"/>
      <c r="O1035" s="101"/>
      <c r="P1035" s="101"/>
      <c r="Q1035" s="101"/>
      <c r="R1035" s="101"/>
      <c r="S1035" s="110"/>
      <c r="T1035" s="102"/>
      <c r="U1035" s="101"/>
      <c r="V1035" s="103"/>
      <c r="W1035" s="101"/>
    </row>
    <row r="1036" spans="1:23" x14ac:dyDescent="0.25">
      <c r="A1036" s="98"/>
      <c r="H1036" s="101"/>
      <c r="I1036" s="101"/>
      <c r="J1036" s="101"/>
      <c r="K1036" s="101"/>
      <c r="L1036" s="101"/>
      <c r="M1036" s="101"/>
      <c r="N1036" s="101"/>
      <c r="O1036" s="101"/>
      <c r="P1036" s="101"/>
      <c r="Q1036" s="101"/>
      <c r="R1036" s="101"/>
      <c r="S1036" s="110"/>
      <c r="T1036" s="102"/>
      <c r="U1036" s="101"/>
      <c r="V1036" s="103"/>
      <c r="W1036" s="101"/>
    </row>
    <row r="1037" spans="1:23" x14ac:dyDescent="0.25">
      <c r="A1037" s="98"/>
      <c r="H1037" s="101"/>
      <c r="I1037" s="101"/>
      <c r="J1037" s="101"/>
      <c r="K1037" s="101"/>
      <c r="L1037" s="101"/>
      <c r="M1037" s="101"/>
      <c r="N1037" s="101"/>
      <c r="O1037" s="101"/>
      <c r="P1037" s="101"/>
      <c r="Q1037" s="101"/>
      <c r="R1037" s="101"/>
      <c r="S1037" s="110"/>
      <c r="T1037" s="102"/>
      <c r="U1037" s="101"/>
      <c r="V1037" s="103"/>
      <c r="W1037" s="101"/>
    </row>
    <row r="1038" spans="1:23" x14ac:dyDescent="0.25">
      <c r="A1038" s="98"/>
      <c r="H1038" s="101"/>
      <c r="I1038" s="101"/>
      <c r="J1038" s="101"/>
      <c r="K1038" s="101"/>
      <c r="L1038" s="101"/>
      <c r="M1038" s="101"/>
      <c r="N1038" s="101"/>
      <c r="O1038" s="101"/>
      <c r="P1038" s="101"/>
      <c r="Q1038" s="101"/>
      <c r="R1038" s="101"/>
      <c r="S1038" s="110"/>
      <c r="T1038" s="102"/>
      <c r="U1038" s="101"/>
      <c r="V1038" s="103"/>
      <c r="W1038" s="101"/>
    </row>
    <row r="1039" spans="1:23" x14ac:dyDescent="0.25">
      <c r="A1039" s="98"/>
      <c r="H1039" s="101"/>
      <c r="I1039" s="101"/>
      <c r="J1039" s="101"/>
      <c r="K1039" s="101"/>
      <c r="L1039" s="101"/>
      <c r="M1039" s="101"/>
      <c r="N1039" s="101"/>
      <c r="O1039" s="101"/>
      <c r="P1039" s="101"/>
      <c r="Q1039" s="101"/>
      <c r="R1039" s="101"/>
      <c r="S1039" s="110"/>
      <c r="T1039" s="102"/>
      <c r="U1039" s="101"/>
      <c r="V1039" s="103"/>
      <c r="W1039" s="101"/>
    </row>
    <row r="1040" spans="1:23" x14ac:dyDescent="0.25">
      <c r="A1040" s="98"/>
      <c r="H1040" s="101"/>
      <c r="I1040" s="101"/>
      <c r="J1040" s="101"/>
      <c r="K1040" s="101"/>
      <c r="L1040" s="101"/>
      <c r="M1040" s="101"/>
      <c r="N1040" s="101"/>
      <c r="O1040" s="101"/>
      <c r="P1040" s="101"/>
      <c r="Q1040" s="101"/>
      <c r="R1040" s="101"/>
      <c r="S1040" s="110"/>
      <c r="T1040" s="102"/>
      <c r="U1040" s="101"/>
      <c r="V1040" s="103"/>
      <c r="W1040" s="101"/>
    </row>
    <row r="1041" spans="1:23" x14ac:dyDescent="0.25">
      <c r="A1041" s="98"/>
      <c r="H1041" s="101"/>
      <c r="I1041" s="101"/>
      <c r="J1041" s="101"/>
      <c r="K1041" s="101"/>
      <c r="L1041" s="101"/>
      <c r="M1041" s="101"/>
      <c r="N1041" s="101"/>
      <c r="O1041" s="101"/>
      <c r="P1041" s="101"/>
      <c r="Q1041" s="101"/>
      <c r="R1041" s="101"/>
      <c r="S1041" s="110"/>
      <c r="T1041" s="102"/>
      <c r="U1041" s="101"/>
      <c r="V1041" s="103"/>
      <c r="W1041" s="101"/>
    </row>
    <row r="1042" spans="1:23" x14ac:dyDescent="0.25">
      <c r="A1042" s="98"/>
      <c r="H1042" s="101"/>
      <c r="I1042" s="101"/>
      <c r="J1042" s="101"/>
      <c r="K1042" s="101"/>
      <c r="L1042" s="101"/>
      <c r="M1042" s="101"/>
      <c r="N1042" s="101"/>
      <c r="O1042" s="101"/>
      <c r="P1042" s="101"/>
      <c r="Q1042" s="101"/>
      <c r="R1042" s="101"/>
      <c r="S1042" s="110"/>
      <c r="T1042" s="102"/>
      <c r="U1042" s="101"/>
      <c r="V1042" s="103"/>
      <c r="W1042" s="101"/>
    </row>
    <row r="1043" spans="1:23" x14ac:dyDescent="0.25">
      <c r="A1043" s="98"/>
      <c r="H1043" s="101"/>
      <c r="I1043" s="101"/>
      <c r="J1043" s="101"/>
      <c r="K1043" s="101"/>
      <c r="L1043" s="101"/>
      <c r="M1043" s="101"/>
      <c r="N1043" s="101"/>
      <c r="O1043" s="101"/>
      <c r="P1043" s="101"/>
      <c r="Q1043" s="101"/>
      <c r="R1043" s="101"/>
      <c r="S1043" s="110"/>
      <c r="T1043" s="102"/>
      <c r="U1043" s="101"/>
      <c r="V1043" s="103"/>
      <c r="W1043" s="101"/>
    </row>
    <row r="1044" spans="1:23" x14ac:dyDescent="0.25">
      <c r="A1044" s="98"/>
      <c r="H1044" s="101"/>
      <c r="I1044" s="101"/>
      <c r="J1044" s="101"/>
      <c r="K1044" s="101"/>
      <c r="L1044" s="101"/>
      <c r="M1044" s="101"/>
      <c r="N1044" s="101"/>
      <c r="O1044" s="101"/>
      <c r="P1044" s="101"/>
      <c r="Q1044" s="101"/>
      <c r="R1044" s="101"/>
      <c r="S1044" s="110"/>
      <c r="T1044" s="102"/>
      <c r="U1044" s="101"/>
      <c r="V1044" s="103"/>
      <c r="W1044" s="101"/>
    </row>
    <row r="1045" spans="1:23" x14ac:dyDescent="0.25">
      <c r="A1045" s="98"/>
      <c r="H1045" s="101"/>
      <c r="I1045" s="101"/>
      <c r="J1045" s="101"/>
      <c r="K1045" s="101"/>
      <c r="L1045" s="101"/>
      <c r="M1045" s="101"/>
      <c r="N1045" s="101"/>
      <c r="O1045" s="101"/>
      <c r="P1045" s="101"/>
      <c r="Q1045" s="101"/>
      <c r="R1045" s="101"/>
      <c r="S1045" s="110"/>
      <c r="T1045" s="102"/>
      <c r="U1045" s="101"/>
      <c r="V1045" s="103"/>
      <c r="W1045" s="101"/>
    </row>
    <row r="1046" spans="1:23" x14ac:dyDescent="0.25">
      <c r="A1046" s="98"/>
      <c r="H1046" s="101"/>
      <c r="I1046" s="101"/>
      <c r="J1046" s="101"/>
      <c r="K1046" s="101"/>
      <c r="L1046" s="101"/>
      <c r="M1046" s="101"/>
      <c r="N1046" s="101"/>
      <c r="O1046" s="101"/>
      <c r="P1046" s="101"/>
      <c r="Q1046" s="101"/>
      <c r="R1046" s="101"/>
      <c r="S1046" s="110"/>
      <c r="T1046" s="102"/>
      <c r="U1046" s="101"/>
      <c r="V1046" s="103"/>
      <c r="W1046" s="101"/>
    </row>
    <row r="1047" spans="1:23" x14ac:dyDescent="0.25">
      <c r="A1047" s="98"/>
      <c r="H1047" s="101"/>
      <c r="I1047" s="101"/>
      <c r="J1047" s="101"/>
      <c r="K1047" s="101"/>
      <c r="L1047" s="101"/>
      <c r="M1047" s="101"/>
      <c r="N1047" s="101"/>
      <c r="O1047" s="101"/>
      <c r="P1047" s="101"/>
      <c r="Q1047" s="101"/>
      <c r="R1047" s="101"/>
      <c r="S1047" s="110"/>
      <c r="T1047" s="102"/>
      <c r="U1047" s="101"/>
      <c r="V1047" s="103"/>
      <c r="W1047" s="101"/>
    </row>
    <row r="1048" spans="1:23" x14ac:dyDescent="0.25">
      <c r="A1048" s="98"/>
      <c r="H1048" s="101"/>
      <c r="I1048" s="101"/>
      <c r="J1048" s="101"/>
      <c r="K1048" s="101"/>
      <c r="L1048" s="101"/>
      <c r="M1048" s="101"/>
      <c r="N1048" s="101"/>
      <c r="O1048" s="101"/>
      <c r="P1048" s="101"/>
      <c r="Q1048" s="101"/>
      <c r="R1048" s="101"/>
      <c r="S1048" s="110"/>
      <c r="T1048" s="102"/>
      <c r="U1048" s="101"/>
      <c r="V1048" s="103"/>
      <c r="W1048" s="101"/>
    </row>
    <row r="1049" spans="1:23" x14ac:dyDescent="0.25">
      <c r="A1049" s="98"/>
      <c r="H1049" s="101"/>
      <c r="I1049" s="101"/>
      <c r="J1049" s="101"/>
      <c r="K1049" s="101"/>
      <c r="L1049" s="101"/>
      <c r="M1049" s="101"/>
      <c r="N1049" s="101"/>
      <c r="O1049" s="101"/>
      <c r="P1049" s="101"/>
      <c r="Q1049" s="101"/>
      <c r="R1049" s="101"/>
      <c r="S1049" s="110"/>
      <c r="T1049" s="102"/>
      <c r="U1049" s="101"/>
      <c r="V1049" s="103"/>
      <c r="W1049" s="101"/>
    </row>
    <row r="1050" spans="1:23" x14ac:dyDescent="0.25">
      <c r="A1050" s="98"/>
      <c r="H1050" s="101"/>
      <c r="I1050" s="101"/>
      <c r="J1050" s="101"/>
      <c r="K1050" s="101"/>
      <c r="L1050" s="101"/>
      <c r="M1050" s="101"/>
      <c r="N1050" s="101"/>
      <c r="O1050" s="101"/>
      <c r="P1050" s="101"/>
      <c r="Q1050" s="101"/>
      <c r="R1050" s="101"/>
      <c r="S1050" s="110"/>
      <c r="T1050" s="102"/>
      <c r="U1050" s="101"/>
      <c r="V1050" s="103"/>
      <c r="W1050" s="101"/>
    </row>
    <row r="1051" spans="1:23" x14ac:dyDescent="0.25">
      <c r="A1051" s="98"/>
      <c r="H1051" s="101"/>
      <c r="I1051" s="101"/>
      <c r="J1051" s="101"/>
      <c r="K1051" s="101"/>
      <c r="L1051" s="101"/>
      <c r="M1051" s="101"/>
      <c r="N1051" s="101"/>
      <c r="O1051" s="101"/>
      <c r="P1051" s="101"/>
      <c r="Q1051" s="101"/>
      <c r="R1051" s="101"/>
      <c r="S1051" s="110"/>
      <c r="T1051" s="102"/>
      <c r="U1051" s="101"/>
      <c r="V1051" s="103"/>
      <c r="W1051" s="101"/>
    </row>
    <row r="1052" spans="1:23" x14ac:dyDescent="0.25">
      <c r="A1052" s="98"/>
      <c r="H1052" s="101"/>
      <c r="I1052" s="101"/>
      <c r="J1052" s="101"/>
      <c r="K1052" s="101"/>
      <c r="L1052" s="101"/>
      <c r="M1052" s="101"/>
      <c r="N1052" s="101"/>
      <c r="O1052" s="101"/>
      <c r="P1052" s="101"/>
      <c r="Q1052" s="101"/>
      <c r="R1052" s="101"/>
      <c r="S1052" s="110"/>
      <c r="T1052" s="102"/>
      <c r="U1052" s="101"/>
      <c r="V1052" s="103"/>
      <c r="W1052" s="101"/>
    </row>
    <row r="1053" spans="1:23" x14ac:dyDescent="0.25">
      <c r="A1053" s="98"/>
      <c r="H1053" s="101"/>
      <c r="I1053" s="101"/>
      <c r="J1053" s="101"/>
      <c r="K1053" s="101"/>
      <c r="L1053" s="101"/>
      <c r="M1053" s="101"/>
      <c r="N1053" s="101"/>
      <c r="O1053" s="101"/>
      <c r="P1053" s="101"/>
      <c r="Q1053" s="101"/>
      <c r="R1053" s="101"/>
      <c r="S1053" s="110"/>
      <c r="T1053" s="102"/>
      <c r="U1053" s="101"/>
      <c r="V1053" s="103"/>
      <c r="W1053" s="101"/>
    </row>
    <row r="1054" spans="1:23" x14ac:dyDescent="0.25">
      <c r="A1054" s="98"/>
      <c r="H1054" s="101"/>
      <c r="I1054" s="101"/>
      <c r="J1054" s="101"/>
      <c r="K1054" s="101"/>
      <c r="L1054" s="101"/>
      <c r="M1054" s="101"/>
      <c r="N1054" s="101"/>
      <c r="O1054" s="101"/>
      <c r="P1054" s="101"/>
      <c r="Q1054" s="101"/>
      <c r="R1054" s="101"/>
      <c r="S1054" s="110"/>
      <c r="T1054" s="102"/>
      <c r="U1054" s="101"/>
      <c r="V1054" s="103"/>
      <c r="W1054" s="101"/>
    </row>
    <row r="1055" spans="1:23" x14ac:dyDescent="0.25">
      <c r="A1055" s="98"/>
      <c r="H1055" s="101"/>
      <c r="I1055" s="101"/>
      <c r="J1055" s="101"/>
      <c r="K1055" s="101"/>
      <c r="L1055" s="101"/>
      <c r="M1055" s="101"/>
      <c r="N1055" s="101"/>
      <c r="O1055" s="101"/>
      <c r="P1055" s="101"/>
      <c r="Q1055" s="101"/>
      <c r="R1055" s="101"/>
      <c r="S1055" s="110"/>
      <c r="T1055" s="102"/>
      <c r="U1055" s="101"/>
      <c r="V1055" s="103"/>
      <c r="W1055" s="101"/>
    </row>
    <row r="1056" spans="1:23" x14ac:dyDescent="0.25">
      <c r="A1056" s="98"/>
      <c r="H1056" s="101"/>
      <c r="I1056" s="101"/>
      <c r="J1056" s="101"/>
      <c r="K1056" s="101"/>
      <c r="L1056" s="101"/>
      <c r="M1056" s="101"/>
      <c r="N1056" s="101"/>
      <c r="O1056" s="101"/>
      <c r="P1056" s="101"/>
      <c r="Q1056" s="101"/>
      <c r="R1056" s="101"/>
      <c r="S1056" s="110"/>
      <c r="T1056" s="102"/>
      <c r="U1056" s="101"/>
      <c r="V1056" s="103"/>
      <c r="W1056" s="101"/>
    </row>
    <row r="1057" spans="1:23" x14ac:dyDescent="0.25">
      <c r="A1057" s="98"/>
      <c r="H1057" s="101"/>
      <c r="I1057" s="101"/>
      <c r="J1057" s="101"/>
      <c r="K1057" s="101"/>
      <c r="L1057" s="101"/>
      <c r="M1057" s="101"/>
      <c r="N1057" s="101"/>
      <c r="O1057" s="101"/>
      <c r="P1057" s="101"/>
      <c r="Q1057" s="101"/>
      <c r="R1057" s="101"/>
      <c r="S1057" s="110"/>
      <c r="T1057" s="102"/>
      <c r="U1057" s="101"/>
      <c r="V1057" s="103"/>
      <c r="W1057" s="101"/>
    </row>
    <row r="1058" spans="1:23" x14ac:dyDescent="0.25">
      <c r="A1058" s="98"/>
      <c r="H1058" s="101"/>
      <c r="I1058" s="101"/>
      <c r="J1058" s="101"/>
      <c r="K1058" s="101"/>
      <c r="L1058" s="101"/>
      <c r="M1058" s="101"/>
      <c r="N1058" s="101"/>
      <c r="O1058" s="101"/>
      <c r="P1058" s="101"/>
      <c r="Q1058" s="101"/>
      <c r="R1058" s="101"/>
      <c r="S1058" s="110"/>
      <c r="T1058" s="102"/>
      <c r="U1058" s="101"/>
      <c r="V1058" s="103"/>
      <c r="W1058" s="101"/>
    </row>
    <row r="1059" spans="1:23" x14ac:dyDescent="0.25">
      <c r="A1059" s="98"/>
      <c r="H1059" s="101"/>
      <c r="I1059" s="101"/>
      <c r="J1059" s="101"/>
      <c r="K1059" s="101"/>
      <c r="L1059" s="101"/>
      <c r="M1059" s="101"/>
      <c r="N1059" s="101"/>
      <c r="O1059" s="101"/>
      <c r="P1059" s="101"/>
      <c r="Q1059" s="101"/>
      <c r="R1059" s="101"/>
      <c r="S1059" s="110"/>
      <c r="T1059" s="102"/>
      <c r="U1059" s="101"/>
      <c r="V1059" s="103"/>
      <c r="W1059" s="101"/>
    </row>
    <row r="1060" spans="1:23" x14ac:dyDescent="0.25">
      <c r="A1060" s="98"/>
      <c r="H1060" s="101"/>
      <c r="I1060" s="101"/>
      <c r="J1060" s="101"/>
      <c r="K1060" s="101"/>
      <c r="L1060" s="101"/>
      <c r="M1060" s="101"/>
      <c r="N1060" s="101"/>
      <c r="O1060" s="101"/>
      <c r="P1060" s="101"/>
      <c r="Q1060" s="101"/>
      <c r="R1060" s="101"/>
      <c r="S1060" s="110"/>
      <c r="T1060" s="102"/>
      <c r="U1060" s="101"/>
      <c r="V1060" s="103"/>
      <c r="W1060" s="101"/>
    </row>
    <row r="1061" spans="1:23" x14ac:dyDescent="0.25">
      <c r="A1061" s="98"/>
      <c r="H1061" s="101"/>
      <c r="I1061" s="101"/>
      <c r="J1061" s="101"/>
      <c r="K1061" s="101"/>
      <c r="L1061" s="101"/>
      <c r="M1061" s="101"/>
      <c r="N1061" s="101"/>
      <c r="O1061" s="101"/>
      <c r="P1061" s="101"/>
      <c r="Q1061" s="101"/>
      <c r="R1061" s="101"/>
      <c r="S1061" s="110"/>
      <c r="T1061" s="102"/>
      <c r="U1061" s="101"/>
      <c r="V1061" s="103"/>
      <c r="W1061" s="101"/>
    </row>
    <row r="1062" spans="1:23" x14ac:dyDescent="0.25">
      <c r="A1062" s="98"/>
      <c r="H1062" s="101"/>
      <c r="I1062" s="101"/>
      <c r="J1062" s="101"/>
      <c r="K1062" s="101"/>
      <c r="L1062" s="101"/>
      <c r="M1062" s="101"/>
      <c r="N1062" s="101"/>
      <c r="O1062" s="101"/>
      <c r="P1062" s="101"/>
      <c r="Q1062" s="101"/>
      <c r="R1062" s="101"/>
      <c r="S1062" s="110"/>
      <c r="T1062" s="102"/>
      <c r="U1062" s="101"/>
      <c r="V1062" s="103"/>
      <c r="W1062" s="101"/>
    </row>
    <row r="1063" spans="1:23" x14ac:dyDescent="0.25">
      <c r="A1063" s="98"/>
      <c r="H1063" s="101"/>
      <c r="I1063" s="101"/>
      <c r="J1063" s="101"/>
      <c r="K1063" s="101"/>
      <c r="L1063" s="101"/>
      <c r="M1063" s="101"/>
      <c r="N1063" s="101"/>
      <c r="O1063" s="101"/>
      <c r="P1063" s="101"/>
      <c r="Q1063" s="101"/>
      <c r="R1063" s="101"/>
      <c r="S1063" s="110"/>
      <c r="T1063" s="102"/>
      <c r="U1063" s="101"/>
      <c r="V1063" s="103"/>
      <c r="W1063" s="101"/>
    </row>
    <row r="1064" spans="1:23" x14ac:dyDescent="0.25">
      <c r="A1064" s="98"/>
      <c r="H1064" s="101"/>
      <c r="I1064" s="101"/>
      <c r="J1064" s="101"/>
      <c r="K1064" s="101"/>
      <c r="L1064" s="101"/>
      <c r="M1064" s="101"/>
      <c r="N1064" s="101"/>
      <c r="O1064" s="101"/>
      <c r="P1064" s="101"/>
      <c r="Q1064" s="101"/>
      <c r="R1064" s="101"/>
      <c r="S1064" s="110"/>
      <c r="T1064" s="102"/>
      <c r="U1064" s="101"/>
      <c r="V1064" s="103"/>
      <c r="W1064" s="101"/>
    </row>
    <row r="1065" spans="1:23" x14ac:dyDescent="0.25">
      <c r="A1065" s="98"/>
      <c r="H1065" s="101"/>
      <c r="I1065" s="101"/>
      <c r="J1065" s="101"/>
      <c r="K1065" s="101"/>
      <c r="L1065" s="101"/>
      <c r="M1065" s="101"/>
      <c r="N1065" s="101"/>
      <c r="O1065" s="101"/>
      <c r="P1065" s="101"/>
      <c r="Q1065" s="101"/>
      <c r="R1065" s="101"/>
      <c r="S1065" s="110"/>
      <c r="T1065" s="102"/>
      <c r="U1065" s="101"/>
      <c r="V1065" s="103"/>
      <c r="W1065" s="101"/>
    </row>
    <row r="1066" spans="1:23" x14ac:dyDescent="0.25">
      <c r="A1066" s="98"/>
      <c r="H1066" s="101"/>
      <c r="I1066" s="101"/>
      <c r="J1066" s="101"/>
      <c r="K1066" s="101"/>
      <c r="L1066" s="101"/>
      <c r="M1066" s="101"/>
      <c r="N1066" s="101"/>
      <c r="O1066" s="101"/>
      <c r="P1066" s="101"/>
      <c r="Q1066" s="101"/>
      <c r="R1066" s="101"/>
      <c r="S1066" s="110"/>
      <c r="T1066" s="102"/>
      <c r="U1066" s="101"/>
      <c r="V1066" s="103"/>
      <c r="W1066" s="101"/>
    </row>
    <row r="1067" spans="1:23" x14ac:dyDescent="0.25">
      <c r="A1067" s="98"/>
      <c r="H1067" s="101"/>
      <c r="I1067" s="101"/>
      <c r="J1067" s="101"/>
      <c r="K1067" s="101"/>
      <c r="L1067" s="101"/>
      <c r="M1067" s="101"/>
      <c r="N1067" s="101"/>
      <c r="O1067" s="101"/>
      <c r="P1067" s="101"/>
      <c r="Q1067" s="101"/>
      <c r="R1067" s="101"/>
      <c r="S1067" s="110"/>
      <c r="T1067" s="102"/>
      <c r="U1067" s="101"/>
      <c r="V1067" s="103"/>
      <c r="W1067" s="101"/>
    </row>
    <row r="1068" spans="1:23" x14ac:dyDescent="0.25">
      <c r="A1068" s="98"/>
      <c r="H1068" s="101"/>
      <c r="I1068" s="101"/>
      <c r="J1068" s="101"/>
      <c r="K1068" s="101"/>
      <c r="L1068" s="101"/>
      <c r="M1068" s="101"/>
      <c r="N1068" s="101"/>
      <c r="O1068" s="101"/>
      <c r="P1068" s="101"/>
      <c r="Q1068" s="101"/>
      <c r="R1068" s="101"/>
      <c r="S1068" s="110"/>
      <c r="T1068" s="102"/>
      <c r="U1068" s="101"/>
      <c r="V1068" s="103"/>
      <c r="W1068" s="101"/>
    </row>
    <row r="1069" spans="1:23" x14ac:dyDescent="0.25">
      <c r="A1069" s="98"/>
      <c r="H1069" s="101"/>
      <c r="I1069" s="101"/>
      <c r="J1069" s="101"/>
      <c r="K1069" s="101"/>
      <c r="L1069" s="101"/>
      <c r="M1069" s="101"/>
      <c r="N1069" s="101"/>
      <c r="O1069" s="101"/>
      <c r="P1069" s="101"/>
      <c r="Q1069" s="101"/>
      <c r="R1069" s="101"/>
      <c r="S1069" s="110"/>
      <c r="T1069" s="102"/>
      <c r="U1069" s="101"/>
      <c r="V1069" s="103"/>
      <c r="W1069" s="101"/>
    </row>
    <row r="1070" spans="1:23" x14ac:dyDescent="0.25">
      <c r="A1070" s="98"/>
      <c r="H1070" s="101"/>
      <c r="I1070" s="101"/>
      <c r="J1070" s="101"/>
      <c r="K1070" s="101"/>
      <c r="L1070" s="101"/>
      <c r="M1070" s="101"/>
      <c r="N1070" s="101"/>
      <c r="O1070" s="101"/>
      <c r="P1070" s="101"/>
      <c r="Q1070" s="101"/>
      <c r="R1070" s="101"/>
      <c r="S1070" s="110"/>
      <c r="T1070" s="102"/>
      <c r="U1070" s="101"/>
      <c r="V1070" s="103"/>
      <c r="W1070" s="101"/>
    </row>
    <row r="1071" spans="1:23" x14ac:dyDescent="0.25">
      <c r="A1071" s="98"/>
      <c r="H1071" s="101"/>
      <c r="I1071" s="101"/>
      <c r="J1071" s="101"/>
      <c r="K1071" s="101"/>
      <c r="L1071" s="101"/>
      <c r="M1071" s="101"/>
      <c r="N1071" s="101"/>
      <c r="O1071" s="101"/>
      <c r="P1071" s="101"/>
      <c r="Q1071" s="101"/>
      <c r="R1071" s="101"/>
      <c r="S1071" s="110"/>
      <c r="T1071" s="102"/>
      <c r="U1071" s="101"/>
      <c r="V1071" s="103"/>
      <c r="W1071" s="101"/>
    </row>
    <row r="1072" spans="1:23" x14ac:dyDescent="0.25">
      <c r="A1072" s="98"/>
      <c r="H1072" s="101"/>
      <c r="I1072" s="101"/>
      <c r="J1072" s="101"/>
      <c r="K1072" s="101"/>
      <c r="L1072" s="101"/>
      <c r="M1072" s="101"/>
      <c r="N1072" s="101"/>
      <c r="O1072" s="101"/>
      <c r="P1072" s="101"/>
      <c r="Q1072" s="101"/>
      <c r="R1072" s="101"/>
      <c r="S1072" s="110"/>
      <c r="T1072" s="102"/>
      <c r="U1072" s="101"/>
      <c r="V1072" s="103"/>
      <c r="W1072" s="101"/>
    </row>
    <row r="1073" spans="1:23" x14ac:dyDescent="0.25">
      <c r="A1073" s="98"/>
      <c r="H1073" s="101"/>
      <c r="I1073" s="101"/>
      <c r="J1073" s="101"/>
      <c r="K1073" s="101"/>
      <c r="L1073" s="101"/>
      <c r="M1073" s="101"/>
      <c r="N1073" s="101"/>
      <c r="O1073" s="101"/>
      <c r="P1073" s="101"/>
      <c r="Q1073" s="101"/>
      <c r="R1073" s="101"/>
      <c r="S1073" s="110"/>
      <c r="T1073" s="102"/>
      <c r="U1073" s="101"/>
      <c r="V1073" s="103"/>
      <c r="W1073" s="101"/>
    </row>
    <row r="1074" spans="1:23" x14ac:dyDescent="0.25">
      <c r="A1074" s="98"/>
      <c r="H1074" s="101"/>
      <c r="I1074" s="101"/>
      <c r="J1074" s="101"/>
      <c r="K1074" s="101"/>
      <c r="L1074" s="101"/>
      <c r="M1074" s="101"/>
      <c r="N1074" s="101"/>
      <c r="O1074" s="101"/>
      <c r="P1074" s="101"/>
      <c r="Q1074" s="101"/>
      <c r="R1074" s="101"/>
      <c r="S1074" s="110"/>
      <c r="T1074" s="102"/>
      <c r="U1074" s="101"/>
      <c r="V1074" s="103"/>
      <c r="W1074" s="101"/>
    </row>
    <row r="1075" spans="1:23" x14ac:dyDescent="0.25">
      <c r="A1075" s="98"/>
      <c r="H1075" s="101"/>
      <c r="I1075" s="101"/>
      <c r="J1075" s="101"/>
      <c r="K1075" s="101"/>
      <c r="L1075" s="101"/>
      <c r="M1075" s="101"/>
      <c r="N1075" s="101"/>
      <c r="O1075" s="101"/>
      <c r="P1075" s="101"/>
      <c r="Q1075" s="101"/>
      <c r="R1075" s="101"/>
      <c r="S1075" s="110"/>
      <c r="T1075" s="102"/>
      <c r="U1075" s="101"/>
      <c r="V1075" s="103"/>
      <c r="W1075" s="101"/>
    </row>
    <row r="1076" spans="1:23" x14ac:dyDescent="0.25">
      <c r="A1076" s="98"/>
      <c r="H1076" s="101"/>
      <c r="I1076" s="101"/>
      <c r="J1076" s="101"/>
      <c r="K1076" s="101"/>
      <c r="L1076" s="101"/>
      <c r="M1076" s="101"/>
      <c r="N1076" s="101"/>
      <c r="O1076" s="101"/>
      <c r="P1076" s="101"/>
      <c r="Q1076" s="101"/>
      <c r="R1076" s="101"/>
      <c r="S1076" s="110"/>
      <c r="T1076" s="102"/>
      <c r="U1076" s="101"/>
      <c r="V1076" s="103"/>
      <c r="W1076" s="101"/>
    </row>
    <row r="1077" spans="1:23" x14ac:dyDescent="0.25">
      <c r="A1077" s="98"/>
      <c r="H1077" s="101"/>
      <c r="I1077" s="101"/>
      <c r="J1077" s="101"/>
      <c r="K1077" s="101"/>
      <c r="L1077" s="101"/>
      <c r="M1077" s="101"/>
      <c r="N1077" s="101"/>
      <c r="O1077" s="101"/>
      <c r="P1077" s="101"/>
      <c r="Q1077" s="101"/>
      <c r="R1077" s="101"/>
      <c r="S1077" s="110"/>
      <c r="T1077" s="102"/>
      <c r="U1077" s="101"/>
      <c r="V1077" s="103"/>
      <c r="W1077" s="101"/>
    </row>
    <row r="1078" spans="1:23" x14ac:dyDescent="0.25">
      <c r="A1078" s="98"/>
      <c r="H1078" s="101"/>
      <c r="I1078" s="101"/>
      <c r="J1078" s="101"/>
      <c r="K1078" s="101"/>
      <c r="L1078" s="101"/>
      <c r="M1078" s="101"/>
      <c r="N1078" s="101"/>
      <c r="O1078" s="101"/>
      <c r="P1078" s="101"/>
      <c r="Q1078" s="101"/>
      <c r="R1078" s="101"/>
      <c r="S1078" s="110"/>
      <c r="T1078" s="102"/>
      <c r="U1078" s="101"/>
      <c r="V1078" s="103"/>
      <c r="W1078" s="101"/>
    </row>
    <row r="1079" spans="1:23" x14ac:dyDescent="0.25">
      <c r="A1079" s="98"/>
      <c r="H1079" s="101"/>
      <c r="I1079" s="101"/>
      <c r="J1079" s="101"/>
      <c r="K1079" s="101"/>
      <c r="L1079" s="101"/>
      <c r="M1079" s="101"/>
      <c r="N1079" s="101"/>
      <c r="O1079" s="101"/>
      <c r="P1079" s="101"/>
      <c r="Q1079" s="101"/>
      <c r="R1079" s="101"/>
      <c r="S1079" s="110"/>
      <c r="T1079" s="102"/>
      <c r="U1079" s="101"/>
      <c r="V1079" s="103"/>
      <c r="W1079" s="101"/>
    </row>
    <row r="1080" spans="1:23" x14ac:dyDescent="0.25">
      <c r="A1080" s="98"/>
      <c r="H1080" s="101"/>
      <c r="I1080" s="101"/>
      <c r="J1080" s="101"/>
      <c r="K1080" s="101"/>
      <c r="L1080" s="101"/>
      <c r="M1080" s="101"/>
      <c r="N1080" s="101"/>
      <c r="O1080" s="101"/>
      <c r="P1080" s="101"/>
      <c r="Q1080" s="101"/>
      <c r="R1080" s="101"/>
      <c r="S1080" s="110"/>
      <c r="T1080" s="102"/>
      <c r="U1080" s="101"/>
      <c r="V1080" s="103"/>
      <c r="W1080" s="101"/>
    </row>
    <row r="1081" spans="1:23" x14ac:dyDescent="0.25">
      <c r="A1081" s="98"/>
      <c r="H1081" s="101"/>
      <c r="I1081" s="101"/>
      <c r="J1081" s="101"/>
      <c r="K1081" s="101"/>
      <c r="L1081" s="101"/>
      <c r="M1081" s="101"/>
      <c r="N1081" s="101"/>
      <c r="O1081" s="101"/>
      <c r="P1081" s="101"/>
      <c r="Q1081" s="101"/>
      <c r="R1081" s="101"/>
      <c r="S1081" s="110"/>
      <c r="T1081" s="102"/>
      <c r="U1081" s="101"/>
      <c r="V1081" s="103"/>
      <c r="W1081" s="101"/>
    </row>
    <row r="1082" spans="1:23" x14ac:dyDescent="0.25">
      <c r="A1082" s="98"/>
      <c r="H1082" s="101"/>
      <c r="I1082" s="101"/>
      <c r="J1082" s="101"/>
      <c r="K1082" s="101"/>
      <c r="L1082" s="101"/>
      <c r="M1082" s="101"/>
      <c r="N1082" s="101"/>
      <c r="O1082" s="101"/>
      <c r="P1082" s="101"/>
      <c r="Q1082" s="101"/>
      <c r="R1082" s="101"/>
      <c r="S1082" s="110"/>
      <c r="T1082" s="102"/>
      <c r="U1082" s="101"/>
      <c r="V1082" s="103"/>
      <c r="W1082" s="101"/>
    </row>
    <row r="1083" spans="1:23" x14ac:dyDescent="0.25">
      <c r="A1083" s="98"/>
      <c r="H1083" s="101"/>
      <c r="I1083" s="101"/>
      <c r="J1083" s="101"/>
      <c r="K1083" s="101"/>
      <c r="L1083" s="101"/>
      <c r="M1083" s="101"/>
      <c r="N1083" s="101"/>
      <c r="O1083" s="101"/>
      <c r="P1083" s="101"/>
      <c r="Q1083" s="101"/>
      <c r="R1083" s="101"/>
      <c r="S1083" s="110"/>
      <c r="T1083" s="102"/>
      <c r="U1083" s="101"/>
      <c r="V1083" s="103"/>
      <c r="W1083" s="101"/>
    </row>
    <row r="1084" spans="1:23" x14ac:dyDescent="0.25">
      <c r="A1084" s="98"/>
      <c r="H1084" s="101"/>
      <c r="I1084" s="101"/>
      <c r="J1084" s="101"/>
      <c r="K1084" s="101"/>
      <c r="L1084" s="101"/>
      <c r="M1084" s="101"/>
      <c r="N1084" s="101"/>
      <c r="O1084" s="101"/>
      <c r="P1084" s="101"/>
      <c r="Q1084" s="101"/>
      <c r="R1084" s="101"/>
      <c r="S1084" s="110"/>
      <c r="T1084" s="102"/>
      <c r="U1084" s="101"/>
      <c r="V1084" s="103"/>
      <c r="W1084" s="101"/>
    </row>
    <row r="1085" spans="1:23" x14ac:dyDescent="0.25">
      <c r="A1085" s="98"/>
      <c r="H1085" s="101"/>
      <c r="I1085" s="101"/>
      <c r="J1085" s="101"/>
      <c r="K1085" s="101"/>
      <c r="L1085" s="101"/>
      <c r="M1085" s="101"/>
      <c r="N1085" s="101"/>
      <c r="O1085" s="101"/>
      <c r="P1085" s="101"/>
      <c r="Q1085" s="101"/>
      <c r="R1085" s="101"/>
      <c r="S1085" s="110"/>
      <c r="T1085" s="102"/>
      <c r="U1085" s="101"/>
      <c r="V1085" s="103"/>
      <c r="W1085" s="101"/>
    </row>
    <row r="1086" spans="1:23" x14ac:dyDescent="0.25">
      <c r="A1086" s="98"/>
      <c r="H1086" s="101"/>
      <c r="I1086" s="101"/>
      <c r="J1086" s="101"/>
      <c r="K1086" s="101"/>
      <c r="L1086" s="101"/>
      <c r="M1086" s="101"/>
      <c r="N1086" s="101"/>
      <c r="O1086" s="101"/>
      <c r="P1086" s="101"/>
      <c r="Q1086" s="101"/>
      <c r="R1086" s="101"/>
      <c r="S1086" s="110"/>
      <c r="T1086" s="102"/>
      <c r="U1086" s="101"/>
      <c r="V1086" s="103"/>
      <c r="W1086" s="101"/>
    </row>
    <row r="1087" spans="1:23" x14ac:dyDescent="0.25">
      <c r="A1087" s="98"/>
      <c r="H1087" s="101"/>
      <c r="I1087" s="101"/>
      <c r="J1087" s="101"/>
      <c r="K1087" s="101"/>
      <c r="L1087" s="101"/>
      <c r="M1087" s="101"/>
      <c r="N1087" s="101"/>
      <c r="O1087" s="101"/>
      <c r="P1087" s="101"/>
      <c r="Q1087" s="101"/>
      <c r="R1087" s="101"/>
      <c r="S1087" s="110"/>
      <c r="T1087" s="102"/>
      <c r="U1087" s="101"/>
      <c r="V1087" s="103"/>
      <c r="W1087" s="101"/>
    </row>
    <row r="1088" spans="1:23" x14ac:dyDescent="0.25">
      <c r="A1088" s="98"/>
      <c r="H1088" s="101"/>
      <c r="I1088" s="101"/>
      <c r="J1088" s="101"/>
      <c r="K1088" s="101"/>
      <c r="L1088" s="101"/>
      <c r="M1088" s="101"/>
      <c r="N1088" s="101"/>
      <c r="O1088" s="101"/>
      <c r="P1088" s="101"/>
      <c r="Q1088" s="101"/>
      <c r="R1088" s="101"/>
      <c r="S1088" s="110"/>
      <c r="T1088" s="102"/>
      <c r="U1088" s="101"/>
      <c r="V1088" s="103"/>
      <c r="W1088" s="101"/>
    </row>
    <row r="1089" spans="1:23" x14ac:dyDescent="0.25">
      <c r="A1089" s="98"/>
      <c r="H1089" s="101"/>
      <c r="I1089" s="101"/>
      <c r="J1089" s="101"/>
      <c r="K1089" s="101"/>
      <c r="L1089" s="101"/>
      <c r="M1089" s="101"/>
      <c r="N1089" s="101"/>
      <c r="O1089" s="101"/>
      <c r="P1089" s="101"/>
      <c r="Q1089" s="101"/>
      <c r="R1089" s="101"/>
      <c r="S1089" s="110"/>
      <c r="T1089" s="102"/>
      <c r="U1089" s="101"/>
      <c r="V1089" s="103"/>
      <c r="W1089" s="101"/>
    </row>
    <row r="1090" spans="1:23" x14ac:dyDescent="0.25">
      <c r="A1090" s="98"/>
      <c r="H1090" s="101"/>
      <c r="I1090" s="101"/>
      <c r="J1090" s="101"/>
      <c r="K1090" s="101"/>
      <c r="L1090" s="101"/>
      <c r="M1090" s="101"/>
      <c r="N1090" s="101"/>
      <c r="O1090" s="101"/>
      <c r="P1090" s="101"/>
      <c r="Q1090" s="101"/>
      <c r="R1090" s="101"/>
      <c r="S1090" s="110"/>
      <c r="T1090" s="102"/>
      <c r="U1090" s="101"/>
      <c r="V1090" s="103"/>
      <c r="W1090" s="101"/>
    </row>
    <row r="1091" spans="1:23" x14ac:dyDescent="0.25">
      <c r="A1091" s="98"/>
      <c r="H1091" s="101"/>
      <c r="I1091" s="101"/>
      <c r="J1091" s="101"/>
      <c r="K1091" s="101"/>
      <c r="L1091" s="101"/>
      <c r="M1091" s="101"/>
      <c r="N1091" s="101"/>
      <c r="O1091" s="101"/>
      <c r="P1091" s="101"/>
      <c r="Q1091" s="101"/>
      <c r="R1091" s="101"/>
      <c r="S1091" s="110"/>
      <c r="T1091" s="102"/>
      <c r="U1091" s="101"/>
      <c r="V1091" s="103"/>
      <c r="W1091" s="101"/>
    </row>
    <row r="1092" spans="1:23" x14ac:dyDescent="0.25">
      <c r="A1092" s="98"/>
      <c r="H1092" s="101"/>
      <c r="I1092" s="101"/>
      <c r="J1092" s="101"/>
      <c r="K1092" s="101"/>
      <c r="L1092" s="101"/>
      <c r="M1092" s="101"/>
      <c r="N1092" s="101"/>
      <c r="O1092" s="101"/>
      <c r="P1092" s="101"/>
      <c r="Q1092" s="101"/>
      <c r="R1092" s="101"/>
      <c r="S1092" s="110"/>
      <c r="T1092" s="102"/>
      <c r="U1092" s="101"/>
      <c r="V1092" s="103"/>
      <c r="W1092" s="101"/>
    </row>
    <row r="1093" spans="1:23" x14ac:dyDescent="0.25">
      <c r="A1093" s="98"/>
      <c r="H1093" s="101"/>
      <c r="I1093" s="101"/>
      <c r="J1093" s="101"/>
      <c r="K1093" s="101"/>
      <c r="L1093" s="101"/>
      <c r="M1093" s="101"/>
      <c r="N1093" s="101"/>
      <c r="O1093" s="101"/>
      <c r="P1093" s="101"/>
      <c r="Q1093" s="101"/>
      <c r="R1093" s="101"/>
      <c r="S1093" s="110"/>
      <c r="T1093" s="102"/>
      <c r="U1093" s="101"/>
      <c r="V1093" s="103"/>
      <c r="W1093" s="101"/>
    </row>
    <row r="1094" spans="1:23" x14ac:dyDescent="0.25">
      <c r="A1094" s="98"/>
      <c r="H1094" s="101"/>
      <c r="I1094" s="101"/>
      <c r="J1094" s="101"/>
      <c r="K1094" s="101"/>
      <c r="L1094" s="101"/>
      <c r="M1094" s="101"/>
      <c r="N1094" s="101"/>
      <c r="O1094" s="101"/>
      <c r="P1094" s="101"/>
      <c r="Q1094" s="101"/>
      <c r="R1094" s="101"/>
      <c r="S1094" s="110"/>
      <c r="T1094" s="102"/>
      <c r="U1094" s="101"/>
      <c r="V1094" s="103"/>
      <c r="W1094" s="101"/>
    </row>
    <row r="1095" spans="1:23" x14ac:dyDescent="0.25">
      <c r="A1095" s="98"/>
      <c r="H1095" s="101"/>
      <c r="I1095" s="101"/>
      <c r="J1095" s="101"/>
      <c r="K1095" s="101"/>
      <c r="L1095" s="101"/>
      <c r="M1095" s="101"/>
      <c r="N1095" s="101"/>
      <c r="O1095" s="101"/>
      <c r="P1095" s="101"/>
      <c r="Q1095" s="101"/>
      <c r="R1095" s="101"/>
      <c r="S1095" s="110"/>
      <c r="T1095" s="102"/>
      <c r="U1095" s="101"/>
      <c r="V1095" s="103"/>
      <c r="W1095" s="101"/>
    </row>
    <row r="1096" spans="1:23" x14ac:dyDescent="0.25">
      <c r="A1096" s="98"/>
      <c r="H1096" s="101"/>
      <c r="I1096" s="101"/>
      <c r="J1096" s="101"/>
      <c r="K1096" s="101"/>
      <c r="L1096" s="101"/>
      <c r="M1096" s="101"/>
      <c r="N1096" s="101"/>
      <c r="O1096" s="101"/>
      <c r="P1096" s="101"/>
      <c r="Q1096" s="101"/>
      <c r="R1096" s="101"/>
      <c r="S1096" s="110"/>
      <c r="T1096" s="102"/>
      <c r="U1096" s="101"/>
      <c r="V1096" s="103"/>
      <c r="W1096" s="101"/>
    </row>
    <row r="1097" spans="1:23" x14ac:dyDescent="0.25">
      <c r="A1097" s="98"/>
      <c r="H1097" s="101"/>
      <c r="I1097" s="101"/>
      <c r="J1097" s="101"/>
      <c r="K1097" s="101"/>
      <c r="L1097" s="101"/>
      <c r="M1097" s="101"/>
      <c r="N1097" s="101"/>
      <c r="O1097" s="101"/>
      <c r="P1097" s="101"/>
      <c r="Q1097" s="101"/>
      <c r="R1097" s="101"/>
      <c r="S1097" s="110"/>
      <c r="T1097" s="102"/>
      <c r="U1097" s="101"/>
      <c r="V1097" s="103"/>
      <c r="W1097" s="101"/>
    </row>
    <row r="1098" spans="1:23" x14ac:dyDescent="0.25">
      <c r="A1098" s="98"/>
      <c r="H1098" s="101"/>
      <c r="I1098" s="101"/>
      <c r="J1098" s="101"/>
      <c r="K1098" s="101"/>
      <c r="L1098" s="101"/>
      <c r="M1098" s="101"/>
      <c r="N1098" s="101"/>
      <c r="O1098" s="101"/>
      <c r="P1098" s="101"/>
      <c r="Q1098" s="101"/>
      <c r="R1098" s="101"/>
      <c r="S1098" s="110"/>
      <c r="T1098" s="102"/>
      <c r="U1098" s="101"/>
      <c r="V1098" s="103"/>
      <c r="W1098" s="101"/>
    </row>
    <row r="1099" spans="1:23" x14ac:dyDescent="0.25">
      <c r="A1099" s="98"/>
      <c r="H1099" s="101"/>
      <c r="I1099" s="101"/>
      <c r="J1099" s="101"/>
      <c r="K1099" s="101"/>
      <c r="L1099" s="101"/>
      <c r="M1099" s="101"/>
      <c r="N1099" s="101"/>
      <c r="O1099" s="101"/>
      <c r="P1099" s="101"/>
      <c r="Q1099" s="101"/>
      <c r="R1099" s="101"/>
      <c r="S1099" s="110"/>
      <c r="T1099" s="102"/>
      <c r="U1099" s="101"/>
      <c r="V1099" s="103"/>
      <c r="W1099" s="101"/>
    </row>
    <row r="1100" spans="1:23" x14ac:dyDescent="0.25">
      <c r="A1100" s="98"/>
      <c r="H1100" s="101"/>
      <c r="I1100" s="101"/>
      <c r="J1100" s="101"/>
      <c r="K1100" s="101"/>
      <c r="L1100" s="101"/>
      <c r="M1100" s="101"/>
      <c r="N1100" s="101"/>
      <c r="O1100" s="101"/>
      <c r="P1100" s="101"/>
      <c r="Q1100" s="101"/>
      <c r="R1100" s="101"/>
      <c r="S1100" s="110"/>
      <c r="T1100" s="102"/>
      <c r="U1100" s="101"/>
      <c r="V1100" s="103"/>
      <c r="W1100" s="101"/>
    </row>
    <row r="1101" spans="1:23" x14ac:dyDescent="0.25">
      <c r="A1101" s="98"/>
      <c r="H1101" s="101"/>
      <c r="I1101" s="101"/>
      <c r="J1101" s="101"/>
      <c r="K1101" s="101"/>
      <c r="L1101" s="101"/>
      <c r="M1101" s="101"/>
      <c r="N1101" s="101"/>
      <c r="O1101" s="101"/>
      <c r="P1101" s="101"/>
      <c r="Q1101" s="101"/>
      <c r="R1101" s="101"/>
      <c r="S1101" s="110"/>
      <c r="T1101" s="102"/>
      <c r="U1101" s="101"/>
      <c r="V1101" s="103"/>
      <c r="W1101" s="101"/>
    </row>
    <row r="1102" spans="1:23" x14ac:dyDescent="0.25">
      <c r="A1102" s="98"/>
      <c r="H1102" s="101"/>
      <c r="I1102" s="101"/>
      <c r="J1102" s="101"/>
      <c r="K1102" s="101"/>
      <c r="L1102" s="101"/>
      <c r="M1102" s="101"/>
      <c r="N1102" s="101"/>
      <c r="O1102" s="101"/>
      <c r="P1102" s="101"/>
      <c r="Q1102" s="101"/>
      <c r="R1102" s="101"/>
      <c r="S1102" s="110"/>
      <c r="T1102" s="102"/>
      <c r="U1102" s="101"/>
      <c r="V1102" s="103"/>
      <c r="W1102" s="101"/>
    </row>
    <row r="1103" spans="1:23" x14ac:dyDescent="0.25">
      <c r="A1103" s="98"/>
      <c r="H1103" s="101"/>
      <c r="I1103" s="101"/>
      <c r="J1103" s="101"/>
      <c r="K1103" s="101"/>
      <c r="L1103" s="101"/>
      <c r="M1103" s="101"/>
      <c r="N1103" s="101"/>
      <c r="O1103" s="101"/>
      <c r="P1103" s="101"/>
      <c r="Q1103" s="101"/>
      <c r="R1103" s="101"/>
      <c r="S1103" s="110"/>
      <c r="T1103" s="102"/>
      <c r="U1103" s="101"/>
      <c r="V1103" s="103"/>
      <c r="W1103" s="101"/>
    </row>
    <row r="1104" spans="1:23" x14ac:dyDescent="0.25">
      <c r="A1104" s="98"/>
      <c r="H1104" s="101"/>
      <c r="I1104" s="101"/>
      <c r="J1104" s="101"/>
      <c r="K1104" s="101"/>
      <c r="L1104" s="101"/>
      <c r="M1104" s="101"/>
      <c r="N1104" s="101"/>
      <c r="O1104" s="101"/>
      <c r="P1104" s="101"/>
      <c r="Q1104" s="101"/>
      <c r="R1104" s="101"/>
      <c r="S1104" s="110"/>
      <c r="T1104" s="102"/>
      <c r="U1104" s="101"/>
      <c r="V1104" s="103"/>
      <c r="W1104" s="101"/>
    </row>
    <row r="1105" spans="1:23" x14ac:dyDescent="0.25">
      <c r="A1105" s="98"/>
      <c r="H1105" s="101"/>
      <c r="I1105" s="101"/>
      <c r="J1105" s="101"/>
      <c r="K1105" s="101"/>
      <c r="L1105" s="101"/>
      <c r="M1105" s="101"/>
      <c r="N1105" s="101"/>
      <c r="O1105" s="101"/>
      <c r="P1105" s="101"/>
      <c r="Q1105" s="101"/>
      <c r="R1105" s="101"/>
      <c r="S1105" s="110"/>
      <c r="T1105" s="102"/>
      <c r="U1105" s="101"/>
      <c r="V1105" s="103"/>
      <c r="W1105" s="101"/>
    </row>
    <row r="1106" spans="1:23" x14ac:dyDescent="0.25">
      <c r="A1106" s="98"/>
      <c r="H1106" s="101"/>
      <c r="I1106" s="101"/>
      <c r="J1106" s="101"/>
      <c r="K1106" s="101"/>
      <c r="L1106" s="101"/>
      <c r="M1106" s="101"/>
      <c r="N1106" s="101"/>
      <c r="O1106" s="101"/>
      <c r="P1106" s="101"/>
      <c r="Q1106" s="101"/>
      <c r="R1106" s="101"/>
      <c r="S1106" s="110"/>
      <c r="T1106" s="102"/>
      <c r="U1106" s="101"/>
      <c r="V1106" s="103"/>
      <c r="W1106" s="101"/>
    </row>
    <row r="1107" spans="1:23" x14ac:dyDescent="0.25">
      <c r="A1107" s="98"/>
      <c r="H1107" s="101"/>
      <c r="I1107" s="101"/>
      <c r="J1107" s="101"/>
      <c r="K1107" s="101"/>
      <c r="L1107" s="101"/>
      <c r="M1107" s="101"/>
      <c r="N1107" s="101"/>
      <c r="O1107" s="101"/>
      <c r="P1107" s="101"/>
      <c r="Q1107" s="101"/>
      <c r="R1107" s="101"/>
      <c r="S1107" s="110"/>
      <c r="T1107" s="102"/>
      <c r="U1107" s="101"/>
      <c r="V1107" s="103"/>
      <c r="W1107" s="101"/>
    </row>
    <row r="1108" spans="1:23" x14ac:dyDescent="0.25">
      <c r="A1108" s="98"/>
      <c r="H1108" s="101"/>
      <c r="I1108" s="101"/>
      <c r="J1108" s="101"/>
      <c r="K1108" s="101"/>
      <c r="L1108" s="101"/>
      <c r="M1108" s="101"/>
      <c r="N1108" s="101"/>
      <c r="O1108" s="101"/>
      <c r="P1108" s="101"/>
      <c r="Q1108" s="101"/>
      <c r="R1108" s="101"/>
      <c r="S1108" s="110"/>
      <c r="T1108" s="102"/>
      <c r="U1108" s="101"/>
      <c r="V1108" s="103"/>
      <c r="W1108" s="101"/>
    </row>
    <row r="1109" spans="1:23" x14ac:dyDescent="0.25">
      <c r="A1109" s="98"/>
      <c r="H1109" s="101"/>
      <c r="I1109" s="101"/>
      <c r="J1109" s="101"/>
      <c r="K1109" s="101"/>
      <c r="L1109" s="101"/>
      <c r="M1109" s="101"/>
      <c r="N1109" s="101"/>
      <c r="O1109" s="101"/>
      <c r="P1109" s="101"/>
      <c r="Q1109" s="101"/>
      <c r="R1109" s="101"/>
      <c r="S1109" s="110"/>
      <c r="T1109" s="102"/>
      <c r="U1109" s="101"/>
      <c r="V1109" s="103"/>
      <c r="W1109" s="101"/>
    </row>
    <row r="1110" spans="1:23" x14ac:dyDescent="0.25">
      <c r="A1110" s="98"/>
      <c r="H1110" s="101"/>
      <c r="I1110" s="101"/>
      <c r="J1110" s="101"/>
      <c r="K1110" s="101"/>
      <c r="L1110" s="101"/>
      <c r="M1110" s="101"/>
      <c r="N1110" s="101"/>
      <c r="O1110" s="101"/>
      <c r="P1110" s="101"/>
      <c r="Q1110" s="101"/>
      <c r="R1110" s="101"/>
      <c r="S1110" s="110"/>
      <c r="T1110" s="102"/>
      <c r="U1110" s="101"/>
      <c r="V1110" s="103"/>
      <c r="W1110" s="101"/>
    </row>
    <row r="1111" spans="1:23" x14ac:dyDescent="0.25">
      <c r="A1111" s="98"/>
      <c r="H1111" s="101"/>
      <c r="I1111" s="101"/>
      <c r="J1111" s="101"/>
      <c r="K1111" s="101"/>
      <c r="L1111" s="101"/>
      <c r="M1111" s="101"/>
      <c r="N1111" s="101"/>
      <c r="O1111" s="101"/>
      <c r="P1111" s="101"/>
      <c r="Q1111" s="101"/>
      <c r="R1111" s="101"/>
      <c r="S1111" s="110"/>
      <c r="T1111" s="102"/>
      <c r="U1111" s="101"/>
      <c r="V1111" s="103"/>
      <c r="W1111" s="101"/>
    </row>
    <row r="1112" spans="1:23" x14ac:dyDescent="0.25">
      <c r="A1112" s="98"/>
      <c r="H1112" s="101"/>
      <c r="I1112" s="101"/>
      <c r="J1112" s="101"/>
      <c r="K1112" s="101"/>
      <c r="L1112" s="101"/>
      <c r="M1112" s="101"/>
      <c r="N1112" s="101"/>
      <c r="O1112" s="101"/>
      <c r="P1112" s="101"/>
      <c r="Q1112" s="101"/>
      <c r="R1112" s="101"/>
      <c r="S1112" s="110"/>
      <c r="T1112" s="102"/>
      <c r="U1112" s="101"/>
      <c r="V1112" s="103"/>
      <c r="W1112" s="101"/>
    </row>
    <row r="1113" spans="1:23" x14ac:dyDescent="0.25">
      <c r="A1113" s="98"/>
      <c r="H1113" s="101"/>
      <c r="I1113" s="101"/>
      <c r="J1113" s="101"/>
      <c r="K1113" s="101"/>
      <c r="L1113" s="101"/>
      <c r="M1113" s="101"/>
      <c r="N1113" s="101"/>
      <c r="O1113" s="101"/>
      <c r="P1113" s="101"/>
      <c r="Q1113" s="101"/>
      <c r="R1113" s="101"/>
      <c r="S1113" s="110"/>
      <c r="T1113" s="102"/>
      <c r="U1113" s="101"/>
      <c r="V1113" s="103"/>
      <c r="W1113" s="101"/>
    </row>
    <row r="1114" spans="1:23" x14ac:dyDescent="0.25">
      <c r="A1114" s="98"/>
      <c r="H1114" s="101"/>
      <c r="I1114" s="101"/>
      <c r="J1114" s="101"/>
      <c r="K1114" s="101"/>
      <c r="L1114" s="101"/>
      <c r="M1114" s="101"/>
      <c r="N1114" s="101"/>
      <c r="O1114" s="101"/>
      <c r="P1114" s="101"/>
      <c r="Q1114" s="101"/>
      <c r="R1114" s="101"/>
      <c r="S1114" s="110"/>
      <c r="T1114" s="102"/>
      <c r="U1114" s="101"/>
      <c r="V1114" s="103"/>
      <c r="W1114" s="101"/>
    </row>
    <row r="1115" spans="1:23" x14ac:dyDescent="0.25">
      <c r="A1115" s="98"/>
      <c r="H1115" s="101"/>
      <c r="I1115" s="101"/>
      <c r="J1115" s="101"/>
      <c r="K1115" s="101"/>
      <c r="L1115" s="101"/>
      <c r="M1115" s="101"/>
      <c r="N1115" s="101"/>
      <c r="O1115" s="101"/>
      <c r="P1115" s="101"/>
      <c r="Q1115" s="101"/>
      <c r="R1115" s="101"/>
      <c r="S1115" s="110"/>
      <c r="T1115" s="102"/>
      <c r="U1115" s="101"/>
      <c r="V1115" s="103"/>
      <c r="W1115" s="101"/>
    </row>
    <row r="1116" spans="1:23" x14ac:dyDescent="0.25">
      <c r="A1116" s="98"/>
      <c r="H1116" s="101"/>
      <c r="I1116" s="101"/>
      <c r="J1116" s="101"/>
      <c r="K1116" s="101"/>
      <c r="L1116" s="101"/>
      <c r="M1116" s="101"/>
      <c r="N1116" s="101"/>
      <c r="O1116" s="101"/>
      <c r="P1116" s="101"/>
      <c r="Q1116" s="101"/>
      <c r="R1116" s="101"/>
      <c r="S1116" s="110"/>
      <c r="T1116" s="102"/>
      <c r="U1116" s="101"/>
      <c r="V1116" s="103"/>
      <c r="W1116" s="101"/>
    </row>
    <row r="1117" spans="1:23" x14ac:dyDescent="0.25">
      <c r="A1117" s="98"/>
      <c r="H1117" s="101"/>
      <c r="I1117" s="101"/>
      <c r="J1117" s="101"/>
      <c r="K1117" s="101"/>
      <c r="L1117" s="101"/>
      <c r="M1117" s="101"/>
      <c r="N1117" s="101"/>
      <c r="O1117" s="101"/>
      <c r="P1117" s="101"/>
      <c r="Q1117" s="101"/>
      <c r="R1117" s="101"/>
      <c r="S1117" s="110"/>
      <c r="T1117" s="102"/>
      <c r="U1117" s="101"/>
      <c r="V1117" s="103"/>
      <c r="W1117" s="101"/>
    </row>
    <row r="1118" spans="1:23" x14ac:dyDescent="0.25">
      <c r="A1118" s="98"/>
      <c r="H1118" s="101"/>
      <c r="I1118" s="101"/>
      <c r="J1118" s="101"/>
      <c r="K1118" s="101"/>
      <c r="L1118" s="101"/>
      <c r="M1118" s="101"/>
      <c r="N1118" s="101"/>
      <c r="O1118" s="101"/>
      <c r="P1118" s="101"/>
      <c r="Q1118" s="101"/>
      <c r="R1118" s="101"/>
      <c r="S1118" s="110"/>
      <c r="T1118" s="102"/>
      <c r="U1118" s="101"/>
      <c r="V1118" s="103"/>
      <c r="W1118" s="101"/>
    </row>
    <row r="1119" spans="1:23" x14ac:dyDescent="0.25">
      <c r="A1119" s="98"/>
      <c r="H1119" s="101"/>
      <c r="I1119" s="101"/>
      <c r="J1119" s="101"/>
      <c r="K1119" s="101"/>
      <c r="L1119" s="101"/>
      <c r="M1119" s="101"/>
      <c r="N1119" s="101"/>
      <c r="O1119" s="101"/>
      <c r="P1119" s="101"/>
      <c r="Q1119" s="101"/>
      <c r="R1119" s="101"/>
      <c r="S1119" s="110"/>
      <c r="T1119" s="102"/>
      <c r="U1119" s="101"/>
      <c r="V1119" s="103"/>
      <c r="W1119" s="101"/>
    </row>
    <row r="1120" spans="1:23" x14ac:dyDescent="0.25">
      <c r="A1120" s="98"/>
      <c r="H1120" s="101"/>
      <c r="I1120" s="101"/>
      <c r="J1120" s="101"/>
      <c r="K1120" s="101"/>
      <c r="L1120" s="101"/>
      <c r="M1120" s="101"/>
      <c r="N1120" s="101"/>
      <c r="O1120" s="101"/>
      <c r="P1120" s="101"/>
      <c r="Q1120" s="101"/>
      <c r="R1120" s="101"/>
      <c r="S1120" s="110"/>
      <c r="T1120" s="102"/>
      <c r="U1120" s="101"/>
      <c r="V1120" s="103"/>
      <c r="W1120" s="101"/>
    </row>
    <row r="1121" spans="1:23" x14ac:dyDescent="0.25">
      <c r="A1121" s="98"/>
      <c r="H1121" s="101"/>
      <c r="I1121" s="101"/>
      <c r="J1121" s="101"/>
      <c r="K1121" s="101"/>
      <c r="L1121" s="101"/>
      <c r="M1121" s="101"/>
      <c r="N1121" s="101"/>
      <c r="O1121" s="101"/>
      <c r="P1121" s="101"/>
      <c r="Q1121" s="101"/>
      <c r="R1121" s="101"/>
      <c r="S1121" s="110"/>
      <c r="T1121" s="102"/>
      <c r="U1121" s="101"/>
      <c r="V1121" s="103"/>
      <c r="W1121" s="101"/>
    </row>
    <row r="1122" spans="1:23" x14ac:dyDescent="0.25">
      <c r="A1122" s="98"/>
      <c r="H1122" s="101"/>
      <c r="I1122" s="101"/>
      <c r="J1122" s="101"/>
      <c r="K1122" s="101"/>
      <c r="L1122" s="101"/>
      <c r="M1122" s="101"/>
      <c r="N1122" s="101"/>
      <c r="O1122" s="101"/>
      <c r="P1122" s="101"/>
      <c r="Q1122" s="101"/>
      <c r="R1122" s="101"/>
      <c r="S1122" s="110"/>
      <c r="T1122" s="102"/>
      <c r="U1122" s="101"/>
      <c r="V1122" s="103"/>
      <c r="W1122" s="101"/>
    </row>
    <row r="1123" spans="1:23" x14ac:dyDescent="0.25">
      <c r="A1123" s="98"/>
      <c r="H1123" s="101"/>
      <c r="I1123" s="101"/>
      <c r="J1123" s="101"/>
      <c r="K1123" s="101"/>
      <c r="L1123" s="101"/>
      <c r="M1123" s="101"/>
      <c r="N1123" s="101"/>
      <c r="O1123" s="101"/>
      <c r="P1123" s="101"/>
      <c r="Q1123" s="101"/>
      <c r="R1123" s="101"/>
      <c r="S1123" s="110"/>
      <c r="T1123" s="102"/>
      <c r="U1123" s="101"/>
      <c r="V1123" s="103"/>
      <c r="W1123" s="101"/>
    </row>
    <row r="1124" spans="1:23" x14ac:dyDescent="0.25">
      <c r="A1124" s="98"/>
      <c r="H1124" s="101"/>
      <c r="I1124" s="101"/>
      <c r="J1124" s="101"/>
      <c r="K1124" s="101"/>
      <c r="L1124" s="101"/>
      <c r="M1124" s="101"/>
      <c r="N1124" s="101"/>
      <c r="O1124" s="101"/>
      <c r="P1124" s="101"/>
      <c r="Q1124" s="101"/>
      <c r="R1124" s="101"/>
      <c r="S1124" s="110"/>
      <c r="T1124" s="102"/>
      <c r="U1124" s="101"/>
      <c r="V1124" s="103"/>
      <c r="W1124" s="101"/>
    </row>
    <row r="1125" spans="1:23" x14ac:dyDescent="0.25">
      <c r="A1125" s="98"/>
      <c r="H1125" s="101"/>
      <c r="I1125" s="101"/>
      <c r="J1125" s="101"/>
      <c r="K1125" s="101"/>
      <c r="L1125" s="101"/>
      <c r="M1125" s="101"/>
      <c r="N1125" s="101"/>
      <c r="O1125" s="101"/>
      <c r="P1125" s="101"/>
      <c r="Q1125" s="101"/>
      <c r="R1125" s="101"/>
      <c r="S1125" s="110"/>
      <c r="T1125" s="102"/>
      <c r="U1125" s="101"/>
      <c r="V1125" s="103"/>
      <c r="W1125" s="101"/>
    </row>
    <row r="1126" spans="1:23" x14ac:dyDescent="0.25">
      <c r="A1126" s="98"/>
      <c r="H1126" s="101"/>
      <c r="I1126" s="101"/>
      <c r="J1126" s="101"/>
      <c r="K1126" s="101"/>
      <c r="L1126" s="101"/>
      <c r="M1126" s="101"/>
      <c r="N1126" s="101"/>
      <c r="O1126" s="101"/>
      <c r="P1126" s="101"/>
      <c r="Q1126" s="101"/>
      <c r="R1126" s="101"/>
      <c r="S1126" s="110"/>
      <c r="T1126" s="102"/>
      <c r="U1126" s="101"/>
      <c r="V1126" s="103"/>
      <c r="W1126" s="101"/>
    </row>
    <row r="1127" spans="1:23" x14ac:dyDescent="0.25">
      <c r="A1127" s="98"/>
      <c r="H1127" s="101"/>
      <c r="I1127" s="101"/>
      <c r="J1127" s="101"/>
      <c r="K1127" s="101"/>
      <c r="L1127" s="101"/>
      <c r="M1127" s="101"/>
      <c r="N1127" s="101"/>
      <c r="O1127" s="101"/>
      <c r="P1127" s="101"/>
      <c r="Q1127" s="101"/>
      <c r="R1127" s="101"/>
      <c r="S1127" s="110"/>
      <c r="T1127" s="102"/>
      <c r="U1127" s="101"/>
      <c r="V1127" s="103"/>
      <c r="W1127" s="101"/>
    </row>
    <row r="1128" spans="1:23" x14ac:dyDescent="0.25">
      <c r="A1128" s="98"/>
      <c r="H1128" s="101"/>
      <c r="I1128" s="101"/>
      <c r="J1128" s="101"/>
      <c r="K1128" s="101"/>
      <c r="L1128" s="101"/>
      <c r="M1128" s="101"/>
      <c r="N1128" s="101"/>
      <c r="O1128" s="101"/>
      <c r="P1128" s="101"/>
      <c r="Q1128" s="101"/>
      <c r="R1128" s="101"/>
      <c r="S1128" s="110"/>
      <c r="T1128" s="102"/>
      <c r="U1128" s="101"/>
      <c r="V1128" s="103"/>
      <c r="W1128" s="101"/>
    </row>
    <row r="1129" spans="1:23" x14ac:dyDescent="0.25">
      <c r="A1129" s="98"/>
      <c r="H1129" s="101"/>
      <c r="I1129" s="101"/>
      <c r="J1129" s="101"/>
      <c r="K1129" s="101"/>
      <c r="L1129" s="101"/>
      <c r="M1129" s="101"/>
      <c r="N1129" s="101"/>
      <c r="O1129" s="101"/>
      <c r="P1129" s="101"/>
      <c r="Q1129" s="101"/>
      <c r="R1129" s="101"/>
      <c r="S1129" s="110"/>
      <c r="T1129" s="102"/>
      <c r="U1129" s="101"/>
      <c r="V1129" s="103"/>
      <c r="W1129" s="101"/>
    </row>
    <row r="1130" spans="1:23" x14ac:dyDescent="0.25">
      <c r="A1130" s="98"/>
      <c r="H1130" s="101"/>
      <c r="I1130" s="101"/>
      <c r="J1130" s="101"/>
      <c r="K1130" s="101"/>
      <c r="L1130" s="101"/>
      <c r="M1130" s="101"/>
      <c r="N1130" s="101"/>
      <c r="O1130" s="101"/>
      <c r="P1130" s="101"/>
      <c r="Q1130" s="101"/>
      <c r="R1130" s="101"/>
      <c r="S1130" s="110"/>
      <c r="T1130" s="102"/>
      <c r="U1130" s="101"/>
      <c r="V1130" s="103"/>
      <c r="W1130" s="101"/>
    </row>
    <row r="1131" spans="1:23" x14ac:dyDescent="0.25">
      <c r="A1131" s="98"/>
      <c r="H1131" s="101"/>
      <c r="I1131" s="101"/>
      <c r="J1131" s="101"/>
      <c r="K1131" s="101"/>
      <c r="L1131" s="101"/>
      <c r="M1131" s="101"/>
      <c r="N1131" s="101"/>
      <c r="O1131" s="101"/>
      <c r="P1131" s="101"/>
      <c r="Q1131" s="101"/>
      <c r="R1131" s="101"/>
      <c r="S1131" s="110"/>
      <c r="T1131" s="102"/>
      <c r="U1131" s="101"/>
      <c r="V1131" s="103"/>
      <c r="W1131" s="101"/>
    </row>
    <row r="1132" spans="1:23" x14ac:dyDescent="0.25">
      <c r="A1132" s="98"/>
      <c r="H1132" s="101"/>
      <c r="I1132" s="101"/>
      <c r="J1132" s="101"/>
      <c r="K1132" s="101"/>
      <c r="L1132" s="101"/>
      <c r="M1132" s="101"/>
      <c r="N1132" s="101"/>
      <c r="O1132" s="101"/>
      <c r="P1132" s="101"/>
      <c r="Q1132" s="101"/>
      <c r="R1132" s="101"/>
      <c r="S1132" s="110"/>
      <c r="T1132" s="102"/>
      <c r="U1132" s="101"/>
      <c r="V1132" s="103"/>
      <c r="W1132" s="101"/>
    </row>
    <row r="1133" spans="1:23" x14ac:dyDescent="0.25">
      <c r="A1133" s="98"/>
      <c r="H1133" s="101"/>
      <c r="I1133" s="101"/>
      <c r="J1133" s="101"/>
      <c r="K1133" s="101"/>
      <c r="L1133" s="101"/>
      <c r="M1133" s="101"/>
      <c r="N1133" s="101"/>
      <c r="O1133" s="101"/>
      <c r="P1133" s="101"/>
      <c r="Q1133" s="101"/>
      <c r="R1133" s="101"/>
      <c r="S1133" s="110"/>
      <c r="T1133" s="102"/>
      <c r="U1133" s="101"/>
      <c r="V1133" s="103"/>
      <c r="W1133" s="101"/>
    </row>
    <row r="1134" spans="1:23" x14ac:dyDescent="0.25">
      <c r="A1134" s="98"/>
      <c r="H1134" s="101"/>
      <c r="I1134" s="101"/>
      <c r="J1134" s="101"/>
      <c r="K1134" s="101"/>
      <c r="L1134" s="101"/>
      <c r="M1134" s="101"/>
      <c r="N1134" s="101"/>
      <c r="O1134" s="101"/>
      <c r="P1134" s="101"/>
      <c r="Q1134" s="101"/>
      <c r="R1134" s="101"/>
      <c r="S1134" s="110"/>
      <c r="T1134" s="102"/>
      <c r="U1134" s="101"/>
      <c r="V1134" s="103"/>
      <c r="W1134" s="101"/>
    </row>
    <row r="1135" spans="1:23" x14ac:dyDescent="0.25">
      <c r="A1135" s="98"/>
      <c r="H1135" s="101"/>
      <c r="I1135" s="101"/>
      <c r="J1135" s="101"/>
      <c r="K1135" s="101"/>
      <c r="L1135" s="101"/>
      <c r="M1135" s="101"/>
      <c r="N1135" s="101"/>
      <c r="O1135" s="101"/>
      <c r="P1135" s="101"/>
      <c r="Q1135" s="101"/>
      <c r="R1135" s="101"/>
      <c r="S1135" s="110"/>
      <c r="T1135" s="102"/>
      <c r="U1135" s="101"/>
      <c r="V1135" s="103"/>
      <c r="W1135" s="101"/>
    </row>
    <row r="1136" spans="1:23" x14ac:dyDescent="0.25">
      <c r="A1136" s="98"/>
      <c r="H1136" s="101"/>
      <c r="I1136" s="101"/>
      <c r="J1136" s="101"/>
      <c r="K1136" s="101"/>
      <c r="L1136" s="101"/>
      <c r="M1136" s="101"/>
      <c r="N1136" s="101"/>
      <c r="O1136" s="101"/>
      <c r="P1136" s="101"/>
      <c r="Q1136" s="101"/>
      <c r="R1136" s="101"/>
      <c r="S1136" s="110"/>
      <c r="T1136" s="102"/>
      <c r="U1136" s="101"/>
      <c r="V1136" s="103"/>
      <c r="W1136" s="101"/>
    </row>
    <row r="1137" spans="1:23" x14ac:dyDescent="0.25">
      <c r="A1137" s="98"/>
      <c r="H1137" s="101"/>
      <c r="I1137" s="101"/>
      <c r="J1137" s="101"/>
      <c r="K1137" s="101"/>
      <c r="L1137" s="101"/>
      <c r="M1137" s="101"/>
      <c r="N1137" s="101"/>
      <c r="O1137" s="101"/>
      <c r="P1137" s="101"/>
      <c r="Q1137" s="101"/>
      <c r="R1137" s="101"/>
      <c r="S1137" s="110"/>
      <c r="T1137" s="102"/>
      <c r="U1137" s="101"/>
      <c r="V1137" s="103"/>
      <c r="W1137" s="101"/>
    </row>
    <row r="1138" spans="1:23" x14ac:dyDescent="0.25">
      <c r="A1138" s="98"/>
      <c r="H1138" s="101"/>
      <c r="I1138" s="101"/>
      <c r="J1138" s="101"/>
      <c r="K1138" s="101"/>
      <c r="L1138" s="101"/>
      <c r="M1138" s="101"/>
      <c r="N1138" s="101"/>
      <c r="O1138" s="101"/>
      <c r="P1138" s="101"/>
      <c r="Q1138" s="101"/>
      <c r="R1138" s="101"/>
      <c r="S1138" s="110"/>
      <c r="T1138" s="102"/>
      <c r="U1138" s="101"/>
      <c r="V1138" s="103"/>
      <c r="W1138" s="101"/>
    </row>
    <row r="1139" spans="1:23" x14ac:dyDescent="0.25">
      <c r="A1139" s="98"/>
      <c r="H1139" s="101"/>
      <c r="I1139" s="101"/>
      <c r="J1139" s="101"/>
      <c r="K1139" s="101"/>
      <c r="L1139" s="101"/>
      <c r="M1139" s="101"/>
      <c r="N1139" s="101"/>
      <c r="O1139" s="101"/>
      <c r="P1139" s="101"/>
      <c r="Q1139" s="101"/>
      <c r="R1139" s="101"/>
      <c r="S1139" s="110"/>
      <c r="T1139" s="102"/>
      <c r="U1139" s="101"/>
      <c r="V1139" s="103"/>
      <c r="W1139" s="101"/>
    </row>
    <row r="1140" spans="1:23" x14ac:dyDescent="0.25">
      <c r="A1140" s="98"/>
      <c r="H1140" s="101"/>
      <c r="I1140" s="101"/>
      <c r="J1140" s="101"/>
      <c r="K1140" s="101"/>
      <c r="L1140" s="101"/>
      <c r="M1140" s="101"/>
      <c r="N1140" s="101"/>
      <c r="O1140" s="101"/>
      <c r="P1140" s="101"/>
      <c r="Q1140" s="101"/>
      <c r="R1140" s="101"/>
      <c r="S1140" s="110"/>
      <c r="T1140" s="102"/>
      <c r="U1140" s="101"/>
      <c r="V1140" s="103"/>
      <c r="W1140" s="101"/>
    </row>
    <row r="1141" spans="1:23" x14ac:dyDescent="0.25">
      <c r="A1141" s="98"/>
      <c r="H1141" s="101"/>
      <c r="I1141" s="101"/>
      <c r="J1141" s="101"/>
      <c r="K1141" s="101"/>
      <c r="L1141" s="101"/>
      <c r="M1141" s="101"/>
      <c r="N1141" s="101"/>
      <c r="O1141" s="101"/>
      <c r="P1141" s="101"/>
      <c r="Q1141" s="101"/>
      <c r="R1141" s="101"/>
      <c r="S1141" s="110"/>
      <c r="T1141" s="102"/>
      <c r="U1141" s="101"/>
      <c r="V1141" s="103"/>
      <c r="W1141" s="101"/>
    </row>
    <row r="1142" spans="1:23" x14ac:dyDescent="0.25">
      <c r="A1142" s="98"/>
      <c r="H1142" s="101"/>
      <c r="I1142" s="101"/>
      <c r="J1142" s="101"/>
      <c r="K1142" s="101"/>
      <c r="L1142" s="101"/>
      <c r="M1142" s="101"/>
      <c r="N1142" s="101"/>
      <c r="O1142" s="101"/>
      <c r="P1142" s="101"/>
      <c r="Q1142" s="101"/>
      <c r="R1142" s="101"/>
      <c r="S1142" s="110"/>
      <c r="T1142" s="102"/>
      <c r="U1142" s="101"/>
      <c r="V1142" s="103"/>
      <c r="W1142" s="101"/>
    </row>
    <row r="1143" spans="1:23" x14ac:dyDescent="0.25">
      <c r="A1143" s="98"/>
      <c r="H1143" s="101"/>
      <c r="I1143" s="101"/>
      <c r="J1143" s="101"/>
      <c r="K1143" s="101"/>
      <c r="L1143" s="101"/>
      <c r="M1143" s="101"/>
      <c r="N1143" s="101"/>
      <c r="O1143" s="101"/>
      <c r="P1143" s="101"/>
      <c r="Q1143" s="101"/>
      <c r="R1143" s="101"/>
      <c r="S1143" s="110"/>
      <c r="T1143" s="102"/>
      <c r="U1143" s="101"/>
      <c r="V1143" s="103"/>
      <c r="W1143" s="101"/>
    </row>
    <row r="1144" spans="1:23" x14ac:dyDescent="0.25">
      <c r="A1144" s="98"/>
      <c r="H1144" s="101"/>
      <c r="I1144" s="101"/>
      <c r="J1144" s="101"/>
      <c r="K1144" s="101"/>
      <c r="L1144" s="101"/>
      <c r="M1144" s="101"/>
      <c r="N1144" s="101"/>
      <c r="O1144" s="101"/>
      <c r="P1144" s="101"/>
      <c r="Q1144" s="101"/>
      <c r="R1144" s="101"/>
      <c r="S1144" s="110"/>
      <c r="T1144" s="102"/>
      <c r="U1144" s="101"/>
      <c r="V1144" s="103"/>
      <c r="W1144" s="101"/>
    </row>
    <row r="1145" spans="1:23" x14ac:dyDescent="0.25">
      <c r="A1145" s="98"/>
      <c r="H1145" s="101"/>
      <c r="I1145" s="101"/>
      <c r="J1145" s="101"/>
      <c r="K1145" s="101"/>
      <c r="L1145" s="101"/>
      <c r="M1145" s="101"/>
      <c r="N1145" s="101"/>
      <c r="O1145" s="101"/>
      <c r="P1145" s="101"/>
      <c r="Q1145" s="101"/>
      <c r="R1145" s="101"/>
      <c r="S1145" s="110"/>
      <c r="T1145" s="102"/>
      <c r="U1145" s="101"/>
      <c r="V1145" s="103"/>
      <c r="W1145" s="101"/>
    </row>
    <row r="1146" spans="1:23" x14ac:dyDescent="0.25">
      <c r="A1146" s="98"/>
      <c r="H1146" s="101"/>
      <c r="I1146" s="101"/>
      <c r="J1146" s="101"/>
      <c r="K1146" s="101"/>
      <c r="L1146" s="101"/>
      <c r="M1146" s="101"/>
      <c r="N1146" s="101"/>
      <c r="O1146" s="101"/>
      <c r="P1146" s="101"/>
      <c r="Q1146" s="101"/>
      <c r="R1146" s="101"/>
      <c r="S1146" s="110"/>
      <c r="T1146" s="102"/>
      <c r="U1146" s="101"/>
      <c r="V1146" s="103"/>
      <c r="W1146" s="101"/>
    </row>
    <row r="1147" spans="1:23" x14ac:dyDescent="0.25">
      <c r="A1147" s="98"/>
      <c r="H1147" s="101"/>
      <c r="I1147" s="101"/>
      <c r="J1147" s="101"/>
      <c r="K1147" s="101"/>
      <c r="L1147" s="101"/>
      <c r="M1147" s="101"/>
      <c r="N1147" s="101"/>
      <c r="O1147" s="101"/>
      <c r="P1147" s="101"/>
      <c r="Q1147" s="101"/>
      <c r="R1147" s="101"/>
      <c r="S1147" s="110"/>
      <c r="T1147" s="102"/>
      <c r="U1147" s="101"/>
      <c r="V1147" s="103"/>
      <c r="W1147" s="101"/>
    </row>
    <row r="1148" spans="1:23" x14ac:dyDescent="0.25">
      <c r="A1148" s="98"/>
      <c r="H1148" s="101"/>
      <c r="I1148" s="101"/>
      <c r="J1148" s="101"/>
      <c r="K1148" s="101"/>
      <c r="L1148" s="101"/>
      <c r="M1148" s="101"/>
      <c r="N1148" s="101"/>
      <c r="O1148" s="101"/>
      <c r="P1148" s="101"/>
      <c r="Q1148" s="101"/>
      <c r="R1148" s="101"/>
      <c r="S1148" s="110"/>
      <c r="T1148" s="102"/>
      <c r="U1148" s="101"/>
      <c r="V1148" s="103"/>
      <c r="W1148" s="101"/>
    </row>
    <row r="1149" spans="1:23" x14ac:dyDescent="0.25">
      <c r="A1149" s="98"/>
      <c r="H1149" s="101"/>
      <c r="I1149" s="101"/>
      <c r="J1149" s="101"/>
      <c r="K1149" s="101"/>
      <c r="L1149" s="101"/>
      <c r="M1149" s="101"/>
      <c r="N1149" s="101"/>
      <c r="O1149" s="101"/>
      <c r="P1149" s="101"/>
      <c r="Q1149" s="101"/>
      <c r="R1149" s="101"/>
      <c r="S1149" s="110"/>
      <c r="T1149" s="102"/>
      <c r="U1149" s="101"/>
      <c r="V1149" s="103"/>
      <c r="W1149" s="101"/>
    </row>
    <row r="1150" spans="1:23" x14ac:dyDescent="0.25">
      <c r="A1150" s="98"/>
      <c r="H1150" s="101"/>
      <c r="I1150" s="101"/>
      <c r="J1150" s="101"/>
      <c r="K1150" s="101"/>
      <c r="L1150" s="101"/>
      <c r="M1150" s="101"/>
      <c r="N1150" s="101"/>
      <c r="O1150" s="101"/>
      <c r="P1150" s="101"/>
      <c r="Q1150" s="101"/>
      <c r="R1150" s="101"/>
      <c r="S1150" s="110"/>
      <c r="T1150" s="102"/>
      <c r="U1150" s="101"/>
      <c r="V1150" s="103"/>
      <c r="W1150" s="101"/>
    </row>
    <row r="1151" spans="1:23" x14ac:dyDescent="0.25">
      <c r="A1151" s="98"/>
      <c r="H1151" s="101"/>
      <c r="I1151" s="101"/>
      <c r="J1151" s="101"/>
      <c r="K1151" s="101"/>
      <c r="L1151" s="101"/>
      <c r="M1151" s="101"/>
      <c r="N1151" s="101"/>
      <c r="O1151" s="101"/>
      <c r="P1151" s="101"/>
      <c r="Q1151" s="101"/>
      <c r="R1151" s="101"/>
      <c r="S1151" s="110"/>
      <c r="T1151" s="102"/>
      <c r="U1151" s="101"/>
      <c r="V1151" s="103"/>
      <c r="W1151" s="101"/>
    </row>
    <row r="1152" spans="1:23" x14ac:dyDescent="0.25">
      <c r="A1152" s="98"/>
      <c r="H1152" s="101"/>
      <c r="I1152" s="101"/>
      <c r="J1152" s="101"/>
      <c r="K1152" s="101"/>
      <c r="L1152" s="101"/>
      <c r="M1152" s="101"/>
      <c r="N1152" s="101"/>
      <c r="O1152" s="101"/>
      <c r="P1152" s="101"/>
      <c r="Q1152" s="101"/>
      <c r="R1152" s="101"/>
      <c r="S1152" s="110"/>
      <c r="T1152" s="102"/>
      <c r="U1152" s="101"/>
      <c r="V1152" s="103"/>
      <c r="W1152" s="101"/>
    </row>
    <row r="1153" spans="1:23" x14ac:dyDescent="0.25">
      <c r="A1153" s="98"/>
      <c r="H1153" s="101"/>
      <c r="I1153" s="101"/>
      <c r="J1153" s="101"/>
      <c r="K1153" s="101"/>
      <c r="L1153" s="101"/>
      <c r="M1153" s="101"/>
      <c r="N1153" s="101"/>
      <c r="O1153" s="101"/>
      <c r="P1153" s="101"/>
      <c r="Q1153" s="101"/>
      <c r="R1153" s="101"/>
      <c r="S1153" s="110"/>
      <c r="T1153" s="102"/>
      <c r="U1153" s="101"/>
      <c r="V1153" s="103"/>
      <c r="W1153" s="101"/>
    </row>
    <row r="1154" spans="1:23" x14ac:dyDescent="0.25">
      <c r="A1154" s="98"/>
      <c r="H1154" s="101"/>
      <c r="I1154" s="101"/>
      <c r="J1154" s="101"/>
      <c r="K1154" s="101"/>
      <c r="L1154" s="101"/>
      <c r="M1154" s="101"/>
      <c r="N1154" s="101"/>
      <c r="O1154" s="101"/>
      <c r="P1154" s="101"/>
      <c r="Q1154" s="101"/>
      <c r="R1154" s="101"/>
      <c r="S1154" s="110"/>
      <c r="T1154" s="102"/>
      <c r="U1154" s="101"/>
      <c r="V1154" s="103"/>
      <c r="W1154" s="101"/>
    </row>
    <row r="1155" spans="1:23" x14ac:dyDescent="0.25">
      <c r="A1155" s="98"/>
      <c r="H1155" s="101"/>
      <c r="I1155" s="101"/>
      <c r="J1155" s="101"/>
      <c r="K1155" s="101"/>
      <c r="L1155" s="101"/>
      <c r="M1155" s="101"/>
      <c r="N1155" s="101"/>
      <c r="O1155" s="101"/>
      <c r="P1155" s="101"/>
      <c r="Q1155" s="101"/>
      <c r="R1155" s="101"/>
      <c r="S1155" s="110"/>
      <c r="T1155" s="102"/>
      <c r="U1155" s="101"/>
      <c r="V1155" s="103"/>
      <c r="W1155" s="101"/>
    </row>
    <row r="1156" spans="1:23" x14ac:dyDescent="0.25">
      <c r="A1156" s="98"/>
      <c r="H1156" s="101"/>
      <c r="I1156" s="101"/>
      <c r="J1156" s="101"/>
      <c r="K1156" s="101"/>
      <c r="L1156" s="101"/>
      <c r="M1156" s="101"/>
      <c r="N1156" s="101"/>
      <c r="O1156" s="101"/>
      <c r="P1156" s="101"/>
      <c r="Q1156" s="101"/>
      <c r="R1156" s="101"/>
      <c r="S1156" s="110"/>
      <c r="T1156" s="102"/>
      <c r="U1156" s="101"/>
      <c r="V1156" s="103"/>
      <c r="W1156" s="101"/>
    </row>
    <row r="1157" spans="1:23" x14ac:dyDescent="0.25">
      <c r="A1157" s="98"/>
      <c r="H1157" s="101"/>
      <c r="I1157" s="101"/>
      <c r="J1157" s="101"/>
      <c r="K1157" s="101"/>
      <c r="L1157" s="101"/>
      <c r="M1157" s="101"/>
      <c r="N1157" s="101"/>
      <c r="O1157" s="101"/>
      <c r="P1157" s="101"/>
      <c r="Q1157" s="101"/>
      <c r="R1157" s="101"/>
      <c r="S1157" s="110"/>
      <c r="T1157" s="102"/>
      <c r="U1157" s="101"/>
      <c r="V1157" s="103"/>
      <c r="W1157" s="101"/>
    </row>
    <row r="1158" spans="1:23" x14ac:dyDescent="0.25">
      <c r="A1158" s="98"/>
      <c r="H1158" s="101"/>
      <c r="I1158" s="101"/>
      <c r="J1158" s="101"/>
      <c r="K1158" s="101"/>
      <c r="L1158" s="101"/>
      <c r="M1158" s="101"/>
      <c r="N1158" s="101"/>
      <c r="O1158" s="101"/>
      <c r="P1158" s="101"/>
      <c r="Q1158" s="101"/>
      <c r="R1158" s="101"/>
      <c r="S1158" s="110"/>
      <c r="T1158" s="102"/>
      <c r="U1158" s="101"/>
      <c r="V1158" s="103"/>
      <c r="W1158" s="101"/>
    </row>
    <row r="1159" spans="1:23" x14ac:dyDescent="0.25">
      <c r="A1159" s="98"/>
      <c r="H1159" s="101"/>
      <c r="I1159" s="101"/>
      <c r="J1159" s="101"/>
      <c r="K1159" s="101"/>
      <c r="L1159" s="101"/>
      <c r="M1159" s="101"/>
      <c r="N1159" s="101"/>
      <c r="O1159" s="101"/>
      <c r="P1159" s="101"/>
      <c r="Q1159" s="101"/>
      <c r="R1159" s="101"/>
      <c r="S1159" s="110"/>
      <c r="T1159" s="102"/>
      <c r="U1159" s="101"/>
      <c r="V1159" s="103"/>
      <c r="W1159" s="101"/>
    </row>
    <row r="1160" spans="1:23" x14ac:dyDescent="0.25">
      <c r="A1160" s="98"/>
      <c r="H1160" s="101"/>
      <c r="I1160" s="101"/>
      <c r="J1160" s="101"/>
      <c r="K1160" s="101"/>
      <c r="L1160" s="101"/>
      <c r="M1160" s="101"/>
      <c r="N1160" s="101"/>
      <c r="O1160" s="101"/>
      <c r="P1160" s="101"/>
      <c r="Q1160" s="101"/>
      <c r="R1160" s="101"/>
      <c r="S1160" s="110"/>
      <c r="T1160" s="102"/>
      <c r="U1160" s="101"/>
      <c r="V1160" s="103"/>
      <c r="W1160" s="101"/>
    </row>
    <row r="1161" spans="1:23" x14ac:dyDescent="0.25">
      <c r="A1161" s="98"/>
      <c r="H1161" s="101"/>
      <c r="I1161" s="101"/>
      <c r="J1161" s="101"/>
      <c r="K1161" s="101"/>
      <c r="L1161" s="101"/>
      <c r="M1161" s="101"/>
      <c r="N1161" s="101"/>
      <c r="O1161" s="101"/>
      <c r="P1161" s="101"/>
      <c r="Q1161" s="101"/>
      <c r="R1161" s="101"/>
      <c r="S1161" s="110"/>
      <c r="T1161" s="102"/>
      <c r="U1161" s="101"/>
      <c r="V1161" s="103"/>
      <c r="W1161" s="101"/>
    </row>
    <row r="1162" spans="1:23" x14ac:dyDescent="0.25">
      <c r="A1162" s="98"/>
      <c r="H1162" s="101"/>
      <c r="I1162" s="101"/>
      <c r="J1162" s="101"/>
      <c r="K1162" s="101"/>
      <c r="L1162" s="101"/>
      <c r="M1162" s="101"/>
      <c r="N1162" s="101"/>
      <c r="O1162" s="101"/>
      <c r="P1162" s="101"/>
      <c r="Q1162" s="101"/>
      <c r="R1162" s="101"/>
      <c r="S1162" s="110"/>
      <c r="T1162" s="102"/>
      <c r="U1162" s="101"/>
      <c r="V1162" s="103"/>
      <c r="W1162" s="101"/>
    </row>
    <row r="1163" spans="1:23" x14ac:dyDescent="0.25">
      <c r="A1163" s="98"/>
      <c r="H1163" s="101"/>
      <c r="I1163" s="101"/>
      <c r="J1163" s="101"/>
      <c r="K1163" s="101"/>
      <c r="L1163" s="101"/>
      <c r="M1163" s="101"/>
      <c r="N1163" s="101"/>
      <c r="O1163" s="101"/>
      <c r="P1163" s="101"/>
      <c r="Q1163" s="101"/>
      <c r="R1163" s="101"/>
      <c r="S1163" s="110"/>
      <c r="T1163" s="102"/>
      <c r="U1163" s="101"/>
      <c r="V1163" s="103"/>
      <c r="W1163" s="101"/>
    </row>
    <row r="1164" spans="1:23" x14ac:dyDescent="0.25">
      <c r="A1164" s="98"/>
      <c r="H1164" s="101"/>
      <c r="I1164" s="101"/>
      <c r="J1164" s="101"/>
      <c r="K1164" s="101"/>
      <c r="L1164" s="101"/>
      <c r="M1164" s="101"/>
      <c r="N1164" s="101"/>
      <c r="O1164" s="101"/>
      <c r="P1164" s="101"/>
      <c r="Q1164" s="101"/>
      <c r="R1164" s="101"/>
      <c r="S1164" s="110"/>
      <c r="T1164" s="102"/>
      <c r="U1164" s="101"/>
      <c r="V1164" s="103"/>
      <c r="W1164" s="101"/>
    </row>
    <row r="1165" spans="1:23" x14ac:dyDescent="0.25">
      <c r="A1165" s="98"/>
      <c r="H1165" s="101"/>
      <c r="I1165" s="101"/>
      <c r="J1165" s="101"/>
      <c r="K1165" s="101"/>
      <c r="L1165" s="101"/>
      <c r="M1165" s="101"/>
      <c r="N1165" s="101"/>
      <c r="O1165" s="101"/>
      <c r="P1165" s="101"/>
      <c r="Q1165" s="101"/>
      <c r="R1165" s="101"/>
      <c r="S1165" s="110"/>
      <c r="T1165" s="102"/>
      <c r="U1165" s="101"/>
      <c r="V1165" s="103"/>
      <c r="W1165" s="101"/>
    </row>
    <row r="1166" spans="1:23" x14ac:dyDescent="0.25">
      <c r="A1166" s="98"/>
      <c r="H1166" s="101"/>
      <c r="I1166" s="101"/>
      <c r="J1166" s="101"/>
      <c r="K1166" s="101"/>
      <c r="L1166" s="101"/>
      <c r="M1166" s="101"/>
      <c r="N1166" s="101"/>
      <c r="O1166" s="101"/>
      <c r="P1166" s="101"/>
      <c r="Q1166" s="101"/>
      <c r="R1166" s="101"/>
      <c r="S1166" s="110"/>
      <c r="T1166" s="102"/>
      <c r="U1166" s="101"/>
      <c r="V1166" s="103"/>
      <c r="W1166" s="101"/>
    </row>
    <row r="1167" spans="1:23" x14ac:dyDescent="0.25">
      <c r="A1167" s="98"/>
      <c r="H1167" s="101"/>
      <c r="I1167" s="101"/>
      <c r="J1167" s="101"/>
      <c r="K1167" s="101"/>
      <c r="L1167" s="101"/>
      <c r="M1167" s="101"/>
      <c r="N1167" s="101"/>
      <c r="O1167" s="101"/>
      <c r="P1167" s="101"/>
      <c r="Q1167" s="101"/>
      <c r="R1167" s="101"/>
      <c r="S1167" s="110"/>
      <c r="T1167" s="102"/>
      <c r="U1167" s="101"/>
      <c r="V1167" s="103"/>
      <c r="W1167" s="101"/>
    </row>
    <row r="1168" spans="1:23" x14ac:dyDescent="0.25">
      <c r="A1168" s="98"/>
      <c r="H1168" s="101"/>
      <c r="I1168" s="101"/>
      <c r="J1168" s="101"/>
      <c r="K1168" s="101"/>
      <c r="L1168" s="101"/>
      <c r="M1168" s="101"/>
      <c r="N1168" s="101"/>
      <c r="O1168" s="101"/>
      <c r="P1168" s="101"/>
      <c r="Q1168" s="101"/>
      <c r="R1168" s="101"/>
      <c r="S1168" s="110"/>
      <c r="T1168" s="102"/>
      <c r="U1168" s="101"/>
      <c r="V1168" s="103"/>
      <c r="W1168" s="101"/>
    </row>
    <row r="1169" spans="1:23" x14ac:dyDescent="0.25">
      <c r="A1169" s="98"/>
      <c r="H1169" s="101"/>
      <c r="I1169" s="101"/>
      <c r="J1169" s="101"/>
      <c r="K1169" s="101"/>
      <c r="L1169" s="101"/>
      <c r="M1169" s="101"/>
      <c r="N1169" s="101"/>
      <c r="O1169" s="101"/>
      <c r="P1169" s="101"/>
      <c r="Q1169" s="101"/>
      <c r="R1169" s="101"/>
      <c r="S1169" s="110"/>
      <c r="T1169" s="102"/>
      <c r="U1169" s="101"/>
      <c r="V1169" s="103"/>
      <c r="W1169" s="101"/>
    </row>
    <row r="1170" spans="1:23" x14ac:dyDescent="0.25">
      <c r="A1170" s="98"/>
      <c r="H1170" s="101"/>
      <c r="I1170" s="101"/>
      <c r="J1170" s="101"/>
      <c r="K1170" s="101"/>
      <c r="L1170" s="101"/>
      <c r="M1170" s="101"/>
      <c r="N1170" s="101"/>
      <c r="O1170" s="101"/>
      <c r="P1170" s="101"/>
      <c r="Q1170" s="101"/>
      <c r="R1170" s="101"/>
      <c r="S1170" s="110"/>
      <c r="T1170" s="102"/>
      <c r="U1170" s="101"/>
      <c r="V1170" s="103"/>
      <c r="W1170" s="101"/>
    </row>
    <row r="1171" spans="1:23" x14ac:dyDescent="0.25">
      <c r="A1171" s="98"/>
      <c r="H1171" s="101"/>
      <c r="I1171" s="101"/>
      <c r="J1171" s="101"/>
      <c r="K1171" s="101"/>
      <c r="L1171" s="101"/>
      <c r="M1171" s="101"/>
      <c r="N1171" s="101"/>
      <c r="O1171" s="101"/>
      <c r="P1171" s="101"/>
      <c r="Q1171" s="101"/>
      <c r="R1171" s="101"/>
      <c r="S1171" s="110"/>
      <c r="T1171" s="102"/>
      <c r="U1171" s="101"/>
      <c r="V1171" s="103"/>
      <c r="W1171" s="101"/>
    </row>
    <row r="1172" spans="1:23" x14ac:dyDescent="0.25">
      <c r="A1172" s="98"/>
      <c r="H1172" s="101"/>
      <c r="I1172" s="101"/>
      <c r="J1172" s="101"/>
      <c r="K1172" s="101"/>
      <c r="L1172" s="101"/>
      <c r="M1172" s="101"/>
      <c r="N1172" s="101"/>
      <c r="O1172" s="101"/>
      <c r="P1172" s="101"/>
      <c r="Q1172" s="101"/>
      <c r="R1172" s="101"/>
      <c r="S1172" s="110"/>
      <c r="T1172" s="102"/>
      <c r="U1172" s="101"/>
      <c r="V1172" s="103"/>
      <c r="W1172" s="101"/>
    </row>
    <row r="1173" spans="1:23" x14ac:dyDescent="0.25">
      <c r="A1173" s="98"/>
      <c r="H1173" s="101"/>
      <c r="I1173" s="101"/>
      <c r="J1173" s="101"/>
      <c r="K1173" s="101"/>
      <c r="L1173" s="101"/>
      <c r="M1173" s="101"/>
      <c r="N1173" s="101"/>
      <c r="O1173" s="101"/>
      <c r="P1173" s="101"/>
      <c r="Q1173" s="101"/>
      <c r="R1173" s="101"/>
      <c r="S1173" s="110"/>
      <c r="T1173" s="102"/>
      <c r="U1173" s="101"/>
      <c r="V1173" s="103"/>
      <c r="W1173" s="101"/>
    </row>
    <row r="1174" spans="1:23" x14ac:dyDescent="0.25">
      <c r="A1174" s="98"/>
      <c r="H1174" s="101"/>
      <c r="I1174" s="101"/>
      <c r="J1174" s="101"/>
      <c r="K1174" s="101"/>
      <c r="L1174" s="101"/>
      <c r="M1174" s="101"/>
      <c r="N1174" s="101"/>
      <c r="O1174" s="101"/>
      <c r="P1174" s="101"/>
      <c r="Q1174" s="101"/>
      <c r="R1174" s="101"/>
      <c r="S1174" s="110"/>
      <c r="T1174" s="102"/>
      <c r="U1174" s="101"/>
      <c r="V1174" s="103"/>
      <c r="W1174" s="101"/>
    </row>
    <row r="1175" spans="1:23" x14ac:dyDescent="0.25">
      <c r="A1175" s="98"/>
      <c r="H1175" s="101"/>
      <c r="I1175" s="101"/>
      <c r="J1175" s="101"/>
      <c r="K1175" s="101"/>
      <c r="L1175" s="101"/>
      <c r="M1175" s="101"/>
      <c r="N1175" s="101"/>
      <c r="O1175" s="101"/>
      <c r="P1175" s="101"/>
      <c r="Q1175" s="101"/>
      <c r="R1175" s="101"/>
      <c r="S1175" s="110"/>
      <c r="T1175" s="102"/>
      <c r="U1175" s="101"/>
      <c r="V1175" s="103"/>
      <c r="W1175" s="101"/>
    </row>
    <row r="1176" spans="1:23" x14ac:dyDescent="0.25">
      <c r="A1176" s="98"/>
      <c r="H1176" s="101"/>
      <c r="I1176" s="101"/>
      <c r="J1176" s="101"/>
      <c r="K1176" s="101"/>
      <c r="L1176" s="101"/>
      <c r="M1176" s="101"/>
      <c r="N1176" s="101"/>
      <c r="O1176" s="101"/>
      <c r="P1176" s="101"/>
      <c r="Q1176" s="101"/>
      <c r="R1176" s="101"/>
      <c r="S1176" s="110"/>
      <c r="T1176" s="102"/>
      <c r="U1176" s="101"/>
      <c r="V1176" s="103"/>
      <c r="W1176" s="101"/>
    </row>
    <row r="1177" spans="1:23" x14ac:dyDescent="0.25">
      <c r="A1177" s="98"/>
      <c r="H1177" s="101"/>
      <c r="I1177" s="101"/>
      <c r="J1177" s="101"/>
      <c r="K1177" s="101"/>
      <c r="L1177" s="101"/>
      <c r="M1177" s="101"/>
      <c r="N1177" s="101"/>
      <c r="O1177" s="101"/>
      <c r="P1177" s="101"/>
      <c r="Q1177" s="101"/>
      <c r="R1177" s="101"/>
      <c r="S1177" s="110"/>
      <c r="T1177" s="102"/>
      <c r="U1177" s="101"/>
      <c r="V1177" s="103"/>
      <c r="W1177" s="101"/>
    </row>
    <row r="1178" spans="1:23" x14ac:dyDescent="0.25">
      <c r="A1178" s="98"/>
      <c r="H1178" s="101"/>
      <c r="I1178" s="101"/>
      <c r="J1178" s="101"/>
      <c r="K1178" s="101"/>
      <c r="L1178" s="101"/>
      <c r="M1178" s="101"/>
      <c r="N1178" s="101"/>
      <c r="O1178" s="101"/>
      <c r="P1178" s="101"/>
      <c r="Q1178" s="101"/>
      <c r="R1178" s="101"/>
      <c r="S1178" s="110"/>
      <c r="T1178" s="102"/>
      <c r="U1178" s="101"/>
      <c r="V1178" s="103"/>
      <c r="W1178" s="101"/>
    </row>
    <row r="1179" spans="1:23" x14ac:dyDescent="0.25">
      <c r="A1179" s="98"/>
      <c r="H1179" s="101"/>
      <c r="I1179" s="101"/>
      <c r="J1179" s="101"/>
      <c r="K1179" s="101"/>
      <c r="L1179" s="101"/>
      <c r="M1179" s="101"/>
      <c r="N1179" s="101"/>
      <c r="O1179" s="101"/>
      <c r="P1179" s="101"/>
      <c r="Q1179" s="101"/>
      <c r="R1179" s="101"/>
      <c r="S1179" s="110"/>
      <c r="T1179" s="102"/>
      <c r="U1179" s="101"/>
      <c r="V1179" s="103"/>
      <c r="W1179" s="101"/>
    </row>
    <row r="1180" spans="1:23" x14ac:dyDescent="0.25">
      <c r="A1180" s="98"/>
      <c r="H1180" s="101"/>
      <c r="I1180" s="101"/>
      <c r="J1180" s="101"/>
      <c r="K1180" s="101"/>
      <c r="L1180" s="101"/>
      <c r="M1180" s="101"/>
      <c r="N1180" s="101"/>
      <c r="O1180" s="101"/>
      <c r="P1180" s="101"/>
      <c r="Q1180" s="101"/>
      <c r="R1180" s="101"/>
      <c r="S1180" s="110"/>
      <c r="T1180" s="102"/>
      <c r="U1180" s="101"/>
      <c r="V1180" s="103"/>
      <c r="W1180" s="101"/>
    </row>
    <row r="1181" spans="1:23" x14ac:dyDescent="0.25">
      <c r="A1181" s="98"/>
      <c r="H1181" s="101"/>
      <c r="I1181" s="101"/>
      <c r="J1181" s="101"/>
      <c r="K1181" s="101"/>
      <c r="L1181" s="101"/>
      <c r="M1181" s="101"/>
      <c r="N1181" s="101"/>
      <c r="O1181" s="101"/>
      <c r="P1181" s="101"/>
      <c r="Q1181" s="101"/>
      <c r="R1181" s="101"/>
      <c r="S1181" s="110"/>
      <c r="T1181" s="102"/>
      <c r="U1181" s="101"/>
      <c r="V1181" s="103"/>
      <c r="W1181" s="101"/>
    </row>
    <row r="1182" spans="1:23" x14ac:dyDescent="0.25">
      <c r="A1182" s="98"/>
      <c r="H1182" s="101"/>
      <c r="I1182" s="101"/>
      <c r="J1182" s="101"/>
      <c r="K1182" s="101"/>
      <c r="L1182" s="101"/>
      <c r="M1182" s="101"/>
      <c r="N1182" s="101"/>
      <c r="O1182" s="101"/>
      <c r="P1182" s="101"/>
      <c r="Q1182" s="101"/>
      <c r="R1182" s="101"/>
      <c r="S1182" s="110"/>
      <c r="T1182" s="102"/>
      <c r="U1182" s="101"/>
      <c r="V1182" s="103"/>
      <c r="W1182" s="101"/>
    </row>
    <row r="1183" spans="1:23" x14ac:dyDescent="0.25">
      <c r="A1183" s="98"/>
      <c r="H1183" s="101"/>
      <c r="I1183" s="101"/>
      <c r="J1183" s="101"/>
      <c r="K1183" s="101"/>
      <c r="L1183" s="101"/>
      <c r="M1183" s="101"/>
      <c r="N1183" s="101"/>
      <c r="O1183" s="101"/>
      <c r="P1183" s="101"/>
      <c r="Q1183" s="101"/>
      <c r="R1183" s="101"/>
      <c r="S1183" s="110"/>
      <c r="T1183" s="102"/>
      <c r="U1183" s="101"/>
      <c r="V1183" s="103"/>
      <c r="W1183" s="101"/>
    </row>
    <row r="1184" spans="1:23" x14ac:dyDescent="0.25">
      <c r="A1184" s="98"/>
      <c r="H1184" s="101"/>
      <c r="I1184" s="101"/>
      <c r="J1184" s="101"/>
      <c r="K1184" s="101"/>
      <c r="L1184" s="101"/>
      <c r="M1184" s="101"/>
      <c r="N1184" s="101"/>
      <c r="O1184" s="101"/>
      <c r="P1184" s="101"/>
      <c r="Q1184" s="101"/>
      <c r="R1184" s="101"/>
      <c r="S1184" s="110"/>
      <c r="T1184" s="102"/>
      <c r="U1184" s="101"/>
      <c r="V1184" s="103"/>
      <c r="W1184" s="101"/>
    </row>
    <row r="1185" spans="1:23" x14ac:dyDescent="0.25">
      <c r="A1185" s="98"/>
      <c r="H1185" s="101"/>
      <c r="I1185" s="101"/>
      <c r="J1185" s="101"/>
      <c r="K1185" s="101"/>
      <c r="L1185" s="101"/>
      <c r="M1185" s="101"/>
      <c r="N1185" s="101"/>
      <c r="O1185" s="101"/>
      <c r="P1185" s="101"/>
      <c r="Q1185" s="101"/>
      <c r="R1185" s="101"/>
      <c r="S1185" s="110"/>
      <c r="T1185" s="102"/>
      <c r="U1185" s="101"/>
      <c r="V1185" s="103"/>
      <c r="W1185" s="101"/>
    </row>
    <row r="1186" spans="1:23" x14ac:dyDescent="0.25">
      <c r="A1186" s="98"/>
      <c r="H1186" s="101"/>
      <c r="I1186" s="101"/>
      <c r="J1186" s="101"/>
      <c r="K1186" s="101"/>
      <c r="L1186" s="101"/>
      <c r="M1186" s="101"/>
      <c r="N1186" s="101"/>
      <c r="O1186" s="101"/>
      <c r="P1186" s="101"/>
      <c r="Q1186" s="101"/>
      <c r="R1186" s="101"/>
      <c r="S1186" s="110"/>
      <c r="T1186" s="102"/>
      <c r="U1186" s="101"/>
      <c r="V1186" s="103"/>
      <c r="W1186" s="101"/>
    </row>
    <row r="1187" spans="1:23" x14ac:dyDescent="0.25">
      <c r="A1187" s="98"/>
      <c r="H1187" s="101"/>
      <c r="I1187" s="101"/>
      <c r="J1187" s="101"/>
      <c r="K1187" s="101"/>
      <c r="L1187" s="101"/>
      <c r="M1187" s="101"/>
      <c r="N1187" s="101"/>
      <c r="O1187" s="101"/>
      <c r="P1187" s="101"/>
      <c r="Q1187" s="101"/>
      <c r="R1187" s="101"/>
      <c r="S1187" s="110"/>
      <c r="T1187" s="102"/>
      <c r="U1187" s="101"/>
      <c r="V1187" s="103"/>
      <c r="W1187" s="101"/>
    </row>
    <row r="1188" spans="1:23" x14ac:dyDescent="0.25">
      <c r="A1188" s="98"/>
      <c r="H1188" s="101"/>
      <c r="I1188" s="101"/>
      <c r="J1188" s="101"/>
      <c r="K1188" s="101"/>
      <c r="L1188" s="101"/>
      <c r="M1188" s="101"/>
      <c r="N1188" s="101"/>
      <c r="O1188" s="101"/>
      <c r="P1188" s="101"/>
      <c r="Q1188" s="101"/>
      <c r="R1188" s="101"/>
      <c r="S1188" s="110"/>
      <c r="T1188" s="102"/>
      <c r="U1188" s="101"/>
      <c r="V1188" s="103"/>
      <c r="W1188" s="101"/>
    </row>
    <row r="1189" spans="1:23" x14ac:dyDescent="0.25">
      <c r="A1189" s="98"/>
      <c r="H1189" s="101"/>
      <c r="I1189" s="101"/>
      <c r="J1189" s="101"/>
      <c r="K1189" s="101"/>
      <c r="L1189" s="101"/>
      <c r="M1189" s="101"/>
      <c r="N1189" s="101"/>
      <c r="O1189" s="101"/>
      <c r="P1189" s="101"/>
      <c r="Q1189" s="101"/>
      <c r="R1189" s="101"/>
      <c r="S1189" s="110"/>
      <c r="T1189" s="102"/>
      <c r="U1189" s="101"/>
      <c r="V1189" s="103"/>
      <c r="W1189" s="101"/>
    </row>
    <row r="1190" spans="1:23" x14ac:dyDescent="0.25">
      <c r="A1190" s="98"/>
      <c r="H1190" s="101"/>
      <c r="I1190" s="101"/>
      <c r="J1190" s="101"/>
      <c r="K1190" s="101"/>
      <c r="L1190" s="101"/>
      <c r="M1190" s="101"/>
      <c r="N1190" s="101"/>
      <c r="O1190" s="101"/>
      <c r="P1190" s="101"/>
      <c r="Q1190" s="101"/>
      <c r="R1190" s="101"/>
      <c r="S1190" s="110"/>
      <c r="T1190" s="102"/>
      <c r="U1190" s="101"/>
      <c r="V1190" s="103"/>
      <c r="W1190" s="101"/>
    </row>
    <row r="1191" spans="1:23" x14ac:dyDescent="0.25">
      <c r="A1191" s="98"/>
      <c r="H1191" s="101"/>
      <c r="I1191" s="101"/>
      <c r="J1191" s="101"/>
      <c r="K1191" s="101"/>
      <c r="L1191" s="101"/>
      <c r="M1191" s="101"/>
      <c r="N1191" s="101"/>
      <c r="O1191" s="101"/>
      <c r="P1191" s="101"/>
      <c r="Q1191" s="101"/>
      <c r="R1191" s="101"/>
      <c r="S1191" s="110"/>
      <c r="T1191" s="102"/>
      <c r="U1191" s="101"/>
      <c r="V1191" s="103"/>
      <c r="W1191" s="101"/>
    </row>
    <row r="1192" spans="1:23" x14ac:dyDescent="0.25">
      <c r="A1192" s="98"/>
      <c r="H1192" s="101"/>
      <c r="I1192" s="101"/>
      <c r="J1192" s="101"/>
      <c r="K1192" s="101"/>
      <c r="L1192" s="101"/>
      <c r="M1192" s="101"/>
      <c r="N1192" s="101"/>
      <c r="O1192" s="101"/>
      <c r="P1192" s="101"/>
      <c r="Q1192" s="101"/>
      <c r="R1192" s="101"/>
      <c r="S1192" s="110"/>
      <c r="T1192" s="102"/>
      <c r="U1192" s="101"/>
      <c r="V1192" s="103"/>
      <c r="W1192" s="101"/>
    </row>
    <row r="1193" spans="1:23" x14ac:dyDescent="0.25">
      <c r="A1193" s="98"/>
      <c r="H1193" s="101"/>
      <c r="I1193" s="101"/>
      <c r="J1193" s="101"/>
      <c r="K1193" s="101"/>
      <c r="L1193" s="101"/>
      <c r="M1193" s="101"/>
      <c r="N1193" s="101"/>
      <c r="O1193" s="101"/>
      <c r="P1193" s="101"/>
      <c r="Q1193" s="101"/>
      <c r="R1193" s="101"/>
      <c r="S1193" s="110"/>
      <c r="T1193" s="102"/>
      <c r="U1193" s="101"/>
      <c r="V1193" s="103"/>
      <c r="W1193" s="101"/>
    </row>
    <row r="1194" spans="1:23" x14ac:dyDescent="0.25">
      <c r="A1194" s="98"/>
      <c r="H1194" s="101"/>
      <c r="I1194" s="101"/>
      <c r="J1194" s="101"/>
      <c r="K1194" s="101"/>
      <c r="L1194" s="101"/>
      <c r="M1194" s="101"/>
      <c r="N1194" s="101"/>
      <c r="O1194" s="101"/>
      <c r="P1194" s="101"/>
      <c r="Q1194" s="101"/>
      <c r="R1194" s="101"/>
      <c r="S1194" s="110"/>
      <c r="T1194" s="102"/>
      <c r="U1194" s="101"/>
      <c r="V1194" s="103"/>
      <c r="W1194" s="101"/>
    </row>
    <row r="1195" spans="1:23" x14ac:dyDescent="0.25">
      <c r="A1195" s="98"/>
      <c r="H1195" s="101"/>
      <c r="I1195" s="101"/>
      <c r="J1195" s="101"/>
      <c r="K1195" s="101"/>
      <c r="L1195" s="101"/>
      <c r="M1195" s="101"/>
      <c r="N1195" s="101"/>
      <c r="O1195" s="101"/>
      <c r="P1195" s="101"/>
      <c r="Q1195" s="101"/>
      <c r="R1195" s="101"/>
      <c r="S1195" s="110"/>
      <c r="T1195" s="102"/>
      <c r="U1195" s="101"/>
      <c r="V1195" s="103"/>
      <c r="W1195" s="101"/>
    </row>
    <row r="1196" spans="1:23" x14ac:dyDescent="0.25">
      <c r="A1196" s="98"/>
      <c r="H1196" s="101"/>
      <c r="I1196" s="101"/>
      <c r="J1196" s="101"/>
      <c r="K1196" s="101"/>
      <c r="L1196" s="101"/>
      <c r="M1196" s="101"/>
      <c r="N1196" s="101"/>
      <c r="O1196" s="101"/>
      <c r="P1196" s="101"/>
      <c r="Q1196" s="101"/>
      <c r="R1196" s="101"/>
      <c r="S1196" s="110"/>
      <c r="T1196" s="102"/>
      <c r="U1196" s="101"/>
      <c r="V1196" s="103"/>
      <c r="W1196" s="101"/>
    </row>
    <row r="1197" spans="1:23" x14ac:dyDescent="0.25">
      <c r="A1197" s="98"/>
      <c r="H1197" s="101"/>
      <c r="I1197" s="101"/>
      <c r="J1197" s="101"/>
      <c r="K1197" s="101"/>
      <c r="L1197" s="101"/>
      <c r="M1197" s="101"/>
      <c r="N1197" s="101"/>
      <c r="O1197" s="101"/>
      <c r="P1197" s="101"/>
      <c r="Q1197" s="101"/>
      <c r="R1197" s="101"/>
      <c r="S1197" s="110"/>
      <c r="T1197" s="102"/>
      <c r="U1197" s="101"/>
      <c r="V1197" s="103"/>
      <c r="W1197" s="101"/>
    </row>
    <row r="1198" spans="1:23" x14ac:dyDescent="0.25">
      <c r="A1198" s="98"/>
      <c r="H1198" s="101"/>
      <c r="I1198" s="101"/>
      <c r="J1198" s="101"/>
      <c r="K1198" s="101"/>
      <c r="L1198" s="101"/>
      <c r="M1198" s="101"/>
      <c r="N1198" s="101"/>
      <c r="O1198" s="101"/>
      <c r="P1198" s="101"/>
      <c r="Q1198" s="101"/>
      <c r="R1198" s="101"/>
      <c r="S1198" s="110"/>
      <c r="T1198" s="102"/>
      <c r="U1198" s="101"/>
      <c r="V1198" s="103"/>
      <c r="W1198" s="101"/>
    </row>
    <row r="1199" spans="1:23" x14ac:dyDescent="0.25">
      <c r="A1199" s="98"/>
      <c r="H1199" s="101"/>
      <c r="I1199" s="101"/>
      <c r="J1199" s="101"/>
      <c r="K1199" s="101"/>
      <c r="L1199" s="101"/>
      <c r="M1199" s="101"/>
      <c r="N1199" s="101"/>
      <c r="O1199" s="101"/>
      <c r="P1199" s="101"/>
      <c r="Q1199" s="101"/>
      <c r="R1199" s="101"/>
      <c r="S1199" s="110"/>
      <c r="T1199" s="102"/>
      <c r="U1199" s="101"/>
      <c r="V1199" s="103"/>
      <c r="W1199" s="101"/>
    </row>
    <row r="1200" spans="1:23" x14ac:dyDescent="0.25">
      <c r="A1200" s="98"/>
      <c r="H1200" s="101"/>
      <c r="I1200" s="101"/>
      <c r="J1200" s="101"/>
      <c r="K1200" s="101"/>
      <c r="L1200" s="101"/>
      <c r="M1200" s="101"/>
      <c r="N1200" s="101"/>
      <c r="O1200" s="101"/>
      <c r="P1200" s="101"/>
      <c r="Q1200" s="101"/>
      <c r="R1200" s="101"/>
      <c r="S1200" s="110"/>
      <c r="T1200" s="102"/>
      <c r="U1200" s="101"/>
      <c r="V1200" s="103"/>
      <c r="W1200" s="101"/>
    </row>
    <row r="1201" spans="1:23" x14ac:dyDescent="0.25">
      <c r="A1201" s="98"/>
      <c r="H1201" s="101"/>
      <c r="I1201" s="101"/>
      <c r="J1201" s="101"/>
      <c r="K1201" s="101"/>
      <c r="L1201" s="101"/>
      <c r="M1201" s="101"/>
      <c r="N1201" s="101"/>
      <c r="O1201" s="101"/>
      <c r="P1201" s="101"/>
      <c r="Q1201" s="101"/>
      <c r="R1201" s="101"/>
      <c r="S1201" s="110"/>
      <c r="T1201" s="102"/>
      <c r="U1201" s="101"/>
      <c r="V1201" s="103"/>
      <c r="W1201" s="101"/>
    </row>
    <row r="1202" spans="1:23" x14ac:dyDescent="0.25">
      <c r="A1202" s="98"/>
      <c r="H1202" s="101"/>
      <c r="I1202" s="101"/>
      <c r="J1202" s="101"/>
      <c r="K1202" s="101"/>
      <c r="L1202" s="101"/>
      <c r="M1202" s="101"/>
      <c r="N1202" s="101"/>
      <c r="O1202" s="101"/>
      <c r="P1202" s="101"/>
      <c r="Q1202" s="101"/>
      <c r="R1202" s="101"/>
      <c r="S1202" s="110"/>
      <c r="T1202" s="102"/>
      <c r="U1202" s="101"/>
      <c r="V1202" s="103"/>
      <c r="W1202" s="101"/>
    </row>
    <row r="1203" spans="1:23" x14ac:dyDescent="0.25">
      <c r="A1203" s="98"/>
      <c r="H1203" s="101"/>
      <c r="I1203" s="101"/>
      <c r="J1203" s="101"/>
      <c r="K1203" s="101"/>
      <c r="L1203" s="101"/>
      <c r="M1203" s="101"/>
      <c r="N1203" s="101"/>
      <c r="O1203" s="101"/>
      <c r="P1203" s="101"/>
      <c r="Q1203" s="101"/>
      <c r="R1203" s="101"/>
      <c r="S1203" s="110"/>
      <c r="T1203" s="102"/>
      <c r="U1203" s="101"/>
      <c r="V1203" s="103"/>
      <c r="W1203" s="101"/>
    </row>
    <row r="1204" spans="1:23" x14ac:dyDescent="0.25">
      <c r="A1204" s="98"/>
      <c r="H1204" s="101"/>
      <c r="I1204" s="101"/>
      <c r="J1204" s="101"/>
      <c r="K1204" s="101"/>
      <c r="L1204" s="101"/>
      <c r="M1204" s="101"/>
      <c r="N1204" s="101"/>
      <c r="O1204" s="101"/>
      <c r="P1204" s="101"/>
      <c r="Q1204" s="101"/>
      <c r="R1204" s="101"/>
      <c r="S1204" s="110"/>
      <c r="T1204" s="102"/>
      <c r="U1204" s="101"/>
      <c r="V1204" s="103"/>
      <c r="W1204" s="101"/>
    </row>
    <row r="1205" spans="1:23" x14ac:dyDescent="0.25">
      <c r="A1205" s="98"/>
      <c r="H1205" s="101"/>
      <c r="I1205" s="101"/>
      <c r="J1205" s="101"/>
      <c r="K1205" s="101"/>
      <c r="L1205" s="101"/>
      <c r="M1205" s="101"/>
      <c r="N1205" s="101"/>
      <c r="O1205" s="101"/>
      <c r="P1205" s="101"/>
      <c r="Q1205" s="101"/>
      <c r="R1205" s="101"/>
      <c r="S1205" s="110"/>
      <c r="T1205" s="102"/>
      <c r="U1205" s="101"/>
      <c r="V1205" s="103"/>
      <c r="W1205" s="101"/>
    </row>
    <row r="1206" spans="1:23" x14ac:dyDescent="0.25">
      <c r="A1206" s="98"/>
      <c r="H1206" s="101"/>
      <c r="I1206" s="101"/>
      <c r="J1206" s="101"/>
      <c r="K1206" s="101"/>
      <c r="L1206" s="101"/>
      <c r="M1206" s="101"/>
      <c r="N1206" s="101"/>
      <c r="O1206" s="101"/>
      <c r="P1206" s="101"/>
      <c r="Q1206" s="101"/>
      <c r="R1206" s="101"/>
      <c r="S1206" s="110"/>
      <c r="T1206" s="102"/>
      <c r="U1206" s="101"/>
      <c r="V1206" s="103"/>
      <c r="W1206" s="101"/>
    </row>
    <row r="1207" spans="1:23" x14ac:dyDescent="0.25">
      <c r="A1207" s="98"/>
      <c r="H1207" s="101"/>
      <c r="I1207" s="101"/>
      <c r="J1207" s="101"/>
      <c r="K1207" s="101"/>
      <c r="L1207" s="101"/>
      <c r="M1207" s="101"/>
      <c r="N1207" s="101"/>
      <c r="O1207" s="101"/>
      <c r="P1207" s="101"/>
      <c r="Q1207" s="101"/>
      <c r="R1207" s="101"/>
      <c r="S1207" s="110"/>
      <c r="T1207" s="102"/>
      <c r="U1207" s="101"/>
      <c r="V1207" s="103"/>
      <c r="W1207" s="101"/>
    </row>
    <row r="1208" spans="1:23" x14ac:dyDescent="0.25">
      <c r="A1208" s="98"/>
      <c r="H1208" s="101"/>
      <c r="I1208" s="101"/>
      <c r="J1208" s="101"/>
      <c r="K1208" s="101"/>
      <c r="L1208" s="101"/>
      <c r="M1208" s="101"/>
      <c r="N1208" s="101"/>
      <c r="O1208" s="101"/>
      <c r="P1208" s="101"/>
      <c r="Q1208" s="101"/>
      <c r="R1208" s="101"/>
      <c r="S1208" s="110"/>
      <c r="T1208" s="102"/>
      <c r="U1208" s="101"/>
      <c r="V1208" s="103"/>
      <c r="W1208" s="101"/>
    </row>
    <row r="1209" spans="1:23" x14ac:dyDescent="0.25">
      <c r="A1209" s="98"/>
      <c r="H1209" s="101"/>
      <c r="I1209" s="101"/>
      <c r="J1209" s="101"/>
      <c r="K1209" s="101"/>
      <c r="L1209" s="101"/>
      <c r="M1209" s="101"/>
      <c r="N1209" s="101"/>
      <c r="O1209" s="101"/>
      <c r="P1209" s="101"/>
      <c r="Q1209" s="101"/>
      <c r="R1209" s="101"/>
      <c r="S1209" s="110"/>
      <c r="T1209" s="102"/>
      <c r="U1209" s="101"/>
      <c r="V1209" s="103"/>
      <c r="W1209" s="101"/>
    </row>
    <row r="1210" spans="1:23" x14ac:dyDescent="0.25">
      <c r="A1210" s="98"/>
      <c r="H1210" s="101"/>
      <c r="I1210" s="101"/>
      <c r="J1210" s="101"/>
      <c r="K1210" s="101"/>
      <c r="L1210" s="101"/>
      <c r="M1210" s="101"/>
      <c r="N1210" s="101"/>
      <c r="O1210" s="101"/>
      <c r="P1210" s="101"/>
      <c r="Q1210" s="101"/>
      <c r="R1210" s="101"/>
      <c r="S1210" s="110"/>
      <c r="T1210" s="102"/>
      <c r="U1210" s="101"/>
      <c r="V1210" s="103"/>
      <c r="W1210" s="101"/>
    </row>
    <row r="1211" spans="1:23" x14ac:dyDescent="0.25">
      <c r="A1211" s="98"/>
      <c r="H1211" s="101"/>
      <c r="I1211" s="101"/>
      <c r="J1211" s="101"/>
      <c r="K1211" s="101"/>
      <c r="L1211" s="101"/>
      <c r="M1211" s="101"/>
      <c r="N1211" s="101"/>
      <c r="O1211" s="101"/>
      <c r="P1211" s="101"/>
      <c r="Q1211" s="101"/>
      <c r="R1211" s="101"/>
      <c r="S1211" s="110"/>
      <c r="T1211" s="102"/>
      <c r="U1211" s="101"/>
      <c r="V1211" s="103"/>
      <c r="W1211" s="101"/>
    </row>
    <row r="1212" spans="1:23" x14ac:dyDescent="0.25">
      <c r="A1212" s="98"/>
      <c r="H1212" s="101"/>
      <c r="I1212" s="101"/>
      <c r="J1212" s="101"/>
      <c r="K1212" s="101"/>
      <c r="L1212" s="101"/>
      <c r="M1212" s="101"/>
      <c r="N1212" s="101"/>
      <c r="O1212" s="101"/>
      <c r="P1212" s="101"/>
      <c r="Q1212" s="101"/>
      <c r="R1212" s="101"/>
      <c r="S1212" s="110"/>
      <c r="T1212" s="102"/>
      <c r="U1212" s="101"/>
      <c r="V1212" s="103"/>
      <c r="W1212" s="101"/>
    </row>
    <row r="1213" spans="1:23" x14ac:dyDescent="0.25">
      <c r="A1213" s="98"/>
      <c r="H1213" s="101"/>
      <c r="I1213" s="101"/>
      <c r="J1213" s="101"/>
      <c r="K1213" s="101"/>
      <c r="L1213" s="101"/>
      <c r="M1213" s="101"/>
      <c r="N1213" s="101"/>
      <c r="O1213" s="101"/>
      <c r="P1213" s="101"/>
      <c r="Q1213" s="101"/>
      <c r="R1213" s="101"/>
      <c r="S1213" s="110"/>
      <c r="T1213" s="102"/>
      <c r="U1213" s="101"/>
      <c r="V1213" s="103"/>
      <c r="W1213" s="101"/>
    </row>
    <row r="1214" spans="1:23" x14ac:dyDescent="0.25">
      <c r="A1214" s="98"/>
      <c r="H1214" s="101"/>
      <c r="I1214" s="101"/>
      <c r="J1214" s="101"/>
      <c r="K1214" s="101"/>
      <c r="L1214" s="101"/>
      <c r="M1214" s="101"/>
      <c r="N1214" s="101"/>
      <c r="O1214" s="101"/>
      <c r="P1214" s="101"/>
      <c r="Q1214" s="101"/>
      <c r="R1214" s="101"/>
      <c r="S1214" s="110"/>
      <c r="T1214" s="102"/>
      <c r="U1214" s="101"/>
      <c r="V1214" s="103"/>
      <c r="W1214" s="101"/>
    </row>
    <row r="1215" spans="1:23" x14ac:dyDescent="0.25">
      <c r="A1215" s="98"/>
      <c r="H1215" s="101"/>
      <c r="I1215" s="101"/>
      <c r="J1215" s="101"/>
      <c r="K1215" s="101"/>
      <c r="L1215" s="101"/>
      <c r="M1215" s="101"/>
      <c r="N1215" s="101"/>
      <c r="O1215" s="101"/>
      <c r="P1215" s="101"/>
      <c r="Q1215" s="101"/>
      <c r="R1215" s="101"/>
      <c r="S1215" s="110"/>
      <c r="T1215" s="102"/>
      <c r="U1215" s="101"/>
      <c r="V1215" s="103"/>
      <c r="W1215" s="101"/>
    </row>
    <row r="1216" spans="1:23" x14ac:dyDescent="0.25">
      <c r="A1216" s="98"/>
      <c r="H1216" s="101"/>
      <c r="I1216" s="101"/>
      <c r="J1216" s="101"/>
      <c r="K1216" s="101"/>
      <c r="L1216" s="101"/>
      <c r="M1216" s="101"/>
      <c r="N1216" s="101"/>
      <c r="O1216" s="101"/>
      <c r="P1216" s="101"/>
      <c r="Q1216" s="101"/>
      <c r="R1216" s="101"/>
      <c r="S1216" s="110"/>
      <c r="T1216" s="102"/>
      <c r="U1216" s="101"/>
      <c r="V1216" s="103"/>
      <c r="W1216" s="101"/>
    </row>
    <row r="1217" spans="1:23" x14ac:dyDescent="0.25">
      <c r="A1217" s="98"/>
      <c r="H1217" s="101"/>
      <c r="I1217" s="101"/>
      <c r="J1217" s="101"/>
      <c r="K1217" s="101"/>
      <c r="L1217" s="101"/>
      <c r="M1217" s="101"/>
      <c r="N1217" s="101"/>
      <c r="O1217" s="101"/>
      <c r="P1217" s="101"/>
      <c r="Q1217" s="101"/>
      <c r="R1217" s="101"/>
      <c r="S1217" s="110"/>
      <c r="T1217" s="102"/>
      <c r="U1217" s="101"/>
      <c r="V1217" s="103"/>
      <c r="W1217" s="101"/>
    </row>
    <row r="1218" spans="1:23" x14ac:dyDescent="0.25">
      <c r="A1218" s="98"/>
      <c r="H1218" s="101"/>
      <c r="I1218" s="101"/>
      <c r="J1218" s="101"/>
      <c r="K1218" s="101"/>
      <c r="L1218" s="101"/>
      <c r="M1218" s="101"/>
      <c r="N1218" s="101"/>
      <c r="O1218" s="101"/>
      <c r="P1218" s="101"/>
      <c r="Q1218" s="101"/>
      <c r="R1218" s="101"/>
      <c r="S1218" s="110"/>
      <c r="T1218" s="102"/>
      <c r="U1218" s="101"/>
      <c r="V1218" s="103"/>
      <c r="W1218" s="101"/>
    </row>
    <row r="1219" spans="1:23" x14ac:dyDescent="0.25">
      <c r="A1219" s="98"/>
      <c r="H1219" s="101"/>
      <c r="I1219" s="101"/>
      <c r="J1219" s="101"/>
      <c r="K1219" s="101"/>
      <c r="L1219" s="101"/>
      <c r="M1219" s="101"/>
      <c r="N1219" s="101"/>
      <c r="O1219" s="101"/>
      <c r="P1219" s="101"/>
      <c r="Q1219" s="101"/>
      <c r="R1219" s="101"/>
      <c r="S1219" s="110"/>
      <c r="T1219" s="102"/>
      <c r="U1219" s="101"/>
      <c r="V1219" s="103"/>
      <c r="W1219" s="101"/>
    </row>
    <row r="1220" spans="1:23" x14ac:dyDescent="0.25">
      <c r="A1220" s="98"/>
      <c r="H1220" s="101"/>
      <c r="I1220" s="101"/>
      <c r="J1220" s="101"/>
      <c r="K1220" s="101"/>
      <c r="L1220" s="101"/>
      <c r="M1220" s="101"/>
      <c r="N1220" s="101"/>
      <c r="O1220" s="101"/>
      <c r="P1220" s="101"/>
      <c r="Q1220" s="101"/>
      <c r="R1220" s="101"/>
      <c r="S1220" s="110"/>
      <c r="T1220" s="102"/>
      <c r="U1220" s="101"/>
      <c r="V1220" s="103"/>
      <c r="W1220" s="101"/>
    </row>
    <row r="1221" spans="1:23" x14ac:dyDescent="0.25">
      <c r="A1221" s="98"/>
      <c r="H1221" s="101"/>
      <c r="I1221" s="101"/>
      <c r="J1221" s="101"/>
      <c r="K1221" s="101"/>
      <c r="L1221" s="101"/>
      <c r="M1221" s="101"/>
      <c r="N1221" s="101"/>
      <c r="O1221" s="101"/>
      <c r="P1221" s="101"/>
      <c r="Q1221" s="101"/>
      <c r="R1221" s="101"/>
      <c r="S1221" s="110"/>
      <c r="T1221" s="102"/>
      <c r="U1221" s="101"/>
      <c r="V1221" s="103"/>
      <c r="W1221" s="101"/>
    </row>
    <row r="1222" spans="1:23" x14ac:dyDescent="0.25">
      <c r="A1222" s="98"/>
      <c r="H1222" s="101"/>
      <c r="I1222" s="101"/>
      <c r="J1222" s="101"/>
      <c r="K1222" s="101"/>
      <c r="L1222" s="101"/>
      <c r="M1222" s="101"/>
      <c r="N1222" s="101"/>
      <c r="O1222" s="101"/>
      <c r="P1222" s="101"/>
      <c r="Q1222" s="101"/>
      <c r="R1222" s="101"/>
      <c r="S1222" s="110"/>
      <c r="T1222" s="102"/>
      <c r="U1222" s="101"/>
      <c r="V1222" s="103"/>
      <c r="W1222" s="101"/>
    </row>
    <row r="1223" spans="1:23" x14ac:dyDescent="0.25">
      <c r="A1223" s="98"/>
      <c r="H1223" s="101"/>
      <c r="I1223" s="101"/>
      <c r="J1223" s="101"/>
      <c r="K1223" s="101"/>
      <c r="L1223" s="101"/>
      <c r="M1223" s="101"/>
      <c r="N1223" s="101"/>
      <c r="O1223" s="101"/>
      <c r="P1223" s="101"/>
      <c r="Q1223" s="101"/>
      <c r="R1223" s="101"/>
      <c r="S1223" s="110"/>
      <c r="T1223" s="102"/>
      <c r="U1223" s="101"/>
      <c r="V1223" s="103"/>
      <c r="W1223" s="101"/>
    </row>
    <row r="1224" spans="1:23" x14ac:dyDescent="0.25">
      <c r="A1224" s="98"/>
      <c r="H1224" s="101"/>
      <c r="I1224" s="101"/>
      <c r="J1224" s="101"/>
      <c r="K1224" s="101"/>
      <c r="L1224" s="101"/>
      <c r="M1224" s="101"/>
      <c r="N1224" s="101"/>
      <c r="O1224" s="101"/>
      <c r="P1224" s="101"/>
      <c r="Q1224" s="101"/>
      <c r="R1224" s="101"/>
      <c r="S1224" s="110"/>
      <c r="T1224" s="102"/>
      <c r="U1224" s="101"/>
      <c r="V1224" s="103"/>
      <c r="W1224" s="101"/>
    </row>
    <row r="1225" spans="1:23" x14ac:dyDescent="0.25">
      <c r="A1225" s="98"/>
      <c r="H1225" s="101"/>
      <c r="I1225" s="101"/>
      <c r="J1225" s="101"/>
      <c r="K1225" s="101"/>
      <c r="L1225" s="101"/>
      <c r="M1225" s="101"/>
      <c r="N1225" s="101"/>
      <c r="O1225" s="101"/>
      <c r="P1225" s="101"/>
      <c r="Q1225" s="101"/>
      <c r="R1225" s="101"/>
      <c r="S1225" s="110"/>
      <c r="T1225" s="102"/>
      <c r="U1225" s="101"/>
      <c r="V1225" s="103"/>
      <c r="W1225" s="101"/>
    </row>
    <row r="1226" spans="1:23" x14ac:dyDescent="0.25">
      <c r="A1226" s="98"/>
      <c r="H1226" s="101"/>
      <c r="I1226" s="101"/>
      <c r="J1226" s="101"/>
      <c r="K1226" s="101"/>
      <c r="L1226" s="101"/>
      <c r="M1226" s="101"/>
      <c r="N1226" s="101"/>
      <c r="O1226" s="101"/>
      <c r="P1226" s="101"/>
      <c r="Q1226" s="101"/>
      <c r="R1226" s="101"/>
      <c r="S1226" s="110"/>
      <c r="T1226" s="102"/>
      <c r="U1226" s="101"/>
      <c r="V1226" s="103"/>
      <c r="W1226" s="101"/>
    </row>
    <row r="1227" spans="1:23" x14ac:dyDescent="0.25">
      <c r="A1227" s="98"/>
      <c r="H1227" s="101"/>
      <c r="I1227" s="101"/>
      <c r="J1227" s="101"/>
      <c r="K1227" s="101"/>
      <c r="L1227" s="101"/>
      <c r="M1227" s="101"/>
      <c r="N1227" s="101"/>
      <c r="O1227" s="101"/>
      <c r="P1227" s="101"/>
      <c r="Q1227" s="101"/>
      <c r="R1227" s="101"/>
      <c r="S1227" s="110"/>
      <c r="T1227" s="102"/>
      <c r="U1227" s="101"/>
      <c r="V1227" s="103"/>
      <c r="W1227" s="101"/>
    </row>
    <row r="1228" spans="1:23" x14ac:dyDescent="0.25">
      <c r="A1228" s="98"/>
      <c r="H1228" s="101"/>
      <c r="I1228" s="101"/>
      <c r="J1228" s="101"/>
      <c r="K1228" s="101"/>
      <c r="L1228" s="101"/>
      <c r="M1228" s="101"/>
      <c r="N1228" s="101"/>
      <c r="O1228" s="101"/>
      <c r="P1228" s="101"/>
      <c r="Q1228" s="101"/>
      <c r="R1228" s="101"/>
      <c r="S1228" s="110"/>
      <c r="T1228" s="102"/>
      <c r="U1228" s="101"/>
      <c r="V1228" s="103"/>
      <c r="W1228" s="101"/>
    </row>
    <row r="1229" spans="1:23" x14ac:dyDescent="0.25">
      <c r="A1229" s="98"/>
      <c r="H1229" s="101"/>
      <c r="I1229" s="101"/>
      <c r="J1229" s="101"/>
      <c r="K1229" s="101"/>
      <c r="L1229" s="101"/>
      <c r="M1229" s="101"/>
      <c r="N1229" s="101"/>
      <c r="O1229" s="101"/>
      <c r="P1229" s="101"/>
      <c r="Q1229" s="101"/>
      <c r="R1229" s="101"/>
      <c r="S1229" s="110"/>
      <c r="T1229" s="102"/>
      <c r="U1229" s="101"/>
      <c r="V1229" s="103"/>
      <c r="W1229" s="101"/>
    </row>
    <row r="1230" spans="1:23" x14ac:dyDescent="0.25">
      <c r="A1230" s="98"/>
      <c r="H1230" s="101"/>
      <c r="I1230" s="101"/>
      <c r="J1230" s="101"/>
      <c r="K1230" s="101"/>
      <c r="L1230" s="101"/>
      <c r="M1230" s="101"/>
      <c r="N1230" s="101"/>
      <c r="O1230" s="101"/>
      <c r="P1230" s="101"/>
      <c r="Q1230" s="101"/>
      <c r="R1230" s="101"/>
      <c r="S1230" s="110"/>
      <c r="T1230" s="102"/>
      <c r="U1230" s="101"/>
      <c r="V1230" s="103"/>
      <c r="W1230" s="101"/>
    </row>
    <row r="1231" spans="1:23" x14ac:dyDescent="0.25">
      <c r="A1231" s="98"/>
      <c r="H1231" s="101"/>
      <c r="I1231" s="101"/>
      <c r="J1231" s="101"/>
      <c r="K1231" s="101"/>
      <c r="L1231" s="101"/>
      <c r="M1231" s="101"/>
      <c r="N1231" s="101"/>
      <c r="O1231" s="101"/>
      <c r="P1231" s="101"/>
      <c r="Q1231" s="101"/>
      <c r="R1231" s="101"/>
      <c r="S1231" s="110"/>
      <c r="T1231" s="102"/>
      <c r="U1231" s="101"/>
      <c r="V1231" s="103"/>
      <c r="W1231" s="101"/>
    </row>
    <row r="1232" spans="1:23" x14ac:dyDescent="0.25">
      <c r="A1232" s="98"/>
      <c r="H1232" s="101"/>
      <c r="I1232" s="101"/>
      <c r="J1232" s="101"/>
      <c r="K1232" s="101"/>
      <c r="L1232" s="101"/>
      <c r="M1232" s="101"/>
      <c r="N1232" s="101"/>
      <c r="O1232" s="101"/>
      <c r="P1232" s="101"/>
      <c r="Q1232" s="101"/>
      <c r="R1232" s="101"/>
      <c r="S1232" s="110"/>
      <c r="T1232" s="102"/>
      <c r="U1232" s="101"/>
      <c r="V1232" s="103"/>
      <c r="W1232" s="101"/>
    </row>
    <row r="1233" spans="1:23" x14ac:dyDescent="0.25">
      <c r="A1233" s="98"/>
      <c r="H1233" s="101"/>
      <c r="I1233" s="101"/>
      <c r="J1233" s="101"/>
      <c r="K1233" s="101"/>
      <c r="L1233" s="101"/>
      <c r="M1233" s="101"/>
      <c r="N1233" s="101"/>
      <c r="O1233" s="101"/>
      <c r="P1233" s="101"/>
      <c r="Q1233" s="101"/>
      <c r="R1233" s="101"/>
      <c r="S1233" s="110"/>
      <c r="T1233" s="102"/>
      <c r="U1233" s="101"/>
      <c r="V1233" s="103"/>
      <c r="W1233" s="101"/>
    </row>
    <row r="1234" spans="1:23" x14ac:dyDescent="0.25">
      <c r="A1234" s="98"/>
      <c r="H1234" s="101"/>
      <c r="I1234" s="101"/>
      <c r="J1234" s="101"/>
      <c r="K1234" s="101"/>
      <c r="L1234" s="101"/>
      <c r="M1234" s="101"/>
      <c r="N1234" s="101"/>
      <c r="O1234" s="101"/>
      <c r="P1234" s="101"/>
      <c r="Q1234" s="101"/>
      <c r="R1234" s="101"/>
      <c r="S1234" s="110"/>
      <c r="T1234" s="102"/>
      <c r="U1234" s="101"/>
      <c r="V1234" s="103"/>
      <c r="W1234" s="101"/>
    </row>
    <row r="1235" spans="1:23" x14ac:dyDescent="0.25">
      <c r="A1235" s="98"/>
      <c r="H1235" s="101"/>
      <c r="I1235" s="101"/>
      <c r="J1235" s="101"/>
      <c r="K1235" s="101"/>
      <c r="L1235" s="101"/>
      <c r="M1235" s="101"/>
      <c r="N1235" s="101"/>
      <c r="O1235" s="101"/>
      <c r="P1235" s="101"/>
      <c r="Q1235" s="101"/>
      <c r="R1235" s="101"/>
      <c r="S1235" s="110"/>
      <c r="T1235" s="102"/>
      <c r="U1235" s="101"/>
      <c r="V1235" s="103"/>
      <c r="W1235" s="101"/>
    </row>
    <row r="1236" spans="1:23" x14ac:dyDescent="0.25">
      <c r="A1236" s="98"/>
      <c r="H1236" s="101"/>
      <c r="I1236" s="101"/>
      <c r="J1236" s="101"/>
      <c r="K1236" s="101"/>
      <c r="L1236" s="101"/>
      <c r="M1236" s="101"/>
      <c r="N1236" s="101"/>
      <c r="O1236" s="101"/>
      <c r="P1236" s="101"/>
      <c r="Q1236" s="101"/>
      <c r="R1236" s="101"/>
      <c r="S1236" s="110"/>
      <c r="T1236" s="102"/>
      <c r="U1236" s="101"/>
      <c r="V1236" s="103"/>
      <c r="W1236" s="101"/>
    </row>
    <row r="1237" spans="1:23" x14ac:dyDescent="0.25">
      <c r="A1237" s="98"/>
      <c r="H1237" s="101"/>
      <c r="I1237" s="101"/>
      <c r="J1237" s="101"/>
      <c r="K1237" s="101"/>
      <c r="L1237" s="101"/>
      <c r="M1237" s="101"/>
      <c r="N1237" s="101"/>
      <c r="O1237" s="101"/>
      <c r="P1237" s="101"/>
      <c r="Q1237" s="101"/>
      <c r="R1237" s="101"/>
      <c r="S1237" s="110"/>
      <c r="T1237" s="102"/>
      <c r="U1237" s="101"/>
      <c r="V1237" s="103"/>
      <c r="W1237" s="101"/>
    </row>
    <row r="1238" spans="1:23" x14ac:dyDescent="0.25">
      <c r="A1238" s="98"/>
      <c r="H1238" s="101"/>
      <c r="I1238" s="101"/>
      <c r="J1238" s="101"/>
      <c r="K1238" s="101"/>
      <c r="L1238" s="101"/>
      <c r="M1238" s="101"/>
      <c r="N1238" s="101"/>
      <c r="O1238" s="101"/>
      <c r="P1238" s="101"/>
      <c r="Q1238" s="101"/>
      <c r="R1238" s="101"/>
      <c r="S1238" s="110"/>
      <c r="T1238" s="102"/>
      <c r="U1238" s="101"/>
      <c r="V1238" s="103"/>
      <c r="W1238" s="101"/>
    </row>
    <row r="1239" spans="1:23" x14ac:dyDescent="0.25">
      <c r="A1239" s="98"/>
      <c r="H1239" s="101"/>
      <c r="I1239" s="101"/>
      <c r="J1239" s="101"/>
      <c r="K1239" s="101"/>
      <c r="L1239" s="101"/>
      <c r="M1239" s="101"/>
      <c r="N1239" s="101"/>
      <c r="O1239" s="101"/>
      <c r="P1239" s="101"/>
      <c r="Q1239" s="101"/>
      <c r="R1239" s="101"/>
      <c r="S1239" s="110"/>
      <c r="T1239" s="102"/>
      <c r="U1239" s="101"/>
      <c r="V1239" s="103"/>
      <c r="W1239" s="101"/>
    </row>
    <row r="1240" spans="1:23" x14ac:dyDescent="0.25">
      <c r="A1240" s="98"/>
      <c r="H1240" s="101"/>
      <c r="I1240" s="101"/>
      <c r="J1240" s="101"/>
      <c r="K1240" s="101"/>
      <c r="L1240" s="101"/>
      <c r="M1240" s="101"/>
      <c r="N1240" s="101"/>
      <c r="O1240" s="101"/>
      <c r="P1240" s="101"/>
      <c r="Q1240" s="101"/>
      <c r="R1240" s="101"/>
      <c r="S1240" s="110"/>
      <c r="T1240" s="102"/>
      <c r="U1240" s="101"/>
      <c r="V1240" s="103"/>
      <c r="W1240" s="101"/>
    </row>
    <row r="1241" spans="1:23" x14ac:dyDescent="0.25">
      <c r="A1241" s="98"/>
      <c r="H1241" s="101"/>
      <c r="I1241" s="101"/>
      <c r="J1241" s="101"/>
      <c r="K1241" s="101"/>
      <c r="L1241" s="101"/>
      <c r="M1241" s="101"/>
      <c r="N1241" s="101"/>
      <c r="O1241" s="101"/>
      <c r="P1241" s="101"/>
      <c r="Q1241" s="101"/>
      <c r="R1241" s="101"/>
      <c r="S1241" s="110"/>
      <c r="T1241" s="102"/>
      <c r="U1241" s="101"/>
      <c r="V1241" s="103"/>
      <c r="W1241" s="101"/>
    </row>
    <row r="1242" spans="1:23" x14ac:dyDescent="0.25">
      <c r="A1242" s="98"/>
      <c r="H1242" s="101"/>
      <c r="I1242" s="101"/>
      <c r="J1242" s="101"/>
      <c r="K1242" s="101"/>
      <c r="L1242" s="101"/>
      <c r="M1242" s="101"/>
      <c r="N1242" s="101"/>
      <c r="O1242" s="101"/>
      <c r="P1242" s="101"/>
      <c r="Q1242" s="101"/>
      <c r="R1242" s="101"/>
      <c r="S1242" s="110"/>
      <c r="T1242" s="102"/>
      <c r="U1242" s="101"/>
      <c r="V1242" s="103"/>
      <c r="W1242" s="101"/>
    </row>
    <row r="1243" spans="1:23" x14ac:dyDescent="0.25">
      <c r="A1243" s="98"/>
      <c r="H1243" s="101"/>
      <c r="I1243" s="101"/>
      <c r="J1243" s="101"/>
      <c r="K1243" s="101"/>
      <c r="L1243" s="101"/>
      <c r="M1243" s="101"/>
      <c r="N1243" s="101"/>
      <c r="O1243" s="101"/>
      <c r="P1243" s="101"/>
      <c r="Q1243" s="101"/>
      <c r="R1243" s="101"/>
      <c r="S1243" s="110"/>
      <c r="T1243" s="102"/>
      <c r="U1243" s="101"/>
      <c r="V1243" s="103"/>
      <c r="W1243" s="101"/>
    </row>
    <row r="1244" spans="1:23" x14ac:dyDescent="0.25">
      <c r="A1244" s="98"/>
      <c r="H1244" s="101"/>
      <c r="I1244" s="101"/>
      <c r="J1244" s="101"/>
      <c r="K1244" s="101"/>
      <c r="L1244" s="101"/>
      <c r="M1244" s="101"/>
      <c r="N1244" s="101"/>
      <c r="O1244" s="101"/>
      <c r="P1244" s="101"/>
      <c r="Q1244" s="101"/>
      <c r="R1244" s="101"/>
      <c r="S1244" s="110"/>
      <c r="T1244" s="102"/>
      <c r="U1244" s="101"/>
      <c r="V1244" s="103"/>
      <c r="W1244" s="101"/>
    </row>
    <row r="1245" spans="1:23" x14ac:dyDescent="0.25">
      <c r="A1245" s="98"/>
      <c r="H1245" s="101"/>
      <c r="I1245" s="101"/>
      <c r="J1245" s="101"/>
      <c r="K1245" s="101"/>
      <c r="L1245" s="101"/>
      <c r="M1245" s="101"/>
      <c r="N1245" s="101"/>
      <c r="O1245" s="101"/>
      <c r="P1245" s="101"/>
      <c r="Q1245" s="101"/>
      <c r="R1245" s="101"/>
      <c r="S1245" s="110"/>
      <c r="T1245" s="102"/>
      <c r="U1245" s="101"/>
      <c r="V1245" s="103"/>
      <c r="W1245" s="101"/>
    </row>
    <row r="1246" spans="1:23" x14ac:dyDescent="0.25">
      <c r="A1246" s="98"/>
      <c r="H1246" s="101"/>
      <c r="I1246" s="101"/>
      <c r="J1246" s="101"/>
      <c r="K1246" s="101"/>
      <c r="L1246" s="101"/>
      <c r="M1246" s="101"/>
      <c r="N1246" s="101"/>
      <c r="O1246" s="101"/>
      <c r="P1246" s="101"/>
      <c r="Q1246" s="101"/>
      <c r="R1246" s="101"/>
      <c r="S1246" s="110"/>
      <c r="T1246" s="102"/>
      <c r="U1246" s="101"/>
      <c r="V1246" s="103"/>
      <c r="W1246" s="101"/>
    </row>
    <row r="1247" spans="1:23" x14ac:dyDescent="0.25">
      <c r="A1247" s="98"/>
      <c r="H1247" s="101"/>
      <c r="I1247" s="101"/>
      <c r="J1247" s="101"/>
      <c r="K1247" s="101"/>
      <c r="L1247" s="101"/>
      <c r="M1247" s="101"/>
      <c r="N1247" s="101"/>
      <c r="O1247" s="101"/>
      <c r="P1247" s="101"/>
      <c r="Q1247" s="101"/>
      <c r="R1247" s="101"/>
      <c r="S1247" s="110"/>
      <c r="T1247" s="102"/>
      <c r="U1247" s="101"/>
      <c r="V1247" s="103"/>
      <c r="W1247" s="101"/>
    </row>
    <row r="1248" spans="1:23" x14ac:dyDescent="0.25">
      <c r="A1248" s="98"/>
      <c r="H1248" s="101"/>
      <c r="I1248" s="101"/>
      <c r="J1248" s="101"/>
      <c r="K1248" s="101"/>
      <c r="L1248" s="101"/>
      <c r="M1248" s="101"/>
      <c r="N1248" s="101"/>
      <c r="O1248" s="101"/>
      <c r="P1248" s="101"/>
      <c r="Q1248" s="101"/>
      <c r="R1248" s="101"/>
      <c r="S1248" s="110"/>
      <c r="T1248" s="102"/>
      <c r="U1248" s="101"/>
      <c r="V1248" s="103"/>
      <c r="W1248" s="101"/>
    </row>
    <row r="1249" spans="1:23" x14ac:dyDescent="0.25">
      <c r="A1249" s="98"/>
      <c r="H1249" s="101"/>
      <c r="I1249" s="101"/>
      <c r="J1249" s="101"/>
      <c r="K1249" s="101"/>
      <c r="L1249" s="101"/>
      <c r="M1249" s="101"/>
      <c r="N1249" s="101"/>
      <c r="O1249" s="101"/>
      <c r="P1249" s="101"/>
      <c r="Q1249" s="101"/>
      <c r="R1249" s="101"/>
      <c r="S1249" s="110"/>
      <c r="T1249" s="102"/>
      <c r="U1249" s="101"/>
      <c r="V1249" s="103"/>
      <c r="W1249" s="101"/>
    </row>
    <row r="1250" spans="1:23" x14ac:dyDescent="0.25">
      <c r="A1250" s="98"/>
      <c r="H1250" s="101"/>
      <c r="I1250" s="101"/>
      <c r="J1250" s="101"/>
      <c r="K1250" s="101"/>
      <c r="L1250" s="101"/>
      <c r="M1250" s="101"/>
      <c r="N1250" s="101"/>
      <c r="O1250" s="101"/>
      <c r="P1250" s="101"/>
      <c r="Q1250" s="101"/>
      <c r="R1250" s="101"/>
      <c r="S1250" s="110"/>
      <c r="T1250" s="102"/>
      <c r="U1250" s="101"/>
      <c r="V1250" s="103"/>
      <c r="W1250" s="101"/>
    </row>
    <row r="1251" spans="1:23" x14ac:dyDescent="0.25">
      <c r="A1251" s="98"/>
      <c r="H1251" s="101"/>
      <c r="I1251" s="101"/>
      <c r="J1251" s="101"/>
      <c r="K1251" s="101"/>
      <c r="L1251" s="101"/>
      <c r="M1251" s="101"/>
      <c r="N1251" s="101"/>
      <c r="O1251" s="101"/>
      <c r="P1251" s="101"/>
      <c r="Q1251" s="101"/>
      <c r="R1251" s="101"/>
      <c r="S1251" s="110"/>
      <c r="T1251" s="102"/>
      <c r="U1251" s="101"/>
      <c r="V1251" s="103"/>
      <c r="W1251" s="101"/>
    </row>
    <row r="1252" spans="1:23" x14ac:dyDescent="0.25">
      <c r="A1252" s="98"/>
      <c r="H1252" s="101"/>
      <c r="I1252" s="101"/>
      <c r="J1252" s="101"/>
      <c r="K1252" s="101"/>
      <c r="L1252" s="101"/>
      <c r="M1252" s="101"/>
      <c r="N1252" s="101"/>
      <c r="O1252" s="101"/>
      <c r="P1252" s="101"/>
      <c r="Q1252" s="101"/>
      <c r="R1252" s="101"/>
      <c r="S1252" s="110"/>
      <c r="T1252" s="102"/>
      <c r="U1252" s="101"/>
      <c r="V1252" s="103"/>
      <c r="W1252" s="101"/>
    </row>
    <row r="1253" spans="1:23" x14ac:dyDescent="0.25">
      <c r="A1253" s="98"/>
      <c r="H1253" s="101"/>
      <c r="I1253" s="101"/>
      <c r="J1253" s="101"/>
      <c r="K1253" s="101"/>
      <c r="L1253" s="101"/>
      <c r="M1253" s="101"/>
      <c r="N1253" s="101"/>
      <c r="O1253" s="101"/>
      <c r="P1253" s="101"/>
      <c r="Q1253" s="101"/>
      <c r="R1253" s="101"/>
      <c r="S1253" s="110"/>
      <c r="T1253" s="102"/>
      <c r="U1253" s="101"/>
      <c r="V1253" s="103"/>
      <c r="W1253" s="101"/>
    </row>
    <row r="1254" spans="1:23" x14ac:dyDescent="0.25">
      <c r="A1254" s="98"/>
      <c r="H1254" s="101"/>
      <c r="I1254" s="101"/>
      <c r="J1254" s="101"/>
      <c r="K1254" s="101"/>
      <c r="L1254" s="101"/>
      <c r="M1254" s="101"/>
      <c r="N1254" s="101"/>
      <c r="O1254" s="101"/>
      <c r="P1254" s="101"/>
      <c r="Q1254" s="101"/>
      <c r="R1254" s="101"/>
      <c r="S1254" s="110"/>
      <c r="T1254" s="102"/>
      <c r="U1254" s="101"/>
      <c r="V1254" s="103"/>
      <c r="W1254" s="101"/>
    </row>
    <row r="1255" spans="1:23" x14ac:dyDescent="0.25">
      <c r="A1255" s="98"/>
      <c r="H1255" s="101"/>
      <c r="I1255" s="101"/>
      <c r="J1255" s="101"/>
      <c r="K1255" s="101"/>
      <c r="L1255" s="101"/>
      <c r="M1255" s="101"/>
      <c r="N1255" s="101"/>
      <c r="O1255" s="101"/>
      <c r="P1255" s="101"/>
      <c r="Q1255" s="101"/>
      <c r="R1255" s="101"/>
      <c r="S1255" s="110"/>
      <c r="T1255" s="102"/>
      <c r="U1255" s="101"/>
      <c r="V1255" s="103"/>
      <c r="W1255" s="101"/>
    </row>
    <row r="1256" spans="1:23" x14ac:dyDescent="0.25">
      <c r="A1256" s="98"/>
      <c r="H1256" s="101"/>
      <c r="I1256" s="101"/>
      <c r="J1256" s="101"/>
      <c r="K1256" s="101"/>
      <c r="L1256" s="101"/>
      <c r="M1256" s="101"/>
      <c r="N1256" s="101"/>
      <c r="O1256" s="101"/>
      <c r="P1256" s="101"/>
      <c r="Q1256" s="101"/>
      <c r="R1256" s="101"/>
      <c r="S1256" s="110"/>
      <c r="T1256" s="102"/>
      <c r="U1256" s="101"/>
      <c r="V1256" s="103"/>
      <c r="W1256" s="101"/>
    </row>
    <row r="1257" spans="1:23" x14ac:dyDescent="0.25">
      <c r="A1257" s="98"/>
      <c r="H1257" s="101"/>
      <c r="I1257" s="101"/>
      <c r="J1257" s="101"/>
      <c r="K1257" s="101"/>
      <c r="L1257" s="101"/>
      <c r="M1257" s="101"/>
      <c r="N1257" s="101"/>
      <c r="O1257" s="101"/>
      <c r="P1257" s="101"/>
      <c r="Q1257" s="101"/>
      <c r="R1257" s="101"/>
      <c r="S1257" s="110"/>
      <c r="T1257" s="102"/>
      <c r="U1257" s="101"/>
      <c r="V1257" s="103"/>
      <c r="W1257" s="101"/>
    </row>
    <row r="1258" spans="1:23" x14ac:dyDescent="0.25">
      <c r="A1258" s="98"/>
      <c r="H1258" s="101"/>
      <c r="I1258" s="101"/>
      <c r="J1258" s="101"/>
      <c r="K1258" s="101"/>
      <c r="L1258" s="101"/>
      <c r="M1258" s="101"/>
      <c r="N1258" s="101"/>
      <c r="O1258" s="101"/>
      <c r="P1258" s="101"/>
      <c r="Q1258" s="101"/>
      <c r="R1258" s="101"/>
      <c r="S1258" s="110"/>
      <c r="T1258" s="102"/>
      <c r="U1258" s="101"/>
      <c r="V1258" s="103"/>
      <c r="W1258" s="101"/>
    </row>
    <row r="1259" spans="1:23" x14ac:dyDescent="0.25">
      <c r="A1259" s="98"/>
      <c r="H1259" s="101"/>
      <c r="I1259" s="101"/>
      <c r="J1259" s="101"/>
      <c r="K1259" s="101"/>
      <c r="L1259" s="101"/>
      <c r="M1259" s="101"/>
      <c r="N1259" s="101"/>
      <c r="O1259" s="101"/>
      <c r="P1259" s="101"/>
      <c r="Q1259" s="101"/>
      <c r="R1259" s="101"/>
      <c r="S1259" s="110"/>
      <c r="T1259" s="102"/>
      <c r="U1259" s="101"/>
      <c r="V1259" s="103"/>
      <c r="W1259" s="101"/>
    </row>
    <row r="1260" spans="1:23" x14ac:dyDescent="0.25">
      <c r="A1260" s="98"/>
      <c r="H1260" s="101"/>
      <c r="I1260" s="101"/>
      <c r="J1260" s="101"/>
      <c r="K1260" s="101"/>
      <c r="L1260" s="101"/>
      <c r="M1260" s="101"/>
      <c r="N1260" s="101"/>
      <c r="O1260" s="101"/>
      <c r="P1260" s="101"/>
      <c r="Q1260" s="101"/>
      <c r="R1260" s="101"/>
      <c r="S1260" s="110"/>
      <c r="T1260" s="102"/>
      <c r="U1260" s="101"/>
      <c r="V1260" s="103"/>
      <c r="W1260" s="101"/>
    </row>
    <row r="1261" spans="1:23" x14ac:dyDescent="0.25">
      <c r="A1261" s="98"/>
      <c r="H1261" s="101"/>
      <c r="I1261" s="101"/>
      <c r="J1261" s="101"/>
      <c r="K1261" s="101"/>
      <c r="L1261" s="101"/>
      <c r="M1261" s="101"/>
      <c r="N1261" s="101"/>
      <c r="O1261" s="101"/>
      <c r="P1261" s="101"/>
      <c r="Q1261" s="101"/>
      <c r="R1261" s="101"/>
      <c r="S1261" s="110"/>
      <c r="T1261" s="102"/>
      <c r="U1261" s="101"/>
      <c r="V1261" s="103"/>
      <c r="W1261" s="101"/>
    </row>
    <row r="1262" spans="1:23" x14ac:dyDescent="0.25">
      <c r="A1262" s="98"/>
      <c r="H1262" s="101"/>
      <c r="I1262" s="101"/>
      <c r="J1262" s="101"/>
      <c r="K1262" s="101"/>
      <c r="L1262" s="101"/>
      <c r="M1262" s="101"/>
      <c r="N1262" s="101"/>
      <c r="O1262" s="101"/>
      <c r="P1262" s="101"/>
      <c r="Q1262" s="101"/>
      <c r="R1262" s="101"/>
      <c r="S1262" s="110"/>
      <c r="T1262" s="102"/>
      <c r="U1262" s="101"/>
      <c r="V1262" s="103"/>
      <c r="W1262" s="101"/>
    </row>
    <row r="1263" spans="1:23" x14ac:dyDescent="0.25">
      <c r="A1263" s="98"/>
      <c r="H1263" s="101"/>
      <c r="I1263" s="101"/>
      <c r="J1263" s="101"/>
      <c r="K1263" s="101"/>
      <c r="L1263" s="101"/>
      <c r="M1263" s="101"/>
      <c r="N1263" s="101"/>
      <c r="O1263" s="101"/>
      <c r="P1263" s="101"/>
      <c r="Q1263" s="101"/>
      <c r="R1263" s="101"/>
      <c r="S1263" s="110"/>
      <c r="T1263" s="102"/>
      <c r="U1263" s="101"/>
      <c r="V1263" s="103"/>
      <c r="W1263" s="101"/>
    </row>
    <row r="1264" spans="1:23" x14ac:dyDescent="0.25">
      <c r="A1264" s="98"/>
      <c r="H1264" s="101"/>
      <c r="I1264" s="101"/>
      <c r="J1264" s="101"/>
      <c r="K1264" s="101"/>
      <c r="L1264" s="101"/>
      <c r="M1264" s="101"/>
      <c r="N1264" s="101"/>
      <c r="O1264" s="101"/>
      <c r="P1264" s="101"/>
      <c r="Q1264" s="101"/>
      <c r="R1264" s="101"/>
      <c r="S1264" s="110"/>
      <c r="T1264" s="102"/>
      <c r="U1264" s="101"/>
      <c r="V1264" s="103"/>
      <c r="W1264" s="101"/>
    </row>
    <row r="1265" spans="1:23" x14ac:dyDescent="0.25">
      <c r="A1265" s="98"/>
      <c r="H1265" s="101"/>
      <c r="I1265" s="101"/>
      <c r="J1265" s="101"/>
      <c r="K1265" s="101"/>
      <c r="L1265" s="101"/>
      <c r="M1265" s="101"/>
      <c r="N1265" s="101"/>
      <c r="O1265" s="101"/>
      <c r="P1265" s="101"/>
      <c r="Q1265" s="101"/>
      <c r="R1265" s="101"/>
      <c r="S1265" s="110"/>
      <c r="T1265" s="102"/>
      <c r="U1265" s="101"/>
      <c r="V1265" s="103"/>
      <c r="W1265" s="101"/>
    </row>
    <row r="1266" spans="1:23" x14ac:dyDescent="0.25">
      <c r="A1266" s="98"/>
      <c r="H1266" s="101"/>
      <c r="I1266" s="101"/>
      <c r="J1266" s="101"/>
      <c r="K1266" s="101"/>
      <c r="L1266" s="101"/>
      <c r="M1266" s="101"/>
      <c r="N1266" s="101"/>
      <c r="O1266" s="101"/>
      <c r="P1266" s="101"/>
      <c r="Q1266" s="101"/>
      <c r="R1266" s="101"/>
      <c r="S1266" s="110"/>
      <c r="T1266" s="102"/>
      <c r="U1266" s="101"/>
      <c r="V1266" s="103"/>
      <c r="W1266" s="101"/>
    </row>
    <row r="1267" spans="1:23" x14ac:dyDescent="0.25">
      <c r="A1267" s="98"/>
      <c r="H1267" s="101"/>
      <c r="I1267" s="101"/>
      <c r="J1267" s="101"/>
      <c r="K1267" s="101"/>
      <c r="L1267" s="101"/>
      <c r="M1267" s="101"/>
      <c r="N1267" s="101"/>
      <c r="O1267" s="101"/>
      <c r="P1267" s="101"/>
      <c r="Q1267" s="101"/>
      <c r="R1267" s="101"/>
      <c r="S1267" s="110"/>
      <c r="T1267" s="102"/>
      <c r="U1267" s="101"/>
      <c r="V1267" s="103"/>
      <c r="W1267" s="101"/>
    </row>
    <row r="1268" spans="1:23" x14ac:dyDescent="0.25">
      <c r="A1268" s="98"/>
      <c r="H1268" s="101"/>
      <c r="I1268" s="101"/>
      <c r="J1268" s="101"/>
      <c r="K1268" s="101"/>
      <c r="L1268" s="101"/>
      <c r="M1268" s="101"/>
      <c r="N1268" s="101"/>
      <c r="O1268" s="101"/>
      <c r="P1268" s="101"/>
      <c r="Q1268" s="101"/>
      <c r="R1268" s="101"/>
      <c r="S1268" s="110"/>
      <c r="T1268" s="102"/>
      <c r="U1268" s="101"/>
      <c r="V1268" s="103"/>
      <c r="W1268" s="101"/>
    </row>
    <row r="1269" spans="1:23" x14ac:dyDescent="0.25">
      <c r="A1269" s="98"/>
      <c r="H1269" s="101"/>
      <c r="I1269" s="101"/>
      <c r="J1269" s="101"/>
      <c r="K1269" s="101"/>
      <c r="L1269" s="101"/>
      <c r="M1269" s="101"/>
      <c r="N1269" s="101"/>
      <c r="O1269" s="101"/>
      <c r="P1269" s="101"/>
      <c r="Q1269" s="101"/>
      <c r="R1269" s="101"/>
      <c r="S1269" s="110"/>
      <c r="T1269" s="102"/>
      <c r="U1269" s="101"/>
      <c r="V1269" s="103"/>
      <c r="W1269" s="101"/>
    </row>
    <row r="1270" spans="1:23" x14ac:dyDescent="0.25">
      <c r="A1270" s="98"/>
      <c r="H1270" s="101"/>
      <c r="I1270" s="101"/>
      <c r="J1270" s="101"/>
      <c r="K1270" s="101"/>
      <c r="L1270" s="101"/>
      <c r="M1270" s="101"/>
      <c r="N1270" s="101"/>
      <c r="O1270" s="101"/>
      <c r="P1270" s="101"/>
      <c r="Q1270" s="101"/>
      <c r="R1270" s="101"/>
      <c r="S1270" s="110"/>
      <c r="T1270" s="102"/>
      <c r="U1270" s="101"/>
      <c r="V1270" s="103"/>
      <c r="W1270" s="101"/>
    </row>
    <row r="1271" spans="1:23" x14ac:dyDescent="0.25">
      <c r="A1271" s="98"/>
      <c r="H1271" s="101"/>
      <c r="I1271" s="101"/>
      <c r="J1271" s="101"/>
      <c r="K1271" s="101"/>
      <c r="L1271" s="101"/>
      <c r="M1271" s="101"/>
      <c r="N1271" s="101"/>
      <c r="O1271" s="101"/>
      <c r="P1271" s="101"/>
      <c r="Q1271" s="101"/>
      <c r="R1271" s="101"/>
      <c r="S1271" s="110"/>
      <c r="T1271" s="102"/>
      <c r="U1271" s="101"/>
      <c r="V1271" s="103"/>
      <c r="W1271" s="101"/>
    </row>
    <row r="1272" spans="1:23" x14ac:dyDescent="0.25">
      <c r="A1272" s="98"/>
      <c r="H1272" s="101"/>
      <c r="I1272" s="101"/>
      <c r="J1272" s="101"/>
      <c r="K1272" s="101"/>
      <c r="L1272" s="101"/>
      <c r="M1272" s="101"/>
      <c r="N1272" s="101"/>
      <c r="O1272" s="101"/>
      <c r="P1272" s="101"/>
      <c r="Q1272" s="101"/>
      <c r="R1272" s="101"/>
      <c r="S1272" s="110"/>
      <c r="T1272" s="102"/>
      <c r="U1272" s="101"/>
      <c r="V1272" s="103"/>
      <c r="W1272" s="101"/>
    </row>
    <row r="1273" spans="1:23" x14ac:dyDescent="0.25">
      <c r="A1273" s="98"/>
      <c r="H1273" s="101"/>
      <c r="I1273" s="101"/>
      <c r="J1273" s="101"/>
      <c r="K1273" s="101"/>
      <c r="L1273" s="101"/>
      <c r="M1273" s="101"/>
      <c r="N1273" s="101"/>
      <c r="O1273" s="101"/>
      <c r="P1273" s="101"/>
      <c r="Q1273" s="101"/>
      <c r="R1273" s="101"/>
      <c r="S1273" s="110"/>
      <c r="T1273" s="102"/>
      <c r="U1273" s="101"/>
      <c r="V1273" s="103"/>
      <c r="W1273" s="101"/>
    </row>
    <row r="1274" spans="1:23" x14ac:dyDescent="0.25">
      <c r="A1274" s="98"/>
      <c r="H1274" s="101"/>
      <c r="I1274" s="101"/>
      <c r="J1274" s="101"/>
      <c r="K1274" s="101"/>
      <c r="L1274" s="101"/>
      <c r="M1274" s="101"/>
      <c r="N1274" s="101"/>
      <c r="O1274" s="101"/>
      <c r="P1274" s="101"/>
      <c r="Q1274" s="101"/>
      <c r="R1274" s="101"/>
      <c r="S1274" s="110"/>
      <c r="T1274" s="102"/>
      <c r="U1274" s="101"/>
      <c r="V1274" s="103"/>
      <c r="W1274" s="101"/>
    </row>
    <row r="1275" spans="1:23" x14ac:dyDescent="0.25">
      <c r="A1275" s="98"/>
      <c r="H1275" s="101"/>
      <c r="I1275" s="101"/>
      <c r="J1275" s="101"/>
      <c r="K1275" s="101"/>
      <c r="L1275" s="101"/>
      <c r="M1275" s="101"/>
      <c r="N1275" s="101"/>
      <c r="O1275" s="101"/>
      <c r="P1275" s="101"/>
      <c r="Q1275" s="101"/>
      <c r="R1275" s="101"/>
      <c r="S1275" s="110"/>
      <c r="T1275" s="102"/>
      <c r="U1275" s="101"/>
      <c r="V1275" s="103"/>
      <c r="W1275" s="101"/>
    </row>
    <row r="1276" spans="1:23" x14ac:dyDescent="0.25">
      <c r="A1276" s="98"/>
      <c r="H1276" s="101"/>
      <c r="I1276" s="101"/>
      <c r="J1276" s="101"/>
      <c r="K1276" s="101"/>
      <c r="L1276" s="101"/>
      <c r="M1276" s="101"/>
      <c r="N1276" s="101"/>
      <c r="O1276" s="101"/>
      <c r="P1276" s="101"/>
      <c r="Q1276" s="101"/>
      <c r="R1276" s="101"/>
      <c r="S1276" s="110"/>
      <c r="T1276" s="102"/>
      <c r="U1276" s="101"/>
      <c r="V1276" s="103"/>
      <c r="W1276" s="101"/>
    </row>
    <row r="1277" spans="1:23" x14ac:dyDescent="0.25">
      <c r="A1277" s="98"/>
      <c r="H1277" s="101"/>
      <c r="I1277" s="101"/>
      <c r="J1277" s="101"/>
      <c r="K1277" s="101"/>
      <c r="L1277" s="101"/>
      <c r="M1277" s="101"/>
      <c r="N1277" s="101"/>
      <c r="O1277" s="101"/>
      <c r="P1277" s="101"/>
      <c r="Q1277" s="101"/>
      <c r="R1277" s="101"/>
      <c r="S1277" s="110"/>
      <c r="T1277" s="102"/>
      <c r="U1277" s="101"/>
      <c r="V1277" s="103"/>
      <c r="W1277" s="101"/>
    </row>
    <row r="1278" spans="1:23" x14ac:dyDescent="0.25">
      <c r="A1278" s="98"/>
      <c r="H1278" s="101"/>
      <c r="I1278" s="101"/>
      <c r="J1278" s="101"/>
      <c r="K1278" s="101"/>
      <c r="L1278" s="101"/>
      <c r="M1278" s="101"/>
      <c r="N1278" s="101"/>
      <c r="O1278" s="101"/>
      <c r="P1278" s="101"/>
      <c r="Q1278" s="101"/>
      <c r="R1278" s="101"/>
      <c r="S1278" s="110"/>
      <c r="T1278" s="102"/>
      <c r="U1278" s="101"/>
      <c r="V1278" s="103"/>
      <c r="W1278" s="101"/>
    </row>
    <row r="1279" spans="1:23" x14ac:dyDescent="0.25">
      <c r="A1279" s="98"/>
      <c r="H1279" s="101"/>
      <c r="I1279" s="101"/>
      <c r="J1279" s="101"/>
      <c r="K1279" s="101"/>
      <c r="L1279" s="101"/>
      <c r="M1279" s="101"/>
      <c r="N1279" s="101"/>
      <c r="O1279" s="101"/>
      <c r="P1279" s="101"/>
      <c r="Q1279" s="101"/>
      <c r="R1279" s="101"/>
      <c r="S1279" s="110"/>
      <c r="T1279" s="102"/>
      <c r="U1279" s="101"/>
      <c r="V1279" s="103"/>
      <c r="W1279" s="101"/>
    </row>
    <row r="1280" spans="1:23" x14ac:dyDescent="0.25">
      <c r="A1280" s="98"/>
      <c r="H1280" s="101"/>
      <c r="I1280" s="101"/>
      <c r="J1280" s="101"/>
      <c r="K1280" s="101"/>
      <c r="L1280" s="101"/>
      <c r="M1280" s="101"/>
      <c r="N1280" s="101"/>
      <c r="O1280" s="101"/>
      <c r="P1280" s="101"/>
      <c r="Q1280" s="101"/>
      <c r="R1280" s="101"/>
      <c r="S1280" s="110"/>
      <c r="T1280" s="102"/>
      <c r="U1280" s="101"/>
      <c r="V1280" s="103"/>
      <c r="W1280" s="101"/>
    </row>
    <row r="1281" spans="1:23" x14ac:dyDescent="0.25">
      <c r="A1281" s="98"/>
      <c r="H1281" s="101"/>
      <c r="I1281" s="101"/>
      <c r="J1281" s="101"/>
      <c r="K1281" s="101"/>
      <c r="L1281" s="101"/>
      <c r="M1281" s="101"/>
      <c r="N1281" s="101"/>
      <c r="O1281" s="101"/>
      <c r="P1281" s="101"/>
      <c r="Q1281" s="101"/>
      <c r="R1281" s="101"/>
      <c r="S1281" s="110"/>
      <c r="T1281" s="102"/>
      <c r="U1281" s="101"/>
      <c r="V1281" s="103"/>
      <c r="W1281" s="101"/>
    </row>
    <row r="1282" spans="1:23" x14ac:dyDescent="0.25">
      <c r="A1282" s="98"/>
      <c r="H1282" s="101"/>
      <c r="I1282" s="101"/>
      <c r="J1282" s="101"/>
      <c r="K1282" s="101"/>
      <c r="L1282" s="101"/>
      <c r="M1282" s="101"/>
      <c r="N1282" s="101"/>
      <c r="O1282" s="101"/>
      <c r="P1282" s="101"/>
      <c r="Q1282" s="101"/>
      <c r="R1282" s="101"/>
      <c r="S1282" s="110"/>
      <c r="T1282" s="102"/>
      <c r="U1282" s="101"/>
      <c r="V1282" s="103"/>
      <c r="W1282" s="101"/>
    </row>
    <row r="1283" spans="1:23" x14ac:dyDescent="0.25">
      <c r="A1283" s="98"/>
      <c r="H1283" s="101"/>
      <c r="I1283" s="101"/>
      <c r="J1283" s="101"/>
      <c r="K1283" s="101"/>
      <c r="L1283" s="101"/>
      <c r="M1283" s="101"/>
      <c r="N1283" s="101"/>
      <c r="O1283" s="101"/>
      <c r="P1283" s="101"/>
      <c r="Q1283" s="101"/>
      <c r="R1283" s="101"/>
      <c r="S1283" s="110"/>
      <c r="T1283" s="102"/>
      <c r="U1283" s="101"/>
      <c r="V1283" s="103"/>
      <c r="W1283" s="101"/>
    </row>
    <row r="1284" spans="1:23" x14ac:dyDescent="0.25">
      <c r="A1284" s="98"/>
      <c r="H1284" s="101"/>
      <c r="I1284" s="101"/>
      <c r="J1284" s="101"/>
      <c r="K1284" s="101"/>
      <c r="L1284" s="101"/>
      <c r="M1284" s="101"/>
      <c r="N1284" s="101"/>
      <c r="O1284" s="101"/>
      <c r="P1284" s="101"/>
      <c r="Q1284" s="101"/>
      <c r="R1284" s="101"/>
      <c r="S1284" s="110"/>
      <c r="T1284" s="102"/>
      <c r="U1284" s="101"/>
      <c r="V1284" s="103"/>
      <c r="W1284" s="101"/>
    </row>
    <row r="1285" spans="1:23" x14ac:dyDescent="0.25">
      <c r="A1285" s="98"/>
      <c r="H1285" s="101"/>
      <c r="I1285" s="101"/>
      <c r="J1285" s="101"/>
      <c r="K1285" s="101"/>
      <c r="L1285" s="101"/>
      <c r="M1285" s="101"/>
      <c r="N1285" s="101"/>
      <c r="O1285" s="101"/>
      <c r="P1285" s="101"/>
      <c r="Q1285" s="101"/>
      <c r="R1285" s="101"/>
      <c r="S1285" s="110"/>
      <c r="T1285" s="102"/>
      <c r="U1285" s="101"/>
      <c r="V1285" s="103"/>
      <c r="W1285" s="101"/>
    </row>
    <row r="1286" spans="1:23" x14ac:dyDescent="0.25">
      <c r="A1286" s="98"/>
      <c r="H1286" s="101"/>
      <c r="I1286" s="101"/>
      <c r="J1286" s="101"/>
      <c r="K1286" s="101"/>
      <c r="L1286" s="101"/>
      <c r="M1286" s="101"/>
      <c r="N1286" s="101"/>
      <c r="O1286" s="101"/>
      <c r="P1286" s="101"/>
      <c r="Q1286" s="101"/>
      <c r="R1286" s="101"/>
      <c r="S1286" s="110"/>
      <c r="T1286" s="102"/>
      <c r="U1286" s="101"/>
      <c r="V1286" s="103"/>
      <c r="W1286" s="101"/>
    </row>
    <row r="1287" spans="1:23" x14ac:dyDescent="0.25">
      <c r="A1287" s="98"/>
      <c r="H1287" s="101"/>
      <c r="I1287" s="101"/>
      <c r="J1287" s="101"/>
      <c r="K1287" s="101"/>
      <c r="L1287" s="101"/>
      <c r="M1287" s="101"/>
      <c r="N1287" s="101"/>
      <c r="O1287" s="101"/>
      <c r="P1287" s="101"/>
      <c r="Q1287" s="101"/>
      <c r="R1287" s="101"/>
      <c r="S1287" s="110"/>
      <c r="T1287" s="102"/>
      <c r="U1287" s="101"/>
      <c r="V1287" s="103"/>
      <c r="W1287" s="101"/>
    </row>
    <row r="1288" spans="1:23" x14ac:dyDescent="0.25">
      <c r="A1288" s="98"/>
      <c r="H1288" s="101"/>
      <c r="I1288" s="101"/>
      <c r="J1288" s="101"/>
      <c r="K1288" s="101"/>
      <c r="L1288" s="101"/>
      <c r="M1288" s="101"/>
      <c r="N1288" s="101"/>
      <c r="O1288" s="101"/>
      <c r="P1288" s="101"/>
      <c r="Q1288" s="101"/>
      <c r="R1288" s="101"/>
      <c r="S1288" s="110"/>
      <c r="T1288" s="102"/>
      <c r="U1288" s="101"/>
      <c r="V1288" s="103"/>
      <c r="W1288" s="101"/>
    </row>
    <row r="1289" spans="1:23" x14ac:dyDescent="0.25">
      <c r="A1289" s="98"/>
      <c r="H1289" s="101"/>
      <c r="I1289" s="101"/>
      <c r="J1289" s="101"/>
      <c r="K1289" s="101"/>
      <c r="L1289" s="101"/>
      <c r="M1289" s="101"/>
      <c r="N1289" s="101"/>
      <c r="O1289" s="101"/>
      <c r="P1289" s="101"/>
      <c r="Q1289" s="101"/>
      <c r="R1289" s="101"/>
      <c r="S1289" s="110"/>
      <c r="T1289" s="102"/>
      <c r="U1289" s="101"/>
      <c r="V1289" s="103"/>
      <c r="W1289" s="101"/>
    </row>
    <row r="1290" spans="1:23" x14ac:dyDescent="0.25">
      <c r="A1290" s="98"/>
      <c r="H1290" s="101"/>
      <c r="I1290" s="101"/>
      <c r="J1290" s="101"/>
      <c r="K1290" s="101"/>
      <c r="L1290" s="101"/>
      <c r="M1290" s="101"/>
      <c r="N1290" s="101"/>
      <c r="O1290" s="101"/>
      <c r="P1290" s="101"/>
      <c r="Q1290" s="101"/>
      <c r="R1290" s="101"/>
      <c r="S1290" s="110"/>
      <c r="T1290" s="102"/>
      <c r="U1290" s="101"/>
      <c r="V1290" s="103"/>
      <c r="W1290" s="101"/>
    </row>
    <row r="1291" spans="1:23" x14ac:dyDescent="0.25">
      <c r="A1291" s="98"/>
      <c r="H1291" s="101"/>
      <c r="I1291" s="101"/>
      <c r="J1291" s="101"/>
      <c r="K1291" s="101"/>
      <c r="L1291" s="101"/>
      <c r="M1291" s="101"/>
      <c r="N1291" s="101"/>
      <c r="O1291" s="101"/>
      <c r="P1291" s="101"/>
      <c r="Q1291" s="101"/>
      <c r="R1291" s="101"/>
      <c r="S1291" s="110"/>
      <c r="T1291" s="102"/>
      <c r="U1291" s="101"/>
      <c r="V1291" s="103"/>
      <c r="W1291" s="101"/>
    </row>
    <row r="1292" spans="1:23" x14ac:dyDescent="0.25">
      <c r="A1292" s="98"/>
      <c r="H1292" s="101"/>
      <c r="I1292" s="101"/>
      <c r="J1292" s="101"/>
      <c r="K1292" s="101"/>
      <c r="L1292" s="101"/>
      <c r="M1292" s="101"/>
      <c r="N1292" s="101"/>
      <c r="O1292" s="101"/>
      <c r="P1292" s="101"/>
      <c r="Q1292" s="101"/>
      <c r="R1292" s="101"/>
      <c r="S1292" s="110"/>
      <c r="T1292" s="102"/>
      <c r="U1292" s="101"/>
      <c r="V1292" s="103"/>
      <c r="W1292" s="101"/>
    </row>
    <row r="1293" spans="1:23" x14ac:dyDescent="0.25">
      <c r="A1293" s="98"/>
      <c r="H1293" s="101"/>
      <c r="I1293" s="101"/>
      <c r="J1293" s="101"/>
      <c r="K1293" s="101"/>
      <c r="L1293" s="101"/>
      <c r="M1293" s="101"/>
      <c r="N1293" s="101"/>
      <c r="O1293" s="101"/>
      <c r="P1293" s="101"/>
      <c r="Q1293" s="101"/>
      <c r="R1293" s="101"/>
      <c r="S1293" s="110"/>
      <c r="T1293" s="102"/>
      <c r="U1293" s="101"/>
      <c r="V1293" s="103"/>
      <c r="W1293" s="101"/>
    </row>
    <row r="1294" spans="1:23" x14ac:dyDescent="0.25">
      <c r="A1294" s="98"/>
      <c r="H1294" s="101"/>
      <c r="I1294" s="101"/>
      <c r="J1294" s="101"/>
      <c r="K1294" s="101"/>
      <c r="L1294" s="101"/>
      <c r="M1294" s="101"/>
      <c r="N1294" s="101"/>
      <c r="O1294" s="101"/>
      <c r="P1294" s="101"/>
      <c r="Q1294" s="101"/>
      <c r="R1294" s="101"/>
      <c r="S1294" s="110"/>
      <c r="T1294" s="102"/>
      <c r="U1294" s="101"/>
      <c r="V1294" s="103"/>
      <c r="W1294" s="101"/>
    </row>
    <row r="1295" spans="1:23" x14ac:dyDescent="0.25">
      <c r="A1295" s="98"/>
      <c r="H1295" s="101"/>
      <c r="I1295" s="101"/>
      <c r="J1295" s="101"/>
      <c r="K1295" s="101"/>
      <c r="L1295" s="101"/>
      <c r="M1295" s="101"/>
      <c r="N1295" s="101"/>
      <c r="O1295" s="101"/>
      <c r="P1295" s="101"/>
      <c r="Q1295" s="101"/>
      <c r="R1295" s="101"/>
      <c r="S1295" s="110"/>
      <c r="T1295" s="102"/>
      <c r="U1295" s="101"/>
      <c r="V1295" s="103"/>
      <c r="W1295" s="101"/>
    </row>
    <row r="1296" spans="1:23" x14ac:dyDescent="0.25">
      <c r="A1296" s="98"/>
      <c r="H1296" s="101"/>
      <c r="I1296" s="101"/>
      <c r="J1296" s="101"/>
      <c r="K1296" s="101"/>
      <c r="L1296" s="101"/>
      <c r="M1296" s="101"/>
      <c r="N1296" s="101"/>
      <c r="O1296" s="101"/>
      <c r="P1296" s="101"/>
      <c r="Q1296" s="101"/>
      <c r="R1296" s="101"/>
      <c r="S1296" s="110"/>
      <c r="T1296" s="102"/>
      <c r="U1296" s="101"/>
      <c r="V1296" s="103"/>
      <c r="W1296" s="101"/>
    </row>
    <row r="1297" spans="1:23" x14ac:dyDescent="0.25">
      <c r="A1297" s="98"/>
      <c r="H1297" s="101"/>
      <c r="I1297" s="101"/>
      <c r="J1297" s="101"/>
      <c r="K1297" s="101"/>
      <c r="L1297" s="101"/>
      <c r="M1297" s="101"/>
      <c r="N1297" s="101"/>
      <c r="O1297" s="101"/>
      <c r="P1297" s="101"/>
      <c r="Q1297" s="101"/>
      <c r="R1297" s="101"/>
      <c r="S1297" s="110"/>
      <c r="T1297" s="102"/>
      <c r="U1297" s="101"/>
      <c r="V1297" s="103"/>
      <c r="W1297" s="101"/>
    </row>
    <row r="1298" spans="1:23" x14ac:dyDescent="0.25">
      <c r="A1298" s="98"/>
      <c r="H1298" s="101"/>
      <c r="I1298" s="101"/>
      <c r="J1298" s="101"/>
      <c r="K1298" s="101"/>
      <c r="L1298" s="101"/>
      <c r="M1298" s="101"/>
      <c r="N1298" s="101"/>
      <c r="O1298" s="101"/>
      <c r="P1298" s="101"/>
      <c r="Q1298" s="101"/>
      <c r="R1298" s="101"/>
      <c r="S1298" s="110"/>
      <c r="T1298" s="102"/>
      <c r="U1298" s="101"/>
      <c r="V1298" s="103"/>
      <c r="W1298" s="101"/>
    </row>
    <row r="1299" spans="1:23" x14ac:dyDescent="0.25">
      <c r="A1299" s="98"/>
      <c r="H1299" s="101"/>
      <c r="I1299" s="101"/>
      <c r="J1299" s="101"/>
      <c r="K1299" s="101"/>
      <c r="L1299" s="101"/>
      <c r="M1299" s="101"/>
      <c r="N1299" s="101"/>
      <c r="O1299" s="101"/>
      <c r="P1299" s="101"/>
      <c r="Q1299" s="101"/>
      <c r="R1299" s="101"/>
      <c r="S1299" s="110"/>
      <c r="T1299" s="102"/>
      <c r="U1299" s="101"/>
      <c r="V1299" s="103"/>
      <c r="W1299" s="101"/>
    </row>
    <row r="1300" spans="1:23" x14ac:dyDescent="0.25">
      <c r="A1300" s="98"/>
      <c r="H1300" s="101"/>
      <c r="I1300" s="101"/>
      <c r="J1300" s="101"/>
      <c r="K1300" s="101"/>
      <c r="L1300" s="101"/>
      <c r="M1300" s="101"/>
      <c r="N1300" s="101"/>
      <c r="O1300" s="101"/>
      <c r="P1300" s="101"/>
      <c r="Q1300" s="101"/>
      <c r="R1300" s="101"/>
      <c r="S1300" s="110"/>
      <c r="T1300" s="102"/>
      <c r="U1300" s="101"/>
      <c r="V1300" s="103"/>
      <c r="W1300" s="101"/>
    </row>
    <row r="1301" spans="1:23" x14ac:dyDescent="0.25">
      <c r="A1301" s="98"/>
      <c r="H1301" s="101"/>
      <c r="I1301" s="101"/>
      <c r="J1301" s="101"/>
      <c r="K1301" s="101"/>
      <c r="L1301" s="101"/>
      <c r="M1301" s="101"/>
      <c r="N1301" s="101"/>
      <c r="O1301" s="101"/>
      <c r="P1301" s="101"/>
      <c r="Q1301" s="101"/>
      <c r="R1301" s="101"/>
      <c r="S1301" s="110"/>
      <c r="T1301" s="102"/>
      <c r="U1301" s="101"/>
      <c r="V1301" s="103"/>
      <c r="W1301" s="101"/>
    </row>
    <row r="1302" spans="1:23" x14ac:dyDescent="0.25">
      <c r="A1302" s="98"/>
      <c r="H1302" s="101"/>
      <c r="I1302" s="101"/>
      <c r="J1302" s="101"/>
      <c r="K1302" s="101"/>
      <c r="L1302" s="101"/>
      <c r="M1302" s="101"/>
      <c r="N1302" s="101"/>
      <c r="O1302" s="101"/>
      <c r="P1302" s="101"/>
      <c r="Q1302" s="101"/>
      <c r="R1302" s="101"/>
      <c r="S1302" s="110"/>
      <c r="T1302" s="102"/>
      <c r="U1302" s="101"/>
      <c r="V1302" s="103"/>
      <c r="W1302" s="101"/>
    </row>
    <row r="1303" spans="1:23" x14ac:dyDescent="0.25">
      <c r="A1303" s="98"/>
      <c r="H1303" s="101"/>
      <c r="I1303" s="101"/>
      <c r="J1303" s="101"/>
      <c r="K1303" s="101"/>
      <c r="L1303" s="101"/>
      <c r="M1303" s="101"/>
      <c r="N1303" s="101"/>
      <c r="O1303" s="101"/>
      <c r="P1303" s="101"/>
      <c r="Q1303" s="101"/>
      <c r="R1303" s="101"/>
      <c r="S1303" s="110"/>
      <c r="T1303" s="102"/>
      <c r="U1303" s="101"/>
      <c r="V1303" s="103"/>
      <c r="W1303" s="101"/>
    </row>
    <row r="1304" spans="1:23" x14ac:dyDescent="0.25">
      <c r="A1304" s="98"/>
      <c r="H1304" s="101"/>
      <c r="I1304" s="101"/>
      <c r="J1304" s="101"/>
      <c r="K1304" s="101"/>
      <c r="L1304" s="101"/>
      <c r="M1304" s="101"/>
      <c r="N1304" s="101"/>
      <c r="O1304" s="101"/>
      <c r="P1304" s="101"/>
      <c r="Q1304" s="101"/>
      <c r="R1304" s="101"/>
      <c r="S1304" s="110"/>
      <c r="T1304" s="102"/>
      <c r="U1304" s="101"/>
      <c r="V1304" s="103"/>
      <c r="W1304" s="101"/>
    </row>
    <row r="1305" spans="1:23" x14ac:dyDescent="0.25">
      <c r="A1305" s="98"/>
      <c r="H1305" s="101"/>
      <c r="I1305" s="101"/>
      <c r="J1305" s="101"/>
      <c r="K1305" s="101"/>
      <c r="L1305" s="101"/>
      <c r="M1305" s="101"/>
      <c r="N1305" s="101"/>
      <c r="O1305" s="101"/>
      <c r="P1305" s="101"/>
      <c r="Q1305" s="101"/>
      <c r="R1305" s="101"/>
      <c r="S1305" s="110"/>
      <c r="T1305" s="102"/>
      <c r="U1305" s="101"/>
      <c r="V1305" s="103"/>
      <c r="W1305" s="101"/>
    </row>
    <row r="1306" spans="1:23" x14ac:dyDescent="0.25">
      <c r="A1306" s="98"/>
      <c r="H1306" s="101"/>
      <c r="I1306" s="101"/>
      <c r="J1306" s="101"/>
      <c r="K1306" s="101"/>
      <c r="L1306" s="101"/>
      <c r="M1306" s="101"/>
      <c r="N1306" s="101"/>
      <c r="O1306" s="101"/>
      <c r="P1306" s="101"/>
      <c r="Q1306" s="101"/>
      <c r="R1306" s="101"/>
      <c r="S1306" s="110"/>
      <c r="T1306" s="102"/>
      <c r="U1306" s="101"/>
      <c r="V1306" s="103"/>
      <c r="W1306" s="101"/>
    </row>
    <row r="1307" spans="1:23" x14ac:dyDescent="0.25">
      <c r="A1307" s="98"/>
      <c r="H1307" s="101"/>
      <c r="I1307" s="101"/>
      <c r="J1307" s="101"/>
      <c r="K1307" s="101"/>
      <c r="L1307" s="101"/>
      <c r="M1307" s="101"/>
      <c r="N1307" s="101"/>
      <c r="O1307" s="101"/>
      <c r="P1307" s="101"/>
      <c r="Q1307" s="101"/>
      <c r="R1307" s="101"/>
      <c r="S1307" s="110"/>
      <c r="T1307" s="102"/>
      <c r="U1307" s="101"/>
      <c r="V1307" s="103"/>
      <c r="W1307" s="101"/>
    </row>
    <row r="1308" spans="1:23" x14ac:dyDescent="0.25">
      <c r="A1308" s="98"/>
      <c r="H1308" s="101"/>
      <c r="I1308" s="101"/>
      <c r="J1308" s="101"/>
      <c r="K1308" s="101"/>
      <c r="L1308" s="101"/>
      <c r="M1308" s="101"/>
      <c r="N1308" s="101"/>
      <c r="O1308" s="101"/>
      <c r="P1308" s="101"/>
      <c r="Q1308" s="101"/>
      <c r="R1308" s="101"/>
      <c r="S1308" s="110"/>
      <c r="T1308" s="102"/>
      <c r="U1308" s="101"/>
      <c r="V1308" s="103"/>
      <c r="W1308" s="101"/>
    </row>
    <row r="1309" spans="1:23" x14ac:dyDescent="0.25">
      <c r="A1309" s="98"/>
      <c r="H1309" s="101"/>
      <c r="I1309" s="101"/>
      <c r="J1309" s="101"/>
      <c r="K1309" s="101"/>
      <c r="L1309" s="101"/>
      <c r="M1309" s="101"/>
      <c r="N1309" s="101"/>
      <c r="O1309" s="101"/>
      <c r="P1309" s="101"/>
      <c r="Q1309" s="101"/>
      <c r="R1309" s="101"/>
      <c r="S1309" s="110"/>
      <c r="T1309" s="102"/>
      <c r="U1309" s="101"/>
      <c r="V1309" s="103"/>
      <c r="W1309" s="101"/>
    </row>
    <row r="1310" spans="1:23" x14ac:dyDescent="0.25">
      <c r="A1310" s="98"/>
      <c r="H1310" s="101"/>
      <c r="I1310" s="101"/>
      <c r="J1310" s="101"/>
      <c r="K1310" s="101"/>
      <c r="L1310" s="101"/>
      <c r="M1310" s="101"/>
      <c r="N1310" s="101"/>
      <c r="O1310" s="101"/>
      <c r="P1310" s="101"/>
      <c r="Q1310" s="101"/>
      <c r="R1310" s="101"/>
      <c r="S1310" s="110"/>
      <c r="T1310" s="102"/>
      <c r="U1310" s="101"/>
      <c r="V1310" s="103"/>
      <c r="W1310" s="101"/>
    </row>
    <row r="1311" spans="1:23" x14ac:dyDescent="0.25">
      <c r="A1311" s="98"/>
      <c r="H1311" s="101"/>
      <c r="I1311" s="101"/>
      <c r="J1311" s="101"/>
      <c r="K1311" s="101"/>
      <c r="L1311" s="101"/>
      <c r="M1311" s="101"/>
      <c r="N1311" s="101"/>
      <c r="O1311" s="101"/>
      <c r="P1311" s="101"/>
      <c r="Q1311" s="101"/>
      <c r="R1311" s="101"/>
      <c r="S1311" s="110"/>
      <c r="T1311" s="102"/>
      <c r="U1311" s="101"/>
      <c r="V1311" s="103"/>
      <c r="W1311" s="101"/>
    </row>
    <row r="1312" spans="1:23" x14ac:dyDescent="0.25">
      <c r="A1312" s="98"/>
      <c r="H1312" s="101"/>
      <c r="I1312" s="101"/>
      <c r="J1312" s="101"/>
      <c r="K1312" s="101"/>
      <c r="L1312" s="101"/>
      <c r="M1312" s="101"/>
      <c r="N1312" s="101"/>
      <c r="O1312" s="101"/>
      <c r="P1312" s="101"/>
      <c r="Q1312" s="101"/>
      <c r="R1312" s="101"/>
      <c r="S1312" s="110"/>
      <c r="T1312" s="102"/>
      <c r="U1312" s="101"/>
      <c r="V1312" s="103"/>
      <c r="W1312" s="101"/>
    </row>
    <row r="1313" spans="1:23" x14ac:dyDescent="0.25">
      <c r="A1313" s="98"/>
      <c r="H1313" s="101"/>
      <c r="I1313" s="101"/>
      <c r="J1313" s="101"/>
      <c r="K1313" s="101"/>
      <c r="L1313" s="101"/>
      <c r="M1313" s="101"/>
      <c r="N1313" s="101"/>
      <c r="O1313" s="101"/>
      <c r="P1313" s="101"/>
      <c r="Q1313" s="101"/>
      <c r="R1313" s="101"/>
      <c r="S1313" s="110"/>
      <c r="T1313" s="102"/>
      <c r="U1313" s="101"/>
      <c r="V1313" s="103"/>
      <c r="W1313" s="101"/>
    </row>
    <row r="1314" spans="1:23" x14ac:dyDescent="0.25">
      <c r="A1314" s="98"/>
      <c r="H1314" s="101"/>
      <c r="I1314" s="101"/>
      <c r="J1314" s="101"/>
      <c r="K1314" s="101"/>
      <c r="L1314" s="101"/>
      <c r="M1314" s="101"/>
      <c r="N1314" s="101"/>
      <c r="O1314" s="101"/>
      <c r="P1314" s="101"/>
      <c r="Q1314" s="101"/>
      <c r="R1314" s="101"/>
      <c r="S1314" s="110"/>
      <c r="T1314" s="102"/>
      <c r="U1314" s="101"/>
      <c r="V1314" s="103"/>
      <c r="W1314" s="101"/>
    </row>
    <row r="1315" spans="1:23" x14ac:dyDescent="0.25">
      <c r="A1315" s="98"/>
      <c r="H1315" s="101"/>
      <c r="I1315" s="101"/>
      <c r="J1315" s="101"/>
      <c r="K1315" s="101"/>
      <c r="L1315" s="101"/>
      <c r="M1315" s="101"/>
      <c r="N1315" s="101"/>
      <c r="O1315" s="101"/>
      <c r="P1315" s="101"/>
      <c r="Q1315" s="101"/>
      <c r="R1315" s="101"/>
      <c r="S1315" s="110"/>
      <c r="T1315" s="102"/>
      <c r="U1315" s="101"/>
      <c r="V1315" s="103"/>
      <c r="W1315" s="101"/>
    </row>
    <row r="1316" spans="1:23" x14ac:dyDescent="0.25">
      <c r="A1316" s="98"/>
      <c r="H1316" s="101"/>
      <c r="I1316" s="101"/>
      <c r="J1316" s="101"/>
      <c r="K1316" s="101"/>
      <c r="L1316" s="101"/>
      <c r="M1316" s="101"/>
      <c r="N1316" s="101"/>
      <c r="O1316" s="101"/>
      <c r="P1316" s="101"/>
      <c r="Q1316" s="101"/>
      <c r="R1316" s="101"/>
      <c r="S1316" s="110"/>
      <c r="T1316" s="102"/>
      <c r="U1316" s="101"/>
      <c r="V1316" s="103"/>
      <c r="W1316" s="101"/>
    </row>
    <row r="1317" spans="1:23" x14ac:dyDescent="0.25">
      <c r="A1317" s="98"/>
      <c r="H1317" s="101"/>
      <c r="I1317" s="101"/>
      <c r="J1317" s="101"/>
      <c r="K1317" s="101"/>
      <c r="L1317" s="101"/>
      <c r="M1317" s="101"/>
      <c r="N1317" s="101"/>
      <c r="O1317" s="101"/>
      <c r="P1317" s="101"/>
      <c r="Q1317" s="101"/>
      <c r="R1317" s="101"/>
      <c r="S1317" s="110"/>
      <c r="T1317" s="102"/>
      <c r="U1317" s="101"/>
      <c r="V1317" s="103"/>
      <c r="W1317" s="101"/>
    </row>
    <row r="1318" spans="1:23" x14ac:dyDescent="0.25">
      <c r="A1318" s="98"/>
      <c r="H1318" s="101"/>
      <c r="I1318" s="101"/>
      <c r="J1318" s="101"/>
      <c r="K1318" s="101"/>
      <c r="L1318" s="101"/>
      <c r="M1318" s="101"/>
      <c r="N1318" s="101"/>
      <c r="O1318" s="101"/>
      <c r="P1318" s="101"/>
      <c r="Q1318" s="101"/>
      <c r="R1318" s="101"/>
      <c r="S1318" s="110"/>
      <c r="T1318" s="102"/>
      <c r="U1318" s="101"/>
      <c r="V1318" s="103"/>
      <c r="W1318" s="101"/>
    </row>
    <row r="1319" spans="1:23" x14ac:dyDescent="0.25">
      <c r="A1319" s="98"/>
      <c r="H1319" s="101"/>
      <c r="I1319" s="101"/>
      <c r="J1319" s="101"/>
      <c r="K1319" s="101"/>
      <c r="L1319" s="101"/>
      <c r="M1319" s="101"/>
      <c r="N1319" s="101"/>
      <c r="O1319" s="101"/>
      <c r="P1319" s="101"/>
      <c r="Q1319" s="101"/>
      <c r="R1319" s="101"/>
      <c r="S1319" s="110"/>
      <c r="T1319" s="102"/>
      <c r="U1319" s="101"/>
      <c r="V1319" s="103"/>
      <c r="W1319" s="101"/>
    </row>
    <row r="1320" spans="1:23" x14ac:dyDescent="0.25">
      <c r="A1320" s="98"/>
      <c r="H1320" s="101"/>
      <c r="I1320" s="101"/>
      <c r="J1320" s="101"/>
      <c r="K1320" s="101"/>
      <c r="L1320" s="101"/>
      <c r="M1320" s="101"/>
      <c r="N1320" s="101"/>
      <c r="O1320" s="101"/>
      <c r="P1320" s="101"/>
      <c r="Q1320" s="101"/>
      <c r="R1320" s="101"/>
      <c r="S1320" s="110"/>
      <c r="T1320" s="102"/>
      <c r="U1320" s="101"/>
      <c r="V1320" s="103"/>
      <c r="W1320" s="101"/>
    </row>
    <row r="1321" spans="1:23" x14ac:dyDescent="0.25">
      <c r="A1321" s="98"/>
      <c r="H1321" s="101"/>
      <c r="I1321" s="101"/>
      <c r="J1321" s="101"/>
      <c r="K1321" s="101"/>
      <c r="L1321" s="101"/>
      <c r="M1321" s="101"/>
      <c r="N1321" s="101"/>
      <c r="O1321" s="101"/>
      <c r="P1321" s="101"/>
      <c r="Q1321" s="101"/>
      <c r="R1321" s="101"/>
      <c r="S1321" s="110"/>
      <c r="T1321" s="102"/>
      <c r="U1321" s="101"/>
      <c r="V1321" s="103"/>
      <c r="W1321" s="101"/>
    </row>
    <row r="1322" spans="1:23" x14ac:dyDescent="0.25">
      <c r="A1322" s="98"/>
      <c r="H1322" s="101"/>
      <c r="I1322" s="101"/>
      <c r="J1322" s="101"/>
      <c r="K1322" s="101"/>
      <c r="L1322" s="101"/>
      <c r="M1322" s="101"/>
      <c r="N1322" s="101"/>
      <c r="O1322" s="101"/>
      <c r="P1322" s="101"/>
      <c r="Q1322" s="101"/>
      <c r="R1322" s="101"/>
      <c r="S1322" s="110"/>
      <c r="T1322" s="102"/>
      <c r="U1322" s="101"/>
      <c r="V1322" s="103"/>
      <c r="W1322" s="101"/>
    </row>
    <row r="1323" spans="1:23" x14ac:dyDescent="0.25">
      <c r="A1323" s="98"/>
      <c r="H1323" s="101"/>
      <c r="I1323" s="101"/>
      <c r="J1323" s="101"/>
      <c r="K1323" s="101"/>
      <c r="L1323" s="101"/>
      <c r="M1323" s="101"/>
      <c r="N1323" s="101"/>
      <c r="O1323" s="101"/>
      <c r="P1323" s="101"/>
      <c r="Q1323" s="101"/>
      <c r="R1323" s="101"/>
      <c r="S1323" s="110"/>
      <c r="T1323" s="102"/>
      <c r="U1323" s="101"/>
      <c r="V1323" s="103"/>
      <c r="W1323" s="101"/>
    </row>
    <row r="1324" spans="1:23" x14ac:dyDescent="0.25">
      <c r="A1324" s="98"/>
      <c r="H1324" s="101"/>
      <c r="I1324" s="101"/>
      <c r="J1324" s="101"/>
      <c r="K1324" s="101"/>
      <c r="L1324" s="101"/>
      <c r="M1324" s="101"/>
      <c r="N1324" s="101"/>
      <c r="O1324" s="101"/>
      <c r="P1324" s="101"/>
      <c r="Q1324" s="101"/>
      <c r="R1324" s="101"/>
      <c r="S1324" s="110"/>
      <c r="T1324" s="102"/>
      <c r="U1324" s="101"/>
      <c r="V1324" s="103"/>
      <c r="W1324" s="101"/>
    </row>
    <row r="1325" spans="1:23" x14ac:dyDescent="0.25">
      <c r="A1325" s="98"/>
      <c r="H1325" s="101"/>
      <c r="I1325" s="101"/>
      <c r="J1325" s="101"/>
      <c r="K1325" s="101"/>
      <c r="L1325" s="101"/>
      <c r="M1325" s="101"/>
      <c r="N1325" s="101"/>
      <c r="O1325" s="101"/>
      <c r="P1325" s="101"/>
      <c r="Q1325" s="101"/>
      <c r="R1325" s="101"/>
      <c r="S1325" s="110"/>
      <c r="T1325" s="102"/>
      <c r="U1325" s="101"/>
      <c r="V1325" s="103"/>
      <c r="W1325" s="101"/>
    </row>
    <row r="1326" spans="1:23" x14ac:dyDescent="0.25">
      <c r="A1326" s="98"/>
      <c r="H1326" s="101"/>
      <c r="I1326" s="101"/>
      <c r="J1326" s="101"/>
      <c r="K1326" s="101"/>
      <c r="L1326" s="101"/>
      <c r="M1326" s="101"/>
      <c r="N1326" s="101"/>
      <c r="O1326" s="101"/>
      <c r="P1326" s="101"/>
      <c r="Q1326" s="101"/>
      <c r="R1326" s="101"/>
      <c r="S1326" s="110"/>
      <c r="T1326" s="102"/>
      <c r="U1326" s="101"/>
      <c r="V1326" s="103"/>
      <c r="W1326" s="101"/>
    </row>
    <row r="1327" spans="1:23" x14ac:dyDescent="0.25">
      <c r="A1327" s="98"/>
      <c r="H1327" s="101"/>
      <c r="I1327" s="101"/>
      <c r="J1327" s="101"/>
      <c r="K1327" s="101"/>
      <c r="L1327" s="101"/>
      <c r="M1327" s="101"/>
      <c r="N1327" s="101"/>
      <c r="O1327" s="101"/>
      <c r="P1327" s="101"/>
      <c r="Q1327" s="101"/>
      <c r="R1327" s="101"/>
      <c r="S1327" s="110"/>
      <c r="T1327" s="102"/>
      <c r="U1327" s="101"/>
      <c r="V1327" s="103"/>
      <c r="W1327" s="101"/>
    </row>
    <row r="1328" spans="1:23" x14ac:dyDescent="0.25">
      <c r="A1328" s="98"/>
      <c r="H1328" s="101"/>
      <c r="I1328" s="101"/>
      <c r="J1328" s="101"/>
      <c r="K1328" s="101"/>
      <c r="L1328" s="101"/>
      <c r="M1328" s="101"/>
      <c r="N1328" s="101"/>
      <c r="O1328" s="101"/>
      <c r="P1328" s="101"/>
      <c r="Q1328" s="101"/>
      <c r="R1328" s="101"/>
      <c r="S1328" s="110"/>
      <c r="T1328" s="102"/>
      <c r="U1328" s="101"/>
      <c r="V1328" s="103"/>
      <c r="W1328" s="101"/>
    </row>
    <row r="1329" spans="1:23" x14ac:dyDescent="0.25">
      <c r="A1329" s="98"/>
      <c r="H1329" s="101"/>
      <c r="I1329" s="101"/>
      <c r="J1329" s="101"/>
      <c r="K1329" s="101"/>
      <c r="L1329" s="101"/>
      <c r="M1329" s="101"/>
      <c r="N1329" s="101"/>
      <c r="O1329" s="101"/>
      <c r="P1329" s="101"/>
      <c r="Q1329" s="101"/>
      <c r="R1329" s="101"/>
      <c r="S1329" s="110"/>
      <c r="T1329" s="102"/>
      <c r="U1329" s="101"/>
      <c r="V1329" s="103"/>
      <c r="W1329" s="101"/>
    </row>
    <row r="1330" spans="1:23" x14ac:dyDescent="0.25">
      <c r="A1330" s="98"/>
      <c r="H1330" s="101"/>
      <c r="I1330" s="101"/>
      <c r="J1330" s="101"/>
      <c r="K1330" s="101"/>
      <c r="L1330" s="101"/>
      <c r="M1330" s="101"/>
      <c r="N1330" s="101"/>
      <c r="O1330" s="101"/>
      <c r="P1330" s="101"/>
      <c r="Q1330" s="101"/>
      <c r="R1330" s="101"/>
      <c r="S1330" s="110"/>
      <c r="T1330" s="102"/>
      <c r="U1330" s="101"/>
      <c r="V1330" s="103"/>
      <c r="W1330" s="101"/>
    </row>
    <row r="1331" spans="1:23" x14ac:dyDescent="0.25">
      <c r="A1331" s="98"/>
      <c r="H1331" s="101"/>
      <c r="I1331" s="101"/>
      <c r="J1331" s="101"/>
      <c r="K1331" s="101"/>
      <c r="L1331" s="101"/>
      <c r="M1331" s="101"/>
      <c r="N1331" s="101"/>
      <c r="O1331" s="101"/>
      <c r="P1331" s="101"/>
      <c r="Q1331" s="101"/>
      <c r="R1331" s="101"/>
      <c r="S1331" s="110"/>
      <c r="T1331" s="102"/>
      <c r="U1331" s="101"/>
      <c r="V1331" s="103"/>
      <c r="W1331" s="101"/>
    </row>
    <row r="1332" spans="1:23" x14ac:dyDescent="0.25">
      <c r="A1332" s="98"/>
      <c r="H1332" s="101"/>
      <c r="I1332" s="101"/>
      <c r="J1332" s="101"/>
      <c r="K1332" s="101"/>
      <c r="L1332" s="101"/>
      <c r="M1332" s="101"/>
      <c r="N1332" s="101"/>
      <c r="O1332" s="101"/>
      <c r="P1332" s="101"/>
      <c r="Q1332" s="101"/>
      <c r="R1332" s="101"/>
      <c r="S1332" s="110"/>
      <c r="T1332" s="102"/>
      <c r="U1332" s="101"/>
      <c r="V1332" s="103"/>
      <c r="W1332" s="101"/>
    </row>
    <row r="1333" spans="1:23" x14ac:dyDescent="0.25">
      <c r="A1333" s="98"/>
      <c r="H1333" s="101"/>
      <c r="I1333" s="101"/>
      <c r="J1333" s="101"/>
      <c r="K1333" s="101"/>
      <c r="L1333" s="101"/>
      <c r="M1333" s="101"/>
      <c r="N1333" s="101"/>
      <c r="O1333" s="101"/>
      <c r="P1333" s="101"/>
      <c r="Q1333" s="101"/>
      <c r="R1333" s="101"/>
      <c r="S1333" s="110"/>
      <c r="T1333" s="102"/>
      <c r="U1333" s="101"/>
      <c r="V1333" s="103"/>
      <c r="W1333" s="101"/>
    </row>
    <row r="1334" spans="1:23" x14ac:dyDescent="0.25">
      <c r="A1334" s="98"/>
      <c r="H1334" s="101"/>
      <c r="I1334" s="101"/>
      <c r="J1334" s="101"/>
      <c r="K1334" s="101"/>
      <c r="L1334" s="101"/>
      <c r="M1334" s="101"/>
      <c r="N1334" s="101"/>
      <c r="O1334" s="101"/>
      <c r="P1334" s="101"/>
      <c r="Q1334" s="101"/>
      <c r="R1334" s="101"/>
      <c r="S1334" s="110"/>
      <c r="T1334" s="102"/>
      <c r="U1334" s="101"/>
      <c r="V1334" s="103"/>
      <c r="W1334" s="101"/>
    </row>
    <row r="1335" spans="1:23" x14ac:dyDescent="0.25">
      <c r="A1335" s="98"/>
      <c r="H1335" s="101"/>
      <c r="I1335" s="101"/>
      <c r="J1335" s="101"/>
      <c r="K1335" s="101"/>
      <c r="L1335" s="101"/>
      <c r="M1335" s="101"/>
      <c r="N1335" s="101"/>
      <c r="O1335" s="101"/>
      <c r="P1335" s="101"/>
      <c r="Q1335" s="101"/>
      <c r="R1335" s="101"/>
      <c r="S1335" s="110"/>
      <c r="T1335" s="102"/>
      <c r="U1335" s="101"/>
      <c r="V1335" s="103"/>
      <c r="W1335" s="101"/>
    </row>
    <row r="1336" spans="1:23" x14ac:dyDescent="0.25">
      <c r="A1336" s="98"/>
      <c r="H1336" s="101"/>
      <c r="I1336" s="101"/>
      <c r="J1336" s="101"/>
      <c r="K1336" s="101"/>
      <c r="L1336" s="101"/>
      <c r="M1336" s="101"/>
      <c r="N1336" s="101"/>
      <c r="O1336" s="101"/>
      <c r="P1336" s="101"/>
      <c r="Q1336" s="101"/>
      <c r="R1336" s="101"/>
      <c r="S1336" s="110"/>
      <c r="T1336" s="102"/>
      <c r="U1336" s="101"/>
      <c r="V1336" s="103"/>
      <c r="W1336" s="101"/>
    </row>
    <row r="1337" spans="1:23" x14ac:dyDescent="0.25">
      <c r="A1337" s="98"/>
      <c r="H1337" s="101"/>
      <c r="I1337" s="101"/>
      <c r="J1337" s="101"/>
      <c r="K1337" s="101"/>
      <c r="L1337" s="101"/>
      <c r="M1337" s="101"/>
      <c r="N1337" s="101"/>
      <c r="O1337" s="101"/>
      <c r="P1337" s="101"/>
      <c r="Q1337" s="101"/>
      <c r="R1337" s="101"/>
      <c r="S1337" s="110"/>
      <c r="T1337" s="102"/>
      <c r="U1337" s="101"/>
      <c r="V1337" s="103"/>
      <c r="W1337" s="101"/>
    </row>
    <row r="1338" spans="1:23" x14ac:dyDescent="0.25">
      <c r="A1338" s="98"/>
      <c r="H1338" s="101"/>
      <c r="I1338" s="101"/>
      <c r="J1338" s="101"/>
      <c r="K1338" s="101"/>
      <c r="L1338" s="101"/>
      <c r="M1338" s="101"/>
      <c r="N1338" s="101"/>
      <c r="O1338" s="101"/>
      <c r="P1338" s="101"/>
      <c r="Q1338" s="101"/>
      <c r="R1338" s="101"/>
      <c r="S1338" s="110"/>
      <c r="T1338" s="102"/>
      <c r="U1338" s="101"/>
      <c r="V1338" s="103"/>
      <c r="W1338" s="101"/>
    </row>
    <row r="1339" spans="1:23" x14ac:dyDescent="0.25">
      <c r="A1339" s="98"/>
      <c r="H1339" s="101"/>
      <c r="I1339" s="101"/>
      <c r="J1339" s="101"/>
      <c r="K1339" s="101"/>
      <c r="L1339" s="101"/>
      <c r="M1339" s="101"/>
      <c r="N1339" s="101"/>
      <c r="O1339" s="101"/>
      <c r="P1339" s="101"/>
      <c r="Q1339" s="101"/>
      <c r="R1339" s="101"/>
      <c r="S1339" s="110"/>
      <c r="T1339" s="102"/>
      <c r="U1339" s="101"/>
      <c r="V1339" s="103"/>
      <c r="W1339" s="101"/>
    </row>
    <row r="1340" spans="1:23" x14ac:dyDescent="0.25">
      <c r="A1340" s="98"/>
      <c r="H1340" s="101"/>
      <c r="I1340" s="101"/>
      <c r="J1340" s="101"/>
      <c r="K1340" s="101"/>
      <c r="L1340" s="101"/>
      <c r="M1340" s="101"/>
      <c r="N1340" s="101"/>
      <c r="O1340" s="101"/>
      <c r="P1340" s="101"/>
      <c r="Q1340" s="101"/>
      <c r="R1340" s="101"/>
      <c r="S1340" s="110"/>
      <c r="T1340" s="102"/>
      <c r="U1340" s="101"/>
      <c r="V1340" s="103"/>
      <c r="W1340" s="101"/>
    </row>
    <row r="1341" spans="1:23" x14ac:dyDescent="0.25">
      <c r="A1341" s="98"/>
      <c r="H1341" s="101"/>
      <c r="I1341" s="101"/>
      <c r="J1341" s="101"/>
      <c r="K1341" s="101"/>
      <c r="L1341" s="101"/>
      <c r="M1341" s="101"/>
      <c r="N1341" s="101"/>
      <c r="O1341" s="101"/>
      <c r="P1341" s="101"/>
      <c r="Q1341" s="101"/>
      <c r="R1341" s="101"/>
      <c r="S1341" s="110"/>
      <c r="T1341" s="102"/>
      <c r="U1341" s="101"/>
      <c r="V1341" s="103"/>
      <c r="W1341" s="101"/>
    </row>
    <row r="1342" spans="1:23" x14ac:dyDescent="0.25">
      <c r="A1342" s="98"/>
      <c r="H1342" s="101"/>
      <c r="I1342" s="101"/>
      <c r="J1342" s="101"/>
      <c r="K1342" s="101"/>
      <c r="L1342" s="101"/>
      <c r="M1342" s="101"/>
      <c r="N1342" s="101"/>
      <c r="O1342" s="101"/>
      <c r="P1342" s="101"/>
      <c r="Q1342" s="101"/>
      <c r="R1342" s="101"/>
      <c r="S1342" s="110"/>
      <c r="T1342" s="102"/>
      <c r="U1342" s="101"/>
      <c r="V1342" s="103"/>
      <c r="W1342" s="101"/>
    </row>
    <row r="1343" spans="1:23" x14ac:dyDescent="0.25">
      <c r="A1343" s="98"/>
      <c r="H1343" s="101"/>
      <c r="I1343" s="101"/>
      <c r="J1343" s="101"/>
      <c r="K1343" s="101"/>
      <c r="L1343" s="101"/>
      <c r="M1343" s="101"/>
      <c r="N1343" s="101"/>
      <c r="O1343" s="101"/>
      <c r="P1343" s="101"/>
      <c r="Q1343" s="101"/>
      <c r="R1343" s="101"/>
      <c r="S1343" s="110"/>
      <c r="T1343" s="102"/>
      <c r="U1343" s="101"/>
      <c r="V1343" s="103"/>
      <c r="W1343" s="101"/>
    </row>
    <row r="1344" spans="1:23" x14ac:dyDescent="0.25">
      <c r="A1344" s="98"/>
      <c r="H1344" s="101"/>
      <c r="I1344" s="101"/>
      <c r="J1344" s="101"/>
      <c r="K1344" s="101"/>
      <c r="L1344" s="101"/>
      <c r="M1344" s="101"/>
      <c r="N1344" s="101"/>
      <c r="O1344" s="101"/>
      <c r="P1344" s="101"/>
      <c r="Q1344" s="101"/>
      <c r="R1344" s="101"/>
      <c r="S1344" s="110"/>
      <c r="T1344" s="102"/>
      <c r="U1344" s="101"/>
      <c r="V1344" s="103"/>
      <c r="W1344" s="101"/>
    </row>
    <row r="1345" spans="1:23" x14ac:dyDescent="0.25">
      <c r="A1345" s="98"/>
      <c r="H1345" s="101"/>
      <c r="I1345" s="101"/>
      <c r="J1345" s="101"/>
      <c r="K1345" s="101"/>
      <c r="L1345" s="101"/>
      <c r="M1345" s="101"/>
      <c r="N1345" s="101"/>
      <c r="O1345" s="101"/>
      <c r="P1345" s="101"/>
      <c r="Q1345" s="101"/>
      <c r="R1345" s="101"/>
      <c r="S1345" s="110"/>
      <c r="T1345" s="102"/>
      <c r="U1345" s="101"/>
      <c r="V1345" s="103"/>
      <c r="W1345" s="101"/>
    </row>
    <row r="1346" spans="1:23" x14ac:dyDescent="0.25">
      <c r="A1346" s="98"/>
      <c r="H1346" s="101"/>
      <c r="I1346" s="101"/>
      <c r="J1346" s="101"/>
      <c r="K1346" s="101"/>
      <c r="L1346" s="101"/>
      <c r="M1346" s="101"/>
      <c r="N1346" s="101"/>
      <c r="O1346" s="101"/>
      <c r="P1346" s="101"/>
      <c r="Q1346" s="101"/>
      <c r="R1346" s="101"/>
      <c r="S1346" s="110"/>
      <c r="T1346" s="102"/>
      <c r="U1346" s="101"/>
      <c r="V1346" s="103"/>
      <c r="W1346" s="101"/>
    </row>
    <row r="1347" spans="1:23" x14ac:dyDescent="0.25">
      <c r="A1347" s="98"/>
      <c r="H1347" s="101"/>
      <c r="I1347" s="101"/>
      <c r="J1347" s="101"/>
      <c r="K1347" s="101"/>
      <c r="L1347" s="101"/>
      <c r="M1347" s="101"/>
      <c r="N1347" s="101"/>
      <c r="O1347" s="101"/>
      <c r="P1347" s="101"/>
      <c r="Q1347" s="101"/>
      <c r="R1347" s="101"/>
      <c r="S1347" s="110"/>
      <c r="T1347" s="102"/>
      <c r="U1347" s="101"/>
      <c r="V1347" s="103"/>
      <c r="W1347" s="101"/>
    </row>
    <row r="1348" spans="1:23" x14ac:dyDescent="0.25">
      <c r="A1348" s="98"/>
      <c r="H1348" s="101"/>
      <c r="I1348" s="101"/>
      <c r="J1348" s="101"/>
      <c r="K1348" s="101"/>
      <c r="L1348" s="101"/>
      <c r="M1348" s="101"/>
      <c r="N1348" s="101"/>
      <c r="O1348" s="101"/>
      <c r="P1348" s="101"/>
      <c r="Q1348" s="101"/>
      <c r="R1348" s="101"/>
      <c r="S1348" s="110"/>
      <c r="T1348" s="102"/>
      <c r="U1348" s="101"/>
      <c r="V1348" s="103"/>
      <c r="W1348" s="101"/>
    </row>
    <row r="1349" spans="1:23" x14ac:dyDescent="0.25">
      <c r="A1349" s="98"/>
      <c r="H1349" s="101"/>
      <c r="I1349" s="101"/>
      <c r="J1349" s="101"/>
      <c r="K1349" s="101"/>
      <c r="L1349" s="101"/>
      <c r="M1349" s="101"/>
      <c r="N1349" s="101"/>
      <c r="O1349" s="101"/>
      <c r="P1349" s="101"/>
      <c r="Q1349" s="101"/>
      <c r="R1349" s="101"/>
      <c r="S1349" s="110"/>
      <c r="T1349" s="102"/>
      <c r="U1349" s="101"/>
      <c r="V1349" s="103"/>
      <c r="W1349" s="101"/>
    </row>
    <row r="1350" spans="1:23" x14ac:dyDescent="0.25">
      <c r="A1350" s="98"/>
      <c r="H1350" s="101"/>
      <c r="I1350" s="101"/>
      <c r="J1350" s="101"/>
      <c r="K1350" s="101"/>
      <c r="L1350" s="101"/>
      <c r="M1350" s="101"/>
      <c r="N1350" s="101"/>
      <c r="O1350" s="101"/>
      <c r="P1350" s="101"/>
      <c r="Q1350" s="101"/>
      <c r="R1350" s="101"/>
      <c r="S1350" s="110"/>
      <c r="T1350" s="102"/>
      <c r="U1350" s="101"/>
      <c r="V1350" s="103"/>
      <c r="W1350" s="101"/>
    </row>
    <row r="1351" spans="1:23" x14ac:dyDescent="0.25">
      <c r="A1351" s="98"/>
      <c r="H1351" s="101"/>
      <c r="I1351" s="101"/>
      <c r="J1351" s="101"/>
      <c r="K1351" s="101"/>
      <c r="L1351" s="101"/>
      <c r="M1351" s="101"/>
      <c r="N1351" s="101"/>
      <c r="O1351" s="101"/>
      <c r="P1351" s="101"/>
      <c r="Q1351" s="101"/>
      <c r="R1351" s="101"/>
      <c r="S1351" s="110"/>
      <c r="T1351" s="102"/>
      <c r="U1351" s="101"/>
      <c r="V1351" s="103"/>
      <c r="W1351" s="101"/>
    </row>
    <row r="1352" spans="1:23" x14ac:dyDescent="0.25">
      <c r="A1352" s="98"/>
      <c r="H1352" s="101"/>
      <c r="I1352" s="101"/>
      <c r="J1352" s="101"/>
      <c r="K1352" s="101"/>
      <c r="L1352" s="101"/>
      <c r="M1352" s="101"/>
      <c r="N1352" s="101"/>
      <c r="O1352" s="101"/>
      <c r="P1352" s="101"/>
      <c r="Q1352" s="101"/>
      <c r="R1352" s="101"/>
      <c r="S1352" s="110"/>
      <c r="T1352" s="102"/>
      <c r="U1352" s="101"/>
      <c r="V1352" s="103"/>
      <c r="W1352" s="101"/>
    </row>
    <row r="1353" spans="1:23" x14ac:dyDescent="0.25">
      <c r="A1353" s="98"/>
      <c r="H1353" s="101"/>
      <c r="I1353" s="101"/>
      <c r="J1353" s="101"/>
      <c r="K1353" s="101"/>
      <c r="L1353" s="101"/>
      <c r="M1353" s="101"/>
      <c r="N1353" s="101"/>
      <c r="O1353" s="101"/>
      <c r="P1353" s="101"/>
      <c r="Q1353" s="101"/>
      <c r="R1353" s="101"/>
      <c r="S1353" s="110"/>
      <c r="T1353" s="102"/>
      <c r="U1353" s="101"/>
      <c r="V1353" s="103"/>
      <c r="W1353" s="101"/>
    </row>
    <row r="1354" spans="1:23" x14ac:dyDescent="0.25">
      <c r="A1354" s="98"/>
      <c r="H1354" s="101"/>
      <c r="I1354" s="101"/>
      <c r="J1354" s="101"/>
      <c r="K1354" s="101"/>
      <c r="L1354" s="101"/>
      <c r="M1354" s="101"/>
      <c r="N1354" s="101"/>
      <c r="O1354" s="101"/>
      <c r="P1354" s="101"/>
      <c r="Q1354" s="101"/>
      <c r="R1354" s="101"/>
      <c r="S1354" s="110"/>
      <c r="T1354" s="102"/>
      <c r="U1354" s="101"/>
      <c r="V1354" s="103"/>
      <c r="W1354" s="101"/>
    </row>
    <row r="1355" spans="1:23" x14ac:dyDescent="0.25">
      <c r="A1355" s="98"/>
      <c r="H1355" s="101"/>
      <c r="I1355" s="101"/>
      <c r="J1355" s="101"/>
      <c r="K1355" s="101"/>
      <c r="L1355" s="101"/>
      <c r="M1355" s="101"/>
      <c r="N1355" s="101"/>
      <c r="O1355" s="101"/>
      <c r="P1355" s="101"/>
      <c r="Q1355" s="101"/>
      <c r="R1355" s="101"/>
      <c r="S1355" s="110"/>
      <c r="T1355" s="102"/>
      <c r="U1355" s="101"/>
      <c r="V1355" s="103"/>
      <c r="W1355" s="101"/>
    </row>
    <row r="1356" spans="1:23" x14ac:dyDescent="0.25">
      <c r="A1356" s="98"/>
      <c r="H1356" s="101"/>
      <c r="I1356" s="101"/>
      <c r="J1356" s="101"/>
      <c r="K1356" s="101"/>
      <c r="L1356" s="101"/>
      <c r="M1356" s="101"/>
      <c r="N1356" s="101"/>
      <c r="O1356" s="101"/>
      <c r="P1356" s="101"/>
      <c r="Q1356" s="101"/>
      <c r="R1356" s="101"/>
      <c r="S1356" s="110"/>
      <c r="T1356" s="102"/>
      <c r="U1356" s="101"/>
      <c r="V1356" s="103"/>
      <c r="W1356" s="101"/>
    </row>
    <row r="1357" spans="1:23" x14ac:dyDescent="0.25">
      <c r="A1357" s="98"/>
      <c r="H1357" s="101"/>
      <c r="I1357" s="101"/>
      <c r="J1357" s="101"/>
      <c r="K1357" s="101"/>
      <c r="L1357" s="101"/>
      <c r="M1357" s="101"/>
      <c r="N1357" s="101"/>
      <c r="O1357" s="101"/>
      <c r="P1357" s="101"/>
      <c r="Q1357" s="101"/>
      <c r="R1357" s="101"/>
      <c r="S1357" s="110"/>
      <c r="T1357" s="102"/>
      <c r="U1357" s="101"/>
      <c r="V1357" s="103"/>
      <c r="W1357" s="101"/>
    </row>
    <row r="1358" spans="1:23" x14ac:dyDescent="0.25">
      <c r="A1358" s="98"/>
      <c r="H1358" s="101"/>
      <c r="I1358" s="101"/>
      <c r="J1358" s="101"/>
      <c r="K1358" s="101"/>
      <c r="L1358" s="101"/>
      <c r="M1358" s="101"/>
      <c r="N1358" s="101"/>
      <c r="O1358" s="101"/>
      <c r="P1358" s="101"/>
      <c r="Q1358" s="101"/>
      <c r="R1358" s="101"/>
      <c r="S1358" s="110"/>
      <c r="T1358" s="102"/>
      <c r="U1358" s="101"/>
      <c r="V1358" s="103"/>
      <c r="W1358" s="101"/>
    </row>
    <row r="1359" spans="1:23" x14ac:dyDescent="0.25">
      <c r="A1359" s="98"/>
      <c r="H1359" s="101"/>
      <c r="I1359" s="101"/>
      <c r="J1359" s="101"/>
      <c r="K1359" s="101"/>
      <c r="L1359" s="101"/>
      <c r="M1359" s="101"/>
      <c r="N1359" s="101"/>
      <c r="O1359" s="101"/>
      <c r="P1359" s="101"/>
      <c r="Q1359" s="101"/>
      <c r="R1359" s="101"/>
      <c r="S1359" s="110"/>
      <c r="T1359" s="102"/>
      <c r="U1359" s="101"/>
      <c r="V1359" s="103"/>
      <c r="W1359" s="101"/>
    </row>
    <row r="1360" spans="1:23" x14ac:dyDescent="0.25">
      <c r="A1360" s="98"/>
      <c r="H1360" s="101"/>
      <c r="I1360" s="101"/>
      <c r="J1360" s="101"/>
      <c r="K1360" s="101"/>
      <c r="L1360" s="101"/>
      <c r="M1360" s="101"/>
      <c r="N1360" s="101"/>
      <c r="O1360" s="101"/>
      <c r="P1360" s="101"/>
      <c r="Q1360" s="101"/>
      <c r="R1360" s="101"/>
      <c r="S1360" s="110"/>
      <c r="T1360" s="102"/>
      <c r="U1360" s="101"/>
      <c r="V1360" s="103"/>
      <c r="W1360" s="101"/>
    </row>
    <row r="1361" spans="1:23" x14ac:dyDescent="0.25">
      <c r="A1361" s="98"/>
      <c r="H1361" s="101"/>
      <c r="I1361" s="101"/>
      <c r="J1361" s="101"/>
      <c r="K1361" s="101"/>
      <c r="L1361" s="101"/>
      <c r="M1361" s="101"/>
      <c r="N1361" s="101"/>
      <c r="O1361" s="101"/>
      <c r="P1361" s="101"/>
      <c r="Q1361" s="101"/>
      <c r="R1361" s="101"/>
      <c r="S1361" s="110"/>
      <c r="T1361" s="102"/>
      <c r="U1361" s="101"/>
      <c r="V1361" s="103"/>
      <c r="W1361" s="101"/>
    </row>
    <row r="1362" spans="1:23" x14ac:dyDescent="0.25">
      <c r="A1362" s="98"/>
      <c r="H1362" s="101"/>
      <c r="I1362" s="101"/>
      <c r="J1362" s="101"/>
      <c r="K1362" s="101"/>
      <c r="L1362" s="101"/>
      <c r="M1362" s="101"/>
      <c r="N1362" s="101"/>
      <c r="O1362" s="101"/>
      <c r="P1362" s="101"/>
      <c r="Q1362" s="101"/>
      <c r="R1362" s="101"/>
      <c r="S1362" s="110"/>
      <c r="T1362" s="102"/>
      <c r="U1362" s="101"/>
      <c r="V1362" s="103"/>
      <c r="W1362" s="101"/>
    </row>
    <row r="1363" spans="1:23" x14ac:dyDescent="0.25">
      <c r="A1363" s="98"/>
      <c r="H1363" s="101"/>
      <c r="I1363" s="101"/>
      <c r="J1363" s="101"/>
      <c r="K1363" s="101"/>
      <c r="L1363" s="101"/>
      <c r="M1363" s="101"/>
      <c r="N1363" s="101"/>
      <c r="O1363" s="101"/>
      <c r="P1363" s="101"/>
      <c r="Q1363" s="101"/>
      <c r="R1363" s="101"/>
      <c r="S1363" s="110"/>
      <c r="T1363" s="102"/>
      <c r="U1363" s="101"/>
      <c r="V1363" s="103"/>
      <c r="W1363" s="101"/>
    </row>
    <row r="1364" spans="1:23" x14ac:dyDescent="0.25">
      <c r="A1364" s="98"/>
      <c r="H1364" s="101"/>
      <c r="I1364" s="101"/>
      <c r="J1364" s="101"/>
      <c r="K1364" s="101"/>
      <c r="L1364" s="101"/>
      <c r="M1364" s="101"/>
      <c r="N1364" s="101"/>
      <c r="O1364" s="101"/>
      <c r="P1364" s="101"/>
      <c r="Q1364" s="101"/>
      <c r="R1364" s="101"/>
      <c r="S1364" s="110"/>
      <c r="T1364" s="102"/>
      <c r="U1364" s="101"/>
      <c r="V1364" s="103"/>
      <c r="W1364" s="101"/>
    </row>
    <row r="1365" spans="1:23" x14ac:dyDescent="0.25">
      <c r="A1365" s="98"/>
      <c r="H1365" s="101"/>
      <c r="I1365" s="101"/>
      <c r="J1365" s="101"/>
      <c r="K1365" s="101"/>
      <c r="L1365" s="101"/>
      <c r="M1365" s="101"/>
      <c r="N1365" s="101"/>
      <c r="O1365" s="101"/>
      <c r="P1365" s="101"/>
      <c r="Q1365" s="101"/>
      <c r="R1365" s="101"/>
      <c r="S1365" s="110"/>
      <c r="T1365" s="102"/>
      <c r="U1365" s="101"/>
      <c r="V1365" s="103"/>
      <c r="W1365" s="101"/>
    </row>
    <row r="1366" spans="1:23" x14ac:dyDescent="0.25">
      <c r="A1366" s="98"/>
      <c r="H1366" s="101"/>
      <c r="I1366" s="101"/>
      <c r="J1366" s="101"/>
      <c r="K1366" s="101"/>
      <c r="L1366" s="101"/>
      <c r="M1366" s="101"/>
      <c r="N1366" s="101"/>
      <c r="O1366" s="101"/>
      <c r="P1366" s="101"/>
      <c r="Q1366" s="101"/>
      <c r="R1366" s="101"/>
      <c r="S1366" s="110"/>
      <c r="T1366" s="102"/>
      <c r="U1366" s="101"/>
      <c r="V1366" s="103"/>
      <c r="W1366" s="101"/>
    </row>
    <row r="1367" spans="1:23" x14ac:dyDescent="0.25">
      <c r="A1367" s="98"/>
      <c r="H1367" s="101"/>
      <c r="I1367" s="101"/>
      <c r="J1367" s="101"/>
      <c r="K1367" s="101"/>
      <c r="L1367" s="101"/>
      <c r="M1367" s="101"/>
      <c r="N1367" s="101"/>
      <c r="O1367" s="101"/>
      <c r="P1367" s="101"/>
      <c r="Q1367" s="101"/>
      <c r="R1367" s="101"/>
      <c r="S1367" s="110"/>
      <c r="T1367" s="102"/>
      <c r="U1367" s="101"/>
      <c r="V1367" s="103"/>
      <c r="W1367" s="101"/>
    </row>
    <row r="1368" spans="1:23" x14ac:dyDescent="0.25">
      <c r="A1368" s="98"/>
      <c r="H1368" s="101"/>
      <c r="I1368" s="101"/>
      <c r="J1368" s="101"/>
      <c r="K1368" s="101"/>
      <c r="L1368" s="101"/>
      <c r="M1368" s="101"/>
      <c r="N1368" s="101"/>
      <c r="O1368" s="101"/>
      <c r="P1368" s="101"/>
      <c r="Q1368" s="101"/>
      <c r="R1368" s="101"/>
      <c r="S1368" s="110"/>
      <c r="T1368" s="102"/>
      <c r="U1368" s="101"/>
      <c r="V1368" s="103"/>
      <c r="W1368" s="101"/>
    </row>
    <row r="1369" spans="1:23" x14ac:dyDescent="0.25">
      <c r="A1369" s="98"/>
      <c r="H1369" s="101"/>
      <c r="I1369" s="101"/>
      <c r="J1369" s="101"/>
      <c r="K1369" s="101"/>
      <c r="L1369" s="101"/>
      <c r="M1369" s="101"/>
      <c r="N1369" s="101"/>
      <c r="O1369" s="101"/>
      <c r="P1369" s="101"/>
      <c r="Q1369" s="101"/>
      <c r="R1369" s="101"/>
      <c r="S1369" s="110"/>
      <c r="T1369" s="102"/>
      <c r="U1369" s="101"/>
      <c r="V1369" s="103"/>
      <c r="W1369" s="101"/>
    </row>
    <row r="1370" spans="1:23" x14ac:dyDescent="0.25">
      <c r="A1370" s="98"/>
      <c r="H1370" s="101"/>
      <c r="I1370" s="101"/>
      <c r="J1370" s="101"/>
      <c r="K1370" s="101"/>
      <c r="L1370" s="101"/>
      <c r="M1370" s="101"/>
      <c r="N1370" s="101"/>
      <c r="O1370" s="101"/>
      <c r="P1370" s="101"/>
      <c r="Q1370" s="101"/>
      <c r="R1370" s="101"/>
      <c r="S1370" s="110"/>
      <c r="T1370" s="102"/>
      <c r="U1370" s="101"/>
      <c r="V1370" s="103"/>
      <c r="W1370" s="101"/>
    </row>
    <row r="1371" spans="1:23" x14ac:dyDescent="0.25">
      <c r="A1371" s="98"/>
      <c r="H1371" s="101"/>
      <c r="I1371" s="101"/>
      <c r="J1371" s="101"/>
      <c r="K1371" s="101"/>
      <c r="L1371" s="101"/>
      <c r="M1371" s="101"/>
      <c r="N1371" s="101"/>
      <c r="O1371" s="101"/>
      <c r="P1371" s="101"/>
      <c r="Q1371" s="101"/>
      <c r="R1371" s="101"/>
      <c r="S1371" s="110"/>
      <c r="T1371" s="102"/>
      <c r="U1371" s="101"/>
      <c r="V1371" s="103"/>
      <c r="W1371" s="101"/>
    </row>
    <row r="1372" spans="1:23" x14ac:dyDescent="0.25">
      <c r="A1372" s="98"/>
      <c r="H1372" s="101"/>
      <c r="I1372" s="101"/>
      <c r="J1372" s="101"/>
      <c r="K1372" s="101"/>
      <c r="L1372" s="101"/>
      <c r="M1372" s="101"/>
      <c r="N1372" s="101"/>
      <c r="O1372" s="101"/>
      <c r="P1372" s="101"/>
      <c r="Q1372" s="101"/>
      <c r="R1372" s="101"/>
      <c r="S1372" s="110"/>
      <c r="T1372" s="102"/>
      <c r="U1372" s="101"/>
      <c r="V1372" s="103"/>
      <c r="W1372" s="101"/>
    </row>
    <row r="1373" spans="1:23" x14ac:dyDescent="0.25">
      <c r="A1373" s="98"/>
      <c r="H1373" s="101"/>
      <c r="I1373" s="101"/>
      <c r="J1373" s="101"/>
      <c r="K1373" s="101"/>
      <c r="L1373" s="101"/>
      <c r="M1373" s="101"/>
      <c r="N1373" s="101"/>
      <c r="O1373" s="101"/>
      <c r="P1373" s="101"/>
      <c r="Q1373" s="101"/>
      <c r="R1373" s="101"/>
      <c r="S1373" s="110"/>
      <c r="T1373" s="102"/>
      <c r="U1373" s="101"/>
      <c r="V1373" s="103"/>
      <c r="W1373" s="101"/>
    </row>
    <row r="1374" spans="1:23" x14ac:dyDescent="0.25">
      <c r="A1374" s="98"/>
      <c r="H1374" s="101"/>
      <c r="I1374" s="101"/>
      <c r="J1374" s="101"/>
      <c r="K1374" s="101"/>
      <c r="L1374" s="101"/>
      <c r="M1374" s="101"/>
      <c r="N1374" s="101"/>
      <c r="O1374" s="101"/>
      <c r="P1374" s="101"/>
      <c r="Q1374" s="101"/>
      <c r="R1374" s="101"/>
      <c r="S1374" s="110"/>
      <c r="T1374" s="102"/>
      <c r="U1374" s="101"/>
      <c r="V1374" s="103"/>
      <c r="W1374" s="101"/>
    </row>
    <row r="1375" spans="1:23" x14ac:dyDescent="0.25">
      <c r="A1375" s="98"/>
      <c r="H1375" s="101"/>
      <c r="I1375" s="101"/>
      <c r="J1375" s="101"/>
      <c r="K1375" s="101"/>
      <c r="L1375" s="101"/>
      <c r="M1375" s="101"/>
      <c r="N1375" s="101"/>
      <c r="O1375" s="101"/>
      <c r="P1375" s="101"/>
      <c r="Q1375" s="101"/>
      <c r="R1375" s="101"/>
      <c r="S1375" s="110"/>
      <c r="T1375" s="102"/>
      <c r="U1375" s="101"/>
      <c r="V1375" s="103"/>
      <c r="W1375" s="101"/>
    </row>
    <row r="1376" spans="1:23" x14ac:dyDescent="0.25">
      <c r="A1376" s="98"/>
      <c r="H1376" s="101"/>
      <c r="I1376" s="101"/>
      <c r="J1376" s="101"/>
      <c r="K1376" s="101"/>
      <c r="L1376" s="101"/>
      <c r="M1376" s="101"/>
      <c r="N1376" s="101"/>
      <c r="O1376" s="101"/>
      <c r="P1376" s="101"/>
      <c r="Q1376" s="101"/>
      <c r="R1376" s="101"/>
      <c r="S1376" s="110"/>
      <c r="T1376" s="102"/>
      <c r="U1376" s="101"/>
      <c r="V1376" s="103"/>
      <c r="W1376" s="101"/>
    </row>
    <row r="1377" spans="1:23" x14ac:dyDescent="0.25">
      <c r="A1377" s="98"/>
      <c r="H1377" s="101"/>
      <c r="I1377" s="101"/>
      <c r="J1377" s="101"/>
      <c r="K1377" s="101"/>
      <c r="L1377" s="101"/>
      <c r="M1377" s="101"/>
      <c r="N1377" s="101"/>
      <c r="O1377" s="101"/>
      <c r="P1377" s="101"/>
      <c r="Q1377" s="101"/>
      <c r="R1377" s="101"/>
      <c r="S1377" s="110"/>
      <c r="T1377" s="102"/>
      <c r="U1377" s="101"/>
      <c r="V1377" s="103"/>
      <c r="W1377" s="101"/>
    </row>
    <row r="1378" spans="1:23" x14ac:dyDescent="0.25">
      <c r="A1378" s="98"/>
      <c r="H1378" s="101"/>
      <c r="I1378" s="101"/>
      <c r="J1378" s="101"/>
      <c r="K1378" s="101"/>
      <c r="L1378" s="101"/>
      <c r="M1378" s="101"/>
      <c r="N1378" s="101"/>
      <c r="O1378" s="101"/>
      <c r="P1378" s="101"/>
      <c r="Q1378" s="101"/>
      <c r="R1378" s="101"/>
      <c r="S1378" s="110"/>
      <c r="T1378" s="102"/>
      <c r="U1378" s="101"/>
      <c r="V1378" s="103"/>
      <c r="W1378" s="101"/>
    </row>
    <row r="1379" spans="1:23" x14ac:dyDescent="0.25">
      <c r="A1379" s="98"/>
      <c r="H1379" s="101"/>
      <c r="I1379" s="101"/>
      <c r="J1379" s="101"/>
      <c r="K1379" s="101"/>
      <c r="L1379" s="101"/>
      <c r="M1379" s="101"/>
      <c r="N1379" s="101"/>
      <c r="O1379" s="101"/>
      <c r="P1379" s="101"/>
      <c r="Q1379" s="101"/>
      <c r="R1379" s="101"/>
      <c r="S1379" s="110"/>
      <c r="T1379" s="102"/>
      <c r="U1379" s="101"/>
      <c r="V1379" s="103"/>
      <c r="W1379" s="101"/>
    </row>
    <row r="1380" spans="1:23" x14ac:dyDescent="0.25">
      <c r="A1380" s="98"/>
      <c r="H1380" s="101"/>
      <c r="I1380" s="101"/>
      <c r="J1380" s="101"/>
      <c r="K1380" s="101"/>
      <c r="L1380" s="101"/>
      <c r="M1380" s="101"/>
      <c r="N1380" s="101"/>
      <c r="O1380" s="101"/>
      <c r="P1380" s="101"/>
      <c r="Q1380" s="101"/>
      <c r="R1380" s="101"/>
      <c r="S1380" s="110"/>
      <c r="T1380" s="102"/>
      <c r="U1380" s="101"/>
      <c r="V1380" s="103"/>
      <c r="W1380" s="101"/>
    </row>
    <row r="1381" spans="1:23" x14ac:dyDescent="0.25">
      <c r="A1381" s="98"/>
      <c r="H1381" s="101"/>
      <c r="I1381" s="101"/>
      <c r="J1381" s="101"/>
      <c r="K1381" s="101"/>
      <c r="L1381" s="101"/>
      <c r="M1381" s="101"/>
      <c r="N1381" s="101"/>
      <c r="O1381" s="101"/>
      <c r="P1381" s="101"/>
      <c r="Q1381" s="101"/>
      <c r="R1381" s="101"/>
      <c r="S1381" s="110"/>
      <c r="T1381" s="102"/>
      <c r="U1381" s="101"/>
      <c r="V1381" s="103"/>
      <c r="W1381" s="101"/>
    </row>
    <row r="1382" spans="1:23" x14ac:dyDescent="0.25">
      <c r="A1382" s="98"/>
      <c r="H1382" s="101"/>
      <c r="I1382" s="101"/>
      <c r="J1382" s="101"/>
      <c r="K1382" s="101"/>
      <c r="L1382" s="101"/>
      <c r="M1382" s="101"/>
      <c r="N1382" s="101"/>
      <c r="O1382" s="101"/>
      <c r="P1382" s="101"/>
      <c r="Q1382" s="101"/>
      <c r="R1382" s="101"/>
      <c r="S1382" s="110"/>
      <c r="T1382" s="102"/>
      <c r="U1382" s="101"/>
      <c r="V1382" s="103"/>
      <c r="W1382" s="101"/>
    </row>
    <row r="1383" spans="1:23" x14ac:dyDescent="0.25">
      <c r="A1383" s="98"/>
      <c r="H1383" s="101"/>
      <c r="I1383" s="101"/>
      <c r="J1383" s="101"/>
      <c r="K1383" s="101"/>
      <c r="L1383" s="101"/>
      <c r="M1383" s="101"/>
      <c r="N1383" s="101"/>
      <c r="O1383" s="101"/>
      <c r="P1383" s="101"/>
      <c r="Q1383" s="101"/>
      <c r="R1383" s="101"/>
      <c r="S1383" s="110"/>
      <c r="T1383" s="102"/>
      <c r="U1383" s="101"/>
      <c r="V1383" s="103"/>
      <c r="W1383" s="101"/>
    </row>
    <row r="1384" spans="1:23" x14ac:dyDescent="0.25">
      <c r="A1384" s="98"/>
      <c r="H1384" s="101"/>
      <c r="I1384" s="101"/>
      <c r="J1384" s="101"/>
      <c r="K1384" s="101"/>
      <c r="L1384" s="101"/>
      <c r="M1384" s="101"/>
      <c r="N1384" s="101"/>
      <c r="O1384" s="101"/>
      <c r="P1384" s="101"/>
      <c r="Q1384" s="101"/>
      <c r="R1384" s="101"/>
      <c r="S1384" s="110"/>
      <c r="T1384" s="102"/>
      <c r="U1384" s="101"/>
      <c r="V1384" s="103"/>
      <c r="W1384" s="101"/>
    </row>
    <row r="1385" spans="1:23" x14ac:dyDescent="0.25">
      <c r="A1385" s="98"/>
      <c r="H1385" s="101"/>
      <c r="I1385" s="101"/>
      <c r="J1385" s="101"/>
      <c r="K1385" s="101"/>
      <c r="L1385" s="101"/>
      <c r="M1385" s="101"/>
      <c r="N1385" s="101"/>
      <c r="O1385" s="101"/>
      <c r="P1385" s="101"/>
      <c r="Q1385" s="101"/>
      <c r="R1385" s="101"/>
      <c r="S1385" s="110"/>
      <c r="T1385" s="102"/>
      <c r="U1385" s="101"/>
      <c r="V1385" s="103"/>
      <c r="W1385" s="101"/>
    </row>
    <row r="1386" spans="1:23" x14ac:dyDescent="0.25">
      <c r="A1386" s="98"/>
      <c r="H1386" s="101"/>
      <c r="I1386" s="101"/>
      <c r="J1386" s="101"/>
      <c r="K1386" s="101"/>
      <c r="L1386" s="101"/>
      <c r="M1386" s="101"/>
      <c r="N1386" s="101"/>
      <c r="O1386" s="101"/>
      <c r="P1386" s="101"/>
      <c r="Q1386" s="101"/>
      <c r="R1386" s="101"/>
      <c r="S1386" s="110"/>
      <c r="T1386" s="102"/>
      <c r="U1386" s="101"/>
      <c r="V1386" s="103"/>
      <c r="W1386" s="101"/>
    </row>
    <row r="1387" spans="1:23" x14ac:dyDescent="0.25">
      <c r="A1387" s="98"/>
      <c r="H1387" s="101"/>
      <c r="I1387" s="101"/>
      <c r="J1387" s="101"/>
      <c r="K1387" s="101"/>
      <c r="L1387" s="101"/>
      <c r="M1387" s="101"/>
      <c r="N1387" s="101"/>
      <c r="O1387" s="101"/>
      <c r="P1387" s="101"/>
      <c r="Q1387" s="101"/>
      <c r="R1387" s="101"/>
      <c r="S1387" s="110"/>
      <c r="T1387" s="102"/>
      <c r="U1387" s="101"/>
      <c r="V1387" s="103"/>
      <c r="W1387" s="101"/>
    </row>
    <row r="1388" spans="1:23" x14ac:dyDescent="0.25">
      <c r="A1388" s="98"/>
      <c r="H1388" s="101"/>
      <c r="I1388" s="101"/>
      <c r="J1388" s="101"/>
      <c r="K1388" s="101"/>
      <c r="L1388" s="101"/>
      <c r="M1388" s="101"/>
      <c r="N1388" s="101"/>
      <c r="O1388" s="101"/>
      <c r="P1388" s="101"/>
      <c r="Q1388" s="101"/>
      <c r="R1388" s="101"/>
      <c r="S1388" s="110"/>
      <c r="T1388" s="102"/>
      <c r="U1388" s="101"/>
      <c r="V1388" s="103"/>
      <c r="W1388" s="101"/>
    </row>
    <row r="1389" spans="1:23" x14ac:dyDescent="0.25">
      <c r="A1389" s="98"/>
      <c r="H1389" s="101"/>
      <c r="I1389" s="101"/>
      <c r="J1389" s="101"/>
      <c r="K1389" s="101"/>
      <c r="L1389" s="101"/>
      <c r="M1389" s="101"/>
      <c r="N1389" s="101"/>
      <c r="O1389" s="101"/>
      <c r="P1389" s="101"/>
      <c r="Q1389" s="101"/>
      <c r="R1389" s="101"/>
      <c r="S1389" s="110"/>
      <c r="T1389" s="102"/>
      <c r="U1389" s="101"/>
      <c r="V1389" s="103"/>
      <c r="W1389" s="101"/>
    </row>
    <row r="1390" spans="1:23" x14ac:dyDescent="0.25">
      <c r="A1390" s="98"/>
      <c r="H1390" s="101"/>
      <c r="I1390" s="101"/>
      <c r="J1390" s="101"/>
      <c r="K1390" s="101"/>
      <c r="L1390" s="101"/>
      <c r="M1390" s="101"/>
      <c r="N1390" s="101"/>
      <c r="O1390" s="101"/>
      <c r="P1390" s="101"/>
      <c r="Q1390" s="101"/>
      <c r="R1390" s="101"/>
      <c r="S1390" s="110"/>
      <c r="T1390" s="102"/>
      <c r="U1390" s="101"/>
      <c r="V1390" s="103"/>
      <c r="W1390" s="101"/>
    </row>
    <row r="1391" spans="1:23" x14ac:dyDescent="0.25">
      <c r="A1391" s="98"/>
      <c r="H1391" s="101"/>
      <c r="I1391" s="101"/>
      <c r="J1391" s="101"/>
      <c r="K1391" s="101"/>
      <c r="L1391" s="101"/>
      <c r="M1391" s="101"/>
      <c r="N1391" s="101"/>
      <c r="O1391" s="101"/>
      <c r="P1391" s="101"/>
      <c r="Q1391" s="101"/>
      <c r="R1391" s="101"/>
      <c r="S1391" s="110"/>
      <c r="T1391" s="102"/>
      <c r="U1391" s="101"/>
      <c r="V1391" s="103"/>
      <c r="W1391" s="101"/>
    </row>
    <row r="1392" spans="1:23" x14ac:dyDescent="0.25">
      <c r="A1392" s="98"/>
      <c r="H1392" s="101"/>
      <c r="I1392" s="101"/>
      <c r="J1392" s="101"/>
      <c r="K1392" s="101"/>
      <c r="L1392" s="101"/>
      <c r="M1392" s="101"/>
      <c r="N1392" s="101"/>
      <c r="O1392" s="101"/>
      <c r="P1392" s="101"/>
      <c r="Q1392" s="101"/>
      <c r="R1392" s="101"/>
      <c r="S1392" s="110"/>
      <c r="T1392" s="102"/>
      <c r="U1392" s="101"/>
      <c r="V1392" s="103"/>
      <c r="W1392" s="101"/>
    </row>
    <row r="1393" spans="1:23" x14ac:dyDescent="0.25">
      <c r="A1393" s="98"/>
      <c r="H1393" s="101"/>
      <c r="I1393" s="101"/>
      <c r="J1393" s="101"/>
      <c r="K1393" s="101"/>
      <c r="L1393" s="101"/>
      <c r="M1393" s="101"/>
      <c r="N1393" s="101"/>
      <c r="O1393" s="101"/>
      <c r="P1393" s="101"/>
      <c r="Q1393" s="101"/>
      <c r="R1393" s="101"/>
      <c r="S1393" s="110"/>
      <c r="T1393" s="102"/>
      <c r="U1393" s="101"/>
      <c r="V1393" s="103"/>
      <c r="W1393" s="101"/>
    </row>
    <row r="1394" spans="1:23" x14ac:dyDescent="0.25">
      <c r="A1394" s="98"/>
      <c r="H1394" s="101"/>
      <c r="I1394" s="101"/>
      <c r="J1394" s="101"/>
      <c r="K1394" s="101"/>
      <c r="L1394" s="101"/>
      <c r="M1394" s="101"/>
      <c r="N1394" s="101"/>
      <c r="O1394" s="101"/>
      <c r="P1394" s="101"/>
      <c r="Q1394" s="101"/>
      <c r="R1394" s="101"/>
      <c r="S1394" s="110"/>
      <c r="T1394" s="102"/>
      <c r="U1394" s="101"/>
      <c r="V1394" s="103"/>
      <c r="W1394" s="101"/>
    </row>
    <row r="1395" spans="1:23" x14ac:dyDescent="0.25">
      <c r="A1395" s="98"/>
      <c r="H1395" s="101"/>
      <c r="I1395" s="101"/>
      <c r="J1395" s="101"/>
      <c r="K1395" s="101"/>
      <c r="L1395" s="101"/>
      <c r="M1395" s="101"/>
      <c r="N1395" s="101"/>
      <c r="O1395" s="101"/>
      <c r="P1395" s="101"/>
      <c r="Q1395" s="101"/>
      <c r="R1395" s="101"/>
      <c r="S1395" s="110"/>
      <c r="T1395" s="102"/>
      <c r="U1395" s="101"/>
      <c r="V1395" s="103"/>
      <c r="W1395" s="101"/>
    </row>
    <row r="1396" spans="1:23" x14ac:dyDescent="0.25">
      <c r="A1396" s="98"/>
      <c r="H1396" s="101"/>
      <c r="I1396" s="101"/>
      <c r="J1396" s="101"/>
      <c r="K1396" s="101"/>
      <c r="L1396" s="101"/>
      <c r="M1396" s="101"/>
      <c r="N1396" s="101"/>
      <c r="O1396" s="101"/>
      <c r="P1396" s="101"/>
      <c r="Q1396" s="101"/>
      <c r="R1396" s="101"/>
      <c r="S1396" s="110"/>
      <c r="T1396" s="102"/>
      <c r="U1396" s="101"/>
      <c r="V1396" s="103"/>
      <c r="W1396" s="101"/>
    </row>
    <row r="1397" spans="1:23" x14ac:dyDescent="0.25">
      <c r="A1397" s="98"/>
      <c r="H1397" s="101"/>
      <c r="I1397" s="101"/>
      <c r="J1397" s="101"/>
      <c r="K1397" s="101"/>
      <c r="L1397" s="101"/>
      <c r="M1397" s="101"/>
      <c r="N1397" s="101"/>
      <c r="O1397" s="101"/>
      <c r="P1397" s="101"/>
      <c r="Q1397" s="101"/>
      <c r="R1397" s="101"/>
      <c r="S1397" s="110"/>
      <c r="T1397" s="102"/>
      <c r="U1397" s="101"/>
      <c r="V1397" s="103"/>
      <c r="W1397" s="101"/>
    </row>
    <row r="1398" spans="1:23" x14ac:dyDescent="0.25">
      <c r="A1398" s="98"/>
      <c r="H1398" s="101"/>
      <c r="I1398" s="101"/>
      <c r="J1398" s="101"/>
      <c r="K1398" s="101"/>
      <c r="L1398" s="101"/>
      <c r="M1398" s="101"/>
      <c r="N1398" s="101"/>
      <c r="O1398" s="101"/>
      <c r="P1398" s="101"/>
      <c r="Q1398" s="101"/>
      <c r="R1398" s="101"/>
      <c r="S1398" s="110"/>
      <c r="T1398" s="102"/>
      <c r="U1398" s="101"/>
      <c r="V1398" s="103"/>
      <c r="W1398" s="101"/>
    </row>
    <row r="1399" spans="1:23" x14ac:dyDescent="0.25">
      <c r="A1399" s="98"/>
      <c r="H1399" s="101"/>
      <c r="I1399" s="101"/>
      <c r="J1399" s="101"/>
      <c r="K1399" s="101"/>
      <c r="L1399" s="101"/>
      <c r="M1399" s="101"/>
      <c r="N1399" s="101"/>
      <c r="O1399" s="101"/>
      <c r="P1399" s="101"/>
      <c r="Q1399" s="101"/>
      <c r="R1399" s="101"/>
      <c r="S1399" s="110"/>
      <c r="T1399" s="102"/>
      <c r="U1399" s="101"/>
      <c r="V1399" s="103"/>
      <c r="W1399" s="101"/>
    </row>
    <row r="1400" spans="1:23" x14ac:dyDescent="0.25">
      <c r="A1400" s="98"/>
      <c r="H1400" s="101"/>
      <c r="I1400" s="101"/>
      <c r="J1400" s="101"/>
      <c r="K1400" s="101"/>
      <c r="L1400" s="101"/>
      <c r="M1400" s="101"/>
      <c r="N1400" s="101"/>
      <c r="O1400" s="101"/>
      <c r="P1400" s="101"/>
      <c r="Q1400" s="101"/>
      <c r="R1400" s="101"/>
      <c r="S1400" s="110"/>
      <c r="T1400" s="102"/>
      <c r="U1400" s="101"/>
      <c r="V1400" s="103"/>
      <c r="W1400" s="101"/>
    </row>
    <row r="1401" spans="1:23" x14ac:dyDescent="0.25">
      <c r="A1401" s="98"/>
      <c r="H1401" s="101"/>
      <c r="I1401" s="101"/>
      <c r="J1401" s="101"/>
      <c r="K1401" s="101"/>
      <c r="L1401" s="101"/>
      <c r="M1401" s="101"/>
      <c r="N1401" s="101"/>
      <c r="O1401" s="101"/>
      <c r="P1401" s="101"/>
      <c r="Q1401" s="101"/>
      <c r="R1401" s="101"/>
      <c r="S1401" s="110"/>
      <c r="T1401" s="102"/>
      <c r="U1401" s="101"/>
      <c r="V1401" s="103"/>
      <c r="W1401" s="101"/>
    </row>
    <row r="1402" spans="1:23" x14ac:dyDescent="0.25">
      <c r="A1402" s="98"/>
      <c r="H1402" s="101"/>
      <c r="I1402" s="101"/>
      <c r="J1402" s="101"/>
      <c r="K1402" s="101"/>
      <c r="L1402" s="101"/>
      <c r="M1402" s="101"/>
      <c r="N1402" s="101"/>
      <c r="O1402" s="101"/>
      <c r="P1402" s="101"/>
      <c r="Q1402" s="101"/>
      <c r="R1402" s="101"/>
      <c r="S1402" s="110"/>
      <c r="T1402" s="102"/>
      <c r="U1402" s="101"/>
      <c r="V1402" s="103"/>
      <c r="W1402" s="101"/>
    </row>
    <row r="1403" spans="1:23" x14ac:dyDescent="0.25">
      <c r="A1403" s="98"/>
      <c r="H1403" s="101"/>
      <c r="I1403" s="101"/>
      <c r="J1403" s="101"/>
      <c r="K1403" s="101"/>
      <c r="L1403" s="101"/>
      <c r="M1403" s="101"/>
      <c r="N1403" s="101"/>
      <c r="O1403" s="101"/>
      <c r="P1403" s="101"/>
      <c r="Q1403" s="101"/>
      <c r="R1403" s="101"/>
      <c r="S1403" s="110"/>
      <c r="T1403" s="102"/>
      <c r="U1403" s="101"/>
      <c r="V1403" s="103"/>
      <c r="W1403" s="101"/>
    </row>
    <row r="1404" spans="1:23" x14ac:dyDescent="0.25">
      <c r="A1404" s="98"/>
      <c r="H1404" s="101"/>
      <c r="I1404" s="101"/>
      <c r="J1404" s="101"/>
      <c r="K1404" s="101"/>
      <c r="L1404" s="101"/>
      <c r="M1404" s="101"/>
      <c r="N1404" s="101"/>
      <c r="O1404" s="101"/>
      <c r="P1404" s="101"/>
      <c r="Q1404" s="101"/>
      <c r="R1404" s="101"/>
      <c r="S1404" s="110"/>
      <c r="T1404" s="102"/>
      <c r="U1404" s="101"/>
      <c r="V1404" s="103"/>
      <c r="W1404" s="101"/>
    </row>
    <row r="1405" spans="1:23" x14ac:dyDescent="0.25">
      <c r="A1405" s="98"/>
      <c r="H1405" s="101"/>
      <c r="I1405" s="101"/>
      <c r="J1405" s="101"/>
      <c r="K1405" s="101"/>
      <c r="L1405" s="101"/>
      <c r="M1405" s="101"/>
      <c r="N1405" s="101"/>
      <c r="O1405" s="101"/>
      <c r="P1405" s="101"/>
      <c r="Q1405" s="101"/>
      <c r="R1405" s="101"/>
      <c r="S1405" s="110"/>
      <c r="T1405" s="102"/>
      <c r="U1405" s="101"/>
      <c r="V1405" s="103"/>
      <c r="W1405" s="101"/>
    </row>
    <row r="1406" spans="1:23" x14ac:dyDescent="0.25">
      <c r="A1406" s="98"/>
      <c r="H1406" s="101"/>
      <c r="I1406" s="101"/>
      <c r="J1406" s="101"/>
      <c r="K1406" s="101"/>
      <c r="L1406" s="101"/>
      <c r="M1406" s="101"/>
      <c r="N1406" s="101"/>
      <c r="O1406" s="101"/>
      <c r="P1406" s="101"/>
      <c r="Q1406" s="101"/>
      <c r="R1406" s="101"/>
      <c r="S1406" s="110"/>
      <c r="T1406" s="102"/>
      <c r="U1406" s="101"/>
      <c r="V1406" s="103"/>
      <c r="W1406" s="101"/>
    </row>
    <row r="1407" spans="1:23" x14ac:dyDescent="0.25">
      <c r="A1407" s="98"/>
      <c r="H1407" s="101"/>
      <c r="I1407" s="101"/>
      <c r="J1407" s="101"/>
      <c r="K1407" s="101"/>
      <c r="L1407" s="101"/>
      <c r="M1407" s="101"/>
      <c r="N1407" s="101"/>
      <c r="O1407" s="101"/>
      <c r="P1407" s="101"/>
      <c r="Q1407" s="101"/>
      <c r="R1407" s="101"/>
      <c r="S1407" s="110"/>
      <c r="T1407" s="102"/>
      <c r="U1407" s="101"/>
      <c r="V1407" s="103"/>
      <c r="W1407" s="101"/>
    </row>
    <row r="1408" spans="1:23" x14ac:dyDescent="0.25">
      <c r="A1408" s="98"/>
      <c r="H1408" s="101"/>
      <c r="I1408" s="101"/>
      <c r="J1408" s="101"/>
      <c r="K1408" s="101"/>
      <c r="L1408" s="101"/>
      <c r="M1408" s="101"/>
      <c r="N1408" s="101"/>
      <c r="O1408" s="101"/>
      <c r="P1408" s="101"/>
      <c r="Q1408" s="101"/>
      <c r="R1408" s="101"/>
      <c r="S1408" s="110"/>
      <c r="T1408" s="102"/>
      <c r="U1408" s="101"/>
      <c r="V1408" s="103"/>
      <c r="W1408" s="101"/>
    </row>
    <row r="1409" spans="1:23" x14ac:dyDescent="0.25">
      <c r="A1409" s="98"/>
      <c r="H1409" s="101"/>
      <c r="I1409" s="101"/>
      <c r="J1409" s="101"/>
      <c r="K1409" s="101"/>
      <c r="L1409" s="101"/>
      <c r="M1409" s="101"/>
      <c r="N1409" s="101"/>
      <c r="O1409" s="101"/>
      <c r="P1409" s="101"/>
      <c r="Q1409" s="101"/>
      <c r="R1409" s="101"/>
      <c r="S1409" s="110"/>
      <c r="T1409" s="102"/>
      <c r="U1409" s="101"/>
      <c r="V1409" s="103"/>
      <c r="W1409" s="101"/>
    </row>
    <row r="1410" spans="1:23" x14ac:dyDescent="0.25">
      <c r="A1410" s="98"/>
      <c r="H1410" s="101"/>
      <c r="I1410" s="101"/>
      <c r="J1410" s="101"/>
      <c r="K1410" s="101"/>
      <c r="L1410" s="101"/>
      <c r="M1410" s="101"/>
      <c r="N1410" s="101"/>
      <c r="O1410" s="101"/>
      <c r="P1410" s="101"/>
      <c r="Q1410" s="101"/>
      <c r="R1410" s="101"/>
      <c r="S1410" s="110"/>
      <c r="T1410" s="102"/>
      <c r="U1410" s="101"/>
      <c r="V1410" s="103"/>
      <c r="W1410" s="101"/>
    </row>
    <row r="1411" spans="1:23" x14ac:dyDescent="0.25">
      <c r="A1411" s="98"/>
      <c r="H1411" s="101"/>
      <c r="I1411" s="101"/>
      <c r="J1411" s="101"/>
      <c r="K1411" s="101"/>
      <c r="L1411" s="101"/>
      <c r="M1411" s="101"/>
      <c r="N1411" s="101"/>
      <c r="O1411" s="101"/>
      <c r="P1411" s="101"/>
      <c r="Q1411" s="101"/>
      <c r="R1411" s="101"/>
      <c r="S1411" s="110"/>
      <c r="T1411" s="102"/>
      <c r="U1411" s="101"/>
      <c r="V1411" s="103"/>
      <c r="W1411" s="101"/>
    </row>
    <row r="1412" spans="1:23" x14ac:dyDescent="0.25">
      <c r="A1412" s="98"/>
      <c r="H1412" s="101"/>
      <c r="I1412" s="101"/>
      <c r="J1412" s="101"/>
      <c r="K1412" s="101"/>
      <c r="L1412" s="101"/>
      <c r="M1412" s="101"/>
      <c r="N1412" s="101"/>
      <c r="O1412" s="101"/>
      <c r="P1412" s="101"/>
      <c r="Q1412" s="101"/>
      <c r="R1412" s="101"/>
      <c r="S1412" s="110"/>
      <c r="T1412" s="102"/>
      <c r="U1412" s="101"/>
      <c r="V1412" s="103"/>
      <c r="W1412" s="101"/>
    </row>
    <row r="1413" spans="1:23" x14ac:dyDescent="0.25">
      <c r="A1413" s="98"/>
      <c r="H1413" s="101"/>
      <c r="I1413" s="101"/>
      <c r="J1413" s="101"/>
      <c r="K1413" s="101"/>
      <c r="L1413" s="101"/>
      <c r="M1413" s="101"/>
      <c r="N1413" s="101"/>
      <c r="O1413" s="101"/>
      <c r="P1413" s="101"/>
      <c r="Q1413" s="101"/>
      <c r="R1413" s="101"/>
      <c r="S1413" s="110"/>
      <c r="T1413" s="102"/>
      <c r="U1413" s="101"/>
      <c r="V1413" s="103"/>
      <c r="W1413" s="101"/>
    </row>
    <row r="1414" spans="1:23" x14ac:dyDescent="0.25">
      <c r="A1414" s="98"/>
      <c r="H1414" s="101"/>
      <c r="I1414" s="101"/>
      <c r="J1414" s="101"/>
      <c r="K1414" s="101"/>
      <c r="L1414" s="101"/>
      <c r="M1414" s="101"/>
      <c r="N1414" s="101"/>
      <c r="O1414" s="101"/>
      <c r="P1414" s="101"/>
      <c r="Q1414" s="101"/>
      <c r="R1414" s="101"/>
      <c r="S1414" s="110"/>
      <c r="T1414" s="102"/>
      <c r="U1414" s="101"/>
      <c r="V1414" s="103"/>
      <c r="W1414" s="101"/>
    </row>
    <row r="1415" spans="1:23" x14ac:dyDescent="0.25">
      <c r="A1415" s="98"/>
      <c r="H1415" s="101"/>
      <c r="I1415" s="101"/>
      <c r="J1415" s="101"/>
      <c r="K1415" s="101"/>
      <c r="L1415" s="101"/>
      <c r="M1415" s="101"/>
      <c r="N1415" s="101"/>
      <c r="O1415" s="101"/>
      <c r="P1415" s="101"/>
      <c r="Q1415" s="101"/>
      <c r="R1415" s="101"/>
      <c r="S1415" s="110"/>
      <c r="T1415" s="102"/>
      <c r="U1415" s="101"/>
      <c r="V1415" s="103"/>
      <c r="W1415" s="101"/>
    </row>
    <row r="1416" spans="1:23" x14ac:dyDescent="0.25">
      <c r="A1416" s="98"/>
      <c r="H1416" s="101"/>
      <c r="I1416" s="101"/>
      <c r="J1416" s="101"/>
      <c r="K1416" s="101"/>
      <c r="L1416" s="101"/>
      <c r="M1416" s="101"/>
      <c r="N1416" s="101"/>
      <c r="O1416" s="101"/>
      <c r="P1416" s="101"/>
      <c r="Q1416" s="101"/>
      <c r="R1416" s="101"/>
      <c r="S1416" s="110"/>
      <c r="T1416" s="102"/>
      <c r="U1416" s="101"/>
      <c r="V1416" s="103"/>
      <c r="W1416" s="101"/>
    </row>
    <row r="1417" spans="1:23" x14ac:dyDescent="0.25">
      <c r="A1417" s="98"/>
      <c r="H1417" s="101"/>
      <c r="I1417" s="101"/>
      <c r="J1417" s="101"/>
      <c r="K1417" s="101"/>
      <c r="L1417" s="101"/>
      <c r="M1417" s="101"/>
      <c r="N1417" s="101"/>
      <c r="O1417" s="101"/>
      <c r="P1417" s="101"/>
      <c r="Q1417" s="101"/>
      <c r="R1417" s="101"/>
      <c r="S1417" s="110"/>
      <c r="T1417" s="102"/>
      <c r="U1417" s="101"/>
      <c r="V1417" s="103"/>
      <c r="W1417" s="101"/>
    </row>
    <row r="1418" spans="1:23" x14ac:dyDescent="0.25">
      <c r="A1418" s="98"/>
      <c r="H1418" s="101"/>
      <c r="I1418" s="101"/>
      <c r="J1418" s="101"/>
      <c r="K1418" s="101"/>
      <c r="L1418" s="101"/>
      <c r="M1418" s="101"/>
      <c r="N1418" s="101"/>
      <c r="O1418" s="101"/>
      <c r="P1418" s="101"/>
      <c r="Q1418" s="101"/>
      <c r="R1418" s="101"/>
      <c r="S1418" s="110"/>
      <c r="T1418" s="102"/>
      <c r="U1418" s="101"/>
      <c r="V1418" s="103"/>
      <c r="W1418" s="101"/>
    </row>
    <row r="1419" spans="1:23" x14ac:dyDescent="0.25">
      <c r="A1419" s="98"/>
      <c r="H1419" s="101"/>
      <c r="I1419" s="101"/>
      <c r="J1419" s="101"/>
      <c r="K1419" s="101"/>
      <c r="L1419" s="101"/>
      <c r="M1419" s="101"/>
      <c r="N1419" s="101"/>
      <c r="O1419" s="101"/>
      <c r="P1419" s="101"/>
      <c r="Q1419" s="101"/>
      <c r="R1419" s="101"/>
      <c r="S1419" s="110"/>
      <c r="T1419" s="102"/>
      <c r="U1419" s="101"/>
      <c r="V1419" s="103"/>
      <c r="W1419" s="101"/>
    </row>
    <row r="1420" spans="1:23" x14ac:dyDescent="0.25">
      <c r="A1420" s="98"/>
      <c r="H1420" s="101"/>
      <c r="I1420" s="101"/>
      <c r="J1420" s="101"/>
      <c r="K1420" s="101"/>
      <c r="L1420" s="101"/>
      <c r="M1420" s="101"/>
      <c r="N1420" s="101"/>
      <c r="O1420" s="101"/>
      <c r="P1420" s="101"/>
      <c r="Q1420" s="101"/>
      <c r="R1420" s="101"/>
      <c r="S1420" s="110"/>
      <c r="T1420" s="102"/>
      <c r="U1420" s="101"/>
      <c r="V1420" s="103"/>
      <c r="W1420" s="101"/>
    </row>
    <row r="1421" spans="1:23" x14ac:dyDescent="0.25">
      <c r="A1421" s="98"/>
      <c r="H1421" s="101"/>
      <c r="I1421" s="101"/>
      <c r="J1421" s="101"/>
      <c r="K1421" s="101"/>
      <c r="L1421" s="101"/>
      <c r="M1421" s="101"/>
      <c r="N1421" s="101"/>
      <c r="O1421" s="101"/>
      <c r="P1421" s="101"/>
      <c r="Q1421" s="101"/>
      <c r="R1421" s="101"/>
      <c r="S1421" s="110"/>
      <c r="T1421" s="102"/>
      <c r="U1421" s="101"/>
      <c r="V1421" s="103"/>
      <c r="W1421" s="101"/>
    </row>
    <row r="1422" spans="1:23" x14ac:dyDescent="0.25">
      <c r="A1422" s="98"/>
      <c r="H1422" s="101"/>
      <c r="I1422" s="101"/>
      <c r="J1422" s="101"/>
      <c r="K1422" s="101"/>
      <c r="L1422" s="101"/>
      <c r="M1422" s="101"/>
      <c r="N1422" s="101"/>
      <c r="O1422" s="101"/>
      <c r="P1422" s="101"/>
      <c r="Q1422" s="101"/>
      <c r="R1422" s="101"/>
      <c r="S1422" s="110"/>
      <c r="T1422" s="102"/>
      <c r="U1422" s="101"/>
      <c r="V1422" s="103"/>
      <c r="W1422" s="101"/>
    </row>
    <row r="1423" spans="1:23" x14ac:dyDescent="0.25">
      <c r="A1423" s="98"/>
      <c r="H1423" s="101"/>
      <c r="I1423" s="101"/>
      <c r="J1423" s="101"/>
      <c r="K1423" s="101"/>
      <c r="L1423" s="101"/>
      <c r="M1423" s="101"/>
      <c r="N1423" s="101"/>
      <c r="O1423" s="101"/>
      <c r="P1423" s="101"/>
      <c r="Q1423" s="101"/>
      <c r="R1423" s="101"/>
      <c r="S1423" s="110"/>
      <c r="T1423" s="102"/>
      <c r="U1423" s="101"/>
      <c r="V1423" s="103"/>
      <c r="W1423" s="101"/>
    </row>
    <row r="1424" spans="1:23" x14ac:dyDescent="0.25">
      <c r="A1424" s="98"/>
      <c r="H1424" s="101"/>
      <c r="I1424" s="101"/>
      <c r="J1424" s="101"/>
      <c r="K1424" s="101"/>
      <c r="L1424" s="101"/>
      <c r="M1424" s="101"/>
      <c r="N1424" s="101"/>
      <c r="O1424" s="101"/>
      <c r="P1424" s="101"/>
      <c r="Q1424" s="101"/>
      <c r="R1424" s="101"/>
      <c r="S1424" s="110"/>
      <c r="T1424" s="102"/>
      <c r="U1424" s="101"/>
      <c r="V1424" s="103"/>
      <c r="W1424" s="101"/>
    </row>
    <row r="1425" spans="1:23" x14ac:dyDescent="0.25">
      <c r="A1425" s="98"/>
      <c r="H1425" s="101"/>
      <c r="I1425" s="101"/>
      <c r="J1425" s="101"/>
      <c r="K1425" s="101"/>
      <c r="L1425" s="101"/>
      <c r="M1425" s="101"/>
      <c r="N1425" s="101"/>
      <c r="O1425" s="101"/>
      <c r="P1425" s="101"/>
      <c r="Q1425" s="101"/>
      <c r="R1425" s="101"/>
      <c r="S1425" s="110"/>
      <c r="T1425" s="102"/>
      <c r="U1425" s="101"/>
      <c r="V1425" s="103"/>
      <c r="W1425" s="101"/>
    </row>
    <row r="1426" spans="1:23" x14ac:dyDescent="0.25">
      <c r="A1426" s="98"/>
      <c r="H1426" s="101"/>
      <c r="I1426" s="101"/>
      <c r="J1426" s="101"/>
      <c r="K1426" s="101"/>
      <c r="L1426" s="101"/>
      <c r="M1426" s="101"/>
      <c r="N1426" s="101"/>
      <c r="O1426" s="101"/>
      <c r="P1426" s="101"/>
      <c r="Q1426" s="101"/>
      <c r="R1426" s="101"/>
      <c r="S1426" s="110"/>
      <c r="T1426" s="102"/>
      <c r="U1426" s="101"/>
      <c r="V1426" s="103"/>
      <c r="W1426" s="101"/>
    </row>
    <row r="1427" spans="1:23" x14ac:dyDescent="0.25">
      <c r="A1427" s="98"/>
      <c r="H1427" s="101"/>
      <c r="I1427" s="101"/>
      <c r="J1427" s="101"/>
      <c r="K1427" s="101"/>
      <c r="L1427" s="101"/>
      <c r="M1427" s="101"/>
      <c r="N1427" s="101"/>
      <c r="O1427" s="101"/>
      <c r="P1427" s="101"/>
      <c r="Q1427" s="101"/>
      <c r="R1427" s="101"/>
      <c r="S1427" s="110"/>
      <c r="T1427" s="102"/>
      <c r="U1427" s="101"/>
      <c r="V1427" s="103"/>
      <c r="W1427" s="101"/>
    </row>
    <row r="1428" spans="1:23" x14ac:dyDescent="0.25">
      <c r="A1428" s="98"/>
      <c r="H1428" s="101"/>
      <c r="I1428" s="101"/>
      <c r="J1428" s="101"/>
      <c r="K1428" s="101"/>
      <c r="L1428" s="101"/>
      <c r="M1428" s="101"/>
      <c r="N1428" s="101"/>
      <c r="O1428" s="101"/>
      <c r="P1428" s="101"/>
      <c r="Q1428" s="101"/>
      <c r="R1428" s="101"/>
      <c r="S1428" s="110"/>
      <c r="T1428" s="102"/>
      <c r="U1428" s="101"/>
      <c r="V1428" s="103"/>
      <c r="W1428" s="101"/>
    </row>
    <row r="1429" spans="1:23" x14ac:dyDescent="0.25">
      <c r="A1429" s="98"/>
      <c r="H1429" s="101"/>
      <c r="I1429" s="101"/>
      <c r="J1429" s="101"/>
      <c r="K1429" s="101"/>
      <c r="L1429" s="101"/>
      <c r="M1429" s="101"/>
      <c r="N1429" s="101"/>
      <c r="O1429" s="101"/>
      <c r="P1429" s="101"/>
      <c r="Q1429" s="101"/>
      <c r="R1429" s="101"/>
      <c r="S1429" s="110"/>
      <c r="T1429" s="102"/>
      <c r="U1429" s="101"/>
      <c r="V1429" s="103"/>
      <c r="W1429" s="101"/>
    </row>
    <row r="1430" spans="1:23" x14ac:dyDescent="0.25">
      <c r="A1430" s="98"/>
      <c r="H1430" s="101"/>
      <c r="I1430" s="101"/>
      <c r="J1430" s="101"/>
      <c r="K1430" s="101"/>
      <c r="L1430" s="101"/>
      <c r="M1430" s="101"/>
      <c r="N1430" s="101"/>
      <c r="O1430" s="101"/>
      <c r="P1430" s="101"/>
      <c r="Q1430" s="101"/>
      <c r="R1430" s="101"/>
      <c r="S1430" s="110"/>
      <c r="T1430" s="102"/>
      <c r="U1430" s="101"/>
      <c r="V1430" s="103"/>
      <c r="W1430" s="101"/>
    </row>
    <row r="1431" spans="1:23" x14ac:dyDescent="0.25">
      <c r="A1431" s="98"/>
      <c r="H1431" s="101"/>
      <c r="I1431" s="101"/>
      <c r="J1431" s="101"/>
      <c r="K1431" s="101"/>
      <c r="L1431" s="101"/>
      <c r="M1431" s="101"/>
      <c r="N1431" s="101"/>
      <c r="O1431" s="101"/>
      <c r="P1431" s="101"/>
      <c r="Q1431" s="101"/>
      <c r="R1431" s="101"/>
      <c r="S1431" s="110"/>
      <c r="T1431" s="102"/>
      <c r="U1431" s="101"/>
      <c r="V1431" s="103"/>
      <c r="W1431" s="101"/>
    </row>
    <row r="1432" spans="1:23" x14ac:dyDescent="0.25">
      <c r="A1432" s="98"/>
      <c r="H1432" s="101"/>
      <c r="I1432" s="101"/>
      <c r="J1432" s="101"/>
      <c r="K1432" s="101"/>
      <c r="L1432" s="101"/>
      <c r="M1432" s="101"/>
      <c r="N1432" s="101"/>
      <c r="O1432" s="101"/>
      <c r="P1432" s="101"/>
      <c r="Q1432" s="101"/>
      <c r="R1432" s="101"/>
      <c r="S1432" s="110"/>
      <c r="T1432" s="102"/>
      <c r="U1432" s="101"/>
      <c r="V1432" s="103"/>
      <c r="W1432" s="101"/>
    </row>
    <row r="1433" spans="1:23" x14ac:dyDescent="0.25">
      <c r="A1433" s="98"/>
      <c r="H1433" s="101"/>
      <c r="I1433" s="101"/>
      <c r="J1433" s="101"/>
      <c r="K1433" s="101"/>
      <c r="L1433" s="101"/>
      <c r="M1433" s="101"/>
      <c r="N1433" s="101"/>
      <c r="O1433" s="101"/>
      <c r="P1433" s="101"/>
      <c r="Q1433" s="101"/>
      <c r="R1433" s="101"/>
      <c r="S1433" s="110"/>
      <c r="T1433" s="102"/>
      <c r="U1433" s="101"/>
      <c r="V1433" s="103"/>
      <c r="W1433" s="101"/>
    </row>
    <row r="1434" spans="1:23" x14ac:dyDescent="0.25">
      <c r="A1434" s="98"/>
      <c r="H1434" s="101"/>
      <c r="I1434" s="101"/>
      <c r="J1434" s="101"/>
      <c r="K1434" s="101"/>
      <c r="L1434" s="101"/>
      <c r="M1434" s="101"/>
      <c r="N1434" s="101"/>
      <c r="O1434" s="101"/>
      <c r="P1434" s="101"/>
      <c r="Q1434" s="101"/>
      <c r="R1434" s="101"/>
      <c r="S1434" s="110"/>
      <c r="T1434" s="102"/>
      <c r="U1434" s="101"/>
      <c r="V1434" s="103"/>
      <c r="W1434" s="101"/>
    </row>
    <row r="1435" spans="1:23" x14ac:dyDescent="0.25">
      <c r="A1435" s="98"/>
      <c r="H1435" s="101"/>
      <c r="I1435" s="101"/>
      <c r="J1435" s="101"/>
      <c r="K1435" s="101"/>
      <c r="L1435" s="101"/>
      <c r="M1435" s="101"/>
      <c r="N1435" s="101"/>
      <c r="O1435" s="101"/>
      <c r="P1435" s="101"/>
      <c r="Q1435" s="101"/>
      <c r="R1435" s="101"/>
      <c r="S1435" s="110"/>
      <c r="T1435" s="102"/>
      <c r="U1435" s="101"/>
      <c r="V1435" s="103"/>
      <c r="W1435" s="101"/>
    </row>
    <row r="1436" spans="1:23" x14ac:dyDescent="0.25">
      <c r="A1436" s="98"/>
      <c r="H1436" s="101"/>
      <c r="I1436" s="101"/>
      <c r="J1436" s="101"/>
      <c r="K1436" s="101"/>
      <c r="L1436" s="101"/>
      <c r="M1436" s="101"/>
      <c r="N1436" s="101"/>
      <c r="O1436" s="101"/>
      <c r="P1436" s="101"/>
      <c r="Q1436" s="101"/>
      <c r="R1436" s="101"/>
      <c r="S1436" s="110"/>
      <c r="T1436" s="102"/>
      <c r="U1436" s="101"/>
      <c r="V1436" s="103"/>
      <c r="W1436" s="101"/>
    </row>
    <row r="1437" spans="1:23" x14ac:dyDescent="0.25">
      <c r="A1437" s="98"/>
      <c r="H1437" s="101"/>
      <c r="I1437" s="101"/>
      <c r="J1437" s="101"/>
      <c r="K1437" s="101"/>
      <c r="L1437" s="101"/>
      <c r="M1437" s="101"/>
      <c r="N1437" s="101"/>
      <c r="O1437" s="101"/>
      <c r="P1437" s="101"/>
      <c r="Q1437" s="101"/>
      <c r="R1437" s="101"/>
      <c r="S1437" s="110"/>
      <c r="T1437" s="102"/>
      <c r="U1437" s="101"/>
      <c r="V1437" s="103"/>
      <c r="W1437" s="101"/>
    </row>
    <row r="1438" spans="1:23" x14ac:dyDescent="0.25">
      <c r="A1438" s="98"/>
      <c r="H1438" s="101"/>
      <c r="I1438" s="101"/>
      <c r="J1438" s="101"/>
      <c r="K1438" s="101"/>
      <c r="L1438" s="101"/>
      <c r="M1438" s="101"/>
      <c r="N1438" s="101"/>
      <c r="O1438" s="101"/>
      <c r="P1438" s="101"/>
      <c r="Q1438" s="101"/>
      <c r="R1438" s="101"/>
      <c r="S1438" s="110"/>
      <c r="T1438" s="102"/>
      <c r="U1438" s="101"/>
      <c r="V1438" s="103"/>
      <c r="W1438" s="101"/>
    </row>
    <row r="1439" spans="1:23" x14ac:dyDescent="0.25">
      <c r="A1439" s="98"/>
      <c r="H1439" s="101"/>
      <c r="I1439" s="101"/>
      <c r="J1439" s="101"/>
      <c r="K1439" s="101"/>
      <c r="L1439" s="101"/>
      <c r="M1439" s="101"/>
      <c r="N1439" s="101"/>
      <c r="O1439" s="101"/>
      <c r="P1439" s="101"/>
      <c r="Q1439" s="101"/>
      <c r="R1439" s="101"/>
      <c r="S1439" s="110"/>
      <c r="T1439" s="102"/>
      <c r="U1439" s="101"/>
      <c r="V1439" s="103"/>
      <c r="W1439" s="101"/>
    </row>
    <row r="1440" spans="1:23" x14ac:dyDescent="0.25">
      <c r="A1440" s="98"/>
      <c r="H1440" s="101"/>
      <c r="I1440" s="101"/>
      <c r="J1440" s="101"/>
      <c r="K1440" s="101"/>
      <c r="L1440" s="101"/>
      <c r="M1440" s="101"/>
      <c r="N1440" s="101"/>
      <c r="O1440" s="101"/>
      <c r="P1440" s="101"/>
      <c r="Q1440" s="101"/>
      <c r="R1440" s="101"/>
      <c r="S1440" s="110"/>
      <c r="T1440" s="102"/>
      <c r="U1440" s="101"/>
      <c r="V1440" s="103"/>
      <c r="W1440" s="101"/>
    </row>
    <row r="1441" spans="1:23" x14ac:dyDescent="0.25">
      <c r="A1441" s="98"/>
      <c r="H1441" s="101"/>
      <c r="I1441" s="101"/>
      <c r="J1441" s="101"/>
      <c r="K1441" s="101"/>
      <c r="L1441" s="101"/>
      <c r="M1441" s="101"/>
      <c r="N1441" s="101"/>
      <c r="O1441" s="101"/>
      <c r="P1441" s="101"/>
      <c r="Q1441" s="101"/>
      <c r="R1441" s="101"/>
      <c r="S1441" s="110"/>
      <c r="T1441" s="102"/>
      <c r="U1441" s="101"/>
      <c r="V1441" s="103"/>
      <c r="W1441" s="101"/>
    </row>
    <row r="1442" spans="1:23" x14ac:dyDescent="0.25">
      <c r="A1442" s="98"/>
      <c r="H1442" s="101"/>
      <c r="I1442" s="101"/>
      <c r="J1442" s="101"/>
      <c r="K1442" s="101"/>
      <c r="L1442" s="101"/>
      <c r="M1442" s="101"/>
      <c r="N1442" s="101"/>
      <c r="O1442" s="101"/>
      <c r="P1442" s="101"/>
      <c r="Q1442" s="101"/>
      <c r="R1442" s="101"/>
      <c r="S1442" s="110"/>
      <c r="T1442" s="102"/>
      <c r="U1442" s="101"/>
      <c r="V1442" s="103"/>
      <c r="W1442" s="101"/>
    </row>
    <row r="1443" spans="1:23" x14ac:dyDescent="0.25">
      <c r="A1443" s="98"/>
      <c r="H1443" s="101"/>
      <c r="I1443" s="101"/>
      <c r="J1443" s="101"/>
      <c r="K1443" s="101"/>
      <c r="L1443" s="101"/>
      <c r="M1443" s="101"/>
      <c r="N1443" s="101"/>
      <c r="O1443" s="101"/>
      <c r="P1443" s="101"/>
      <c r="Q1443" s="101"/>
      <c r="R1443" s="101"/>
      <c r="S1443" s="110"/>
      <c r="T1443" s="102"/>
      <c r="U1443" s="101"/>
      <c r="V1443" s="103"/>
      <c r="W1443" s="101"/>
    </row>
    <row r="1444" spans="1:23" x14ac:dyDescent="0.25">
      <c r="A1444" s="98"/>
      <c r="H1444" s="101"/>
      <c r="I1444" s="101"/>
      <c r="J1444" s="101"/>
      <c r="K1444" s="101"/>
      <c r="L1444" s="101"/>
      <c r="M1444" s="101"/>
      <c r="N1444" s="101"/>
      <c r="O1444" s="101"/>
      <c r="P1444" s="101"/>
      <c r="Q1444" s="101"/>
      <c r="R1444" s="101"/>
      <c r="S1444" s="110"/>
      <c r="T1444" s="102"/>
      <c r="U1444" s="101"/>
      <c r="V1444" s="103"/>
      <c r="W1444" s="101"/>
    </row>
    <row r="1445" spans="1:23" x14ac:dyDescent="0.25">
      <c r="A1445" s="98"/>
      <c r="H1445" s="101"/>
      <c r="I1445" s="101"/>
      <c r="J1445" s="101"/>
      <c r="K1445" s="101"/>
      <c r="L1445" s="101"/>
      <c r="M1445" s="101"/>
      <c r="N1445" s="101"/>
      <c r="O1445" s="101"/>
      <c r="P1445" s="101"/>
      <c r="Q1445" s="101"/>
      <c r="R1445" s="101"/>
      <c r="S1445" s="110"/>
      <c r="T1445" s="102"/>
      <c r="U1445" s="101"/>
      <c r="V1445" s="103"/>
      <c r="W1445" s="101"/>
    </row>
    <row r="1446" spans="1:23" x14ac:dyDescent="0.25">
      <c r="A1446" s="98"/>
      <c r="H1446" s="101"/>
      <c r="I1446" s="101"/>
      <c r="J1446" s="101"/>
      <c r="K1446" s="101"/>
      <c r="L1446" s="101"/>
      <c r="M1446" s="101"/>
      <c r="N1446" s="101"/>
      <c r="O1446" s="101"/>
      <c r="P1446" s="101"/>
      <c r="Q1446" s="101"/>
      <c r="R1446" s="101"/>
      <c r="S1446" s="110"/>
      <c r="T1446" s="102"/>
      <c r="U1446" s="101"/>
      <c r="V1446" s="103"/>
      <c r="W1446" s="101"/>
    </row>
    <row r="1447" spans="1:23" x14ac:dyDescent="0.25">
      <c r="A1447" s="98"/>
      <c r="H1447" s="101"/>
      <c r="I1447" s="101"/>
      <c r="J1447" s="101"/>
      <c r="K1447" s="101"/>
      <c r="L1447" s="101"/>
      <c r="M1447" s="101"/>
      <c r="N1447" s="101"/>
      <c r="O1447" s="101"/>
      <c r="P1447" s="101"/>
      <c r="Q1447" s="101"/>
      <c r="R1447" s="101"/>
      <c r="S1447" s="110"/>
      <c r="T1447" s="102"/>
      <c r="U1447" s="101"/>
      <c r="V1447" s="103"/>
      <c r="W1447" s="101"/>
    </row>
    <row r="1448" spans="1:23" x14ac:dyDescent="0.25">
      <c r="A1448" s="98"/>
      <c r="H1448" s="101"/>
      <c r="I1448" s="101"/>
      <c r="J1448" s="101"/>
      <c r="K1448" s="101"/>
      <c r="L1448" s="101"/>
      <c r="M1448" s="101"/>
      <c r="N1448" s="101"/>
      <c r="O1448" s="101"/>
      <c r="P1448" s="101"/>
      <c r="Q1448" s="101"/>
      <c r="R1448" s="101"/>
      <c r="S1448" s="110"/>
      <c r="T1448" s="102"/>
      <c r="U1448" s="101"/>
      <c r="V1448" s="103"/>
      <c r="W1448" s="101"/>
    </row>
    <row r="1449" spans="1:23" x14ac:dyDescent="0.25">
      <c r="A1449" s="98"/>
      <c r="H1449" s="101"/>
      <c r="I1449" s="101"/>
      <c r="J1449" s="101"/>
      <c r="K1449" s="101"/>
      <c r="L1449" s="101"/>
      <c r="M1449" s="101"/>
      <c r="N1449" s="101"/>
      <c r="O1449" s="101"/>
      <c r="P1449" s="101"/>
      <c r="Q1449" s="101"/>
      <c r="R1449" s="101"/>
      <c r="S1449" s="110"/>
      <c r="T1449" s="102"/>
      <c r="U1449" s="101"/>
      <c r="V1449" s="103"/>
      <c r="W1449" s="101"/>
    </row>
    <row r="1450" spans="1:23" x14ac:dyDescent="0.25">
      <c r="A1450" s="98"/>
      <c r="H1450" s="101"/>
      <c r="I1450" s="101"/>
      <c r="J1450" s="101"/>
      <c r="K1450" s="101"/>
      <c r="L1450" s="101"/>
      <c r="M1450" s="101"/>
      <c r="N1450" s="101"/>
      <c r="O1450" s="101"/>
      <c r="P1450" s="101"/>
      <c r="Q1450" s="101"/>
      <c r="R1450" s="101"/>
      <c r="S1450" s="110"/>
      <c r="T1450" s="102"/>
      <c r="U1450" s="101"/>
      <c r="V1450" s="103"/>
      <c r="W1450" s="101"/>
    </row>
    <row r="1451" spans="1:23" x14ac:dyDescent="0.25">
      <c r="A1451" s="98"/>
      <c r="H1451" s="101"/>
      <c r="I1451" s="101"/>
      <c r="J1451" s="101"/>
      <c r="K1451" s="101"/>
      <c r="L1451" s="101"/>
      <c r="M1451" s="101"/>
      <c r="N1451" s="101"/>
      <c r="O1451" s="101"/>
      <c r="P1451" s="101"/>
      <c r="Q1451" s="101"/>
      <c r="R1451" s="101"/>
      <c r="S1451" s="110"/>
      <c r="T1451" s="102"/>
      <c r="U1451" s="101"/>
      <c r="V1451" s="103"/>
      <c r="W1451" s="101"/>
    </row>
    <row r="1452" spans="1:23" x14ac:dyDescent="0.25">
      <c r="A1452" s="98"/>
      <c r="H1452" s="101"/>
      <c r="I1452" s="101"/>
      <c r="J1452" s="101"/>
      <c r="K1452" s="101"/>
      <c r="L1452" s="101"/>
      <c r="M1452" s="101"/>
      <c r="N1452" s="101"/>
      <c r="O1452" s="101"/>
      <c r="P1452" s="101"/>
      <c r="Q1452" s="101"/>
      <c r="R1452" s="101"/>
      <c r="S1452" s="110"/>
      <c r="T1452" s="102"/>
      <c r="U1452" s="101"/>
      <c r="V1452" s="103"/>
      <c r="W1452" s="101"/>
    </row>
    <row r="1453" spans="1:23" x14ac:dyDescent="0.25">
      <c r="A1453" s="98"/>
      <c r="H1453" s="101"/>
      <c r="I1453" s="101"/>
      <c r="J1453" s="101"/>
      <c r="K1453" s="101"/>
      <c r="L1453" s="101"/>
      <c r="M1453" s="101"/>
      <c r="N1453" s="101"/>
      <c r="O1453" s="101"/>
      <c r="P1453" s="101"/>
      <c r="Q1453" s="101"/>
      <c r="R1453" s="101"/>
      <c r="S1453" s="110"/>
      <c r="T1453" s="102"/>
      <c r="U1453" s="101"/>
      <c r="V1453" s="103"/>
      <c r="W1453" s="101"/>
    </row>
    <row r="1454" spans="1:23" x14ac:dyDescent="0.25">
      <c r="A1454" s="98"/>
      <c r="H1454" s="101"/>
      <c r="I1454" s="101"/>
      <c r="J1454" s="101"/>
      <c r="K1454" s="101"/>
      <c r="L1454" s="101"/>
      <c r="M1454" s="101"/>
      <c r="N1454" s="101"/>
      <c r="O1454" s="101"/>
      <c r="P1454" s="101"/>
      <c r="Q1454" s="101"/>
      <c r="R1454" s="101"/>
      <c r="S1454" s="110"/>
      <c r="T1454" s="102"/>
      <c r="U1454" s="101"/>
      <c r="V1454" s="103"/>
      <c r="W1454" s="101"/>
    </row>
    <row r="1455" spans="1:23" x14ac:dyDescent="0.25">
      <c r="A1455" s="98"/>
      <c r="H1455" s="101"/>
      <c r="I1455" s="101"/>
      <c r="J1455" s="101"/>
      <c r="K1455" s="101"/>
      <c r="L1455" s="101"/>
      <c r="M1455" s="101"/>
      <c r="N1455" s="101"/>
      <c r="O1455" s="101"/>
      <c r="P1455" s="101"/>
      <c r="Q1455" s="101"/>
      <c r="R1455" s="101"/>
      <c r="S1455" s="110"/>
      <c r="T1455" s="102"/>
      <c r="U1455" s="101"/>
      <c r="V1455" s="103"/>
      <c r="W1455" s="101"/>
    </row>
    <row r="1456" spans="1:23" x14ac:dyDescent="0.25">
      <c r="A1456" s="98"/>
      <c r="H1456" s="101"/>
      <c r="I1456" s="101"/>
      <c r="J1456" s="101"/>
      <c r="K1456" s="101"/>
      <c r="L1456" s="101"/>
      <c r="M1456" s="101"/>
      <c r="N1456" s="101"/>
      <c r="O1456" s="101"/>
      <c r="P1456" s="101"/>
      <c r="Q1456" s="101"/>
      <c r="R1456" s="101"/>
      <c r="S1456" s="110"/>
      <c r="T1456" s="102"/>
      <c r="U1456" s="101"/>
      <c r="V1456" s="103"/>
      <c r="W1456" s="101"/>
    </row>
    <row r="1457" spans="1:23" x14ac:dyDescent="0.25">
      <c r="A1457" s="98"/>
      <c r="H1457" s="101"/>
      <c r="I1457" s="101"/>
      <c r="J1457" s="101"/>
      <c r="K1457" s="101"/>
      <c r="L1457" s="101"/>
      <c r="M1457" s="101"/>
      <c r="N1457" s="101"/>
      <c r="O1457" s="101"/>
      <c r="P1457" s="101"/>
      <c r="Q1457" s="101"/>
      <c r="R1457" s="101"/>
      <c r="S1457" s="110"/>
      <c r="T1457" s="102"/>
      <c r="U1457" s="101"/>
      <c r="V1457" s="103"/>
      <c r="W1457" s="101"/>
    </row>
    <row r="1458" spans="1:23" x14ac:dyDescent="0.25">
      <c r="A1458" s="98"/>
      <c r="H1458" s="101"/>
      <c r="I1458" s="101"/>
      <c r="J1458" s="101"/>
      <c r="K1458" s="101"/>
      <c r="L1458" s="101"/>
      <c r="M1458" s="101"/>
      <c r="N1458" s="101"/>
      <c r="O1458" s="101"/>
      <c r="P1458" s="101"/>
      <c r="Q1458" s="101"/>
      <c r="R1458" s="101"/>
      <c r="S1458" s="110"/>
      <c r="T1458" s="102"/>
      <c r="U1458" s="101"/>
      <c r="V1458" s="103"/>
      <c r="W1458" s="101"/>
    </row>
    <row r="1459" spans="1:23" x14ac:dyDescent="0.25">
      <c r="A1459" s="98"/>
      <c r="H1459" s="101"/>
      <c r="I1459" s="101"/>
      <c r="J1459" s="101"/>
      <c r="K1459" s="101"/>
      <c r="L1459" s="101"/>
      <c r="M1459" s="101"/>
      <c r="N1459" s="101"/>
      <c r="O1459" s="101"/>
      <c r="P1459" s="101"/>
      <c r="Q1459" s="101"/>
      <c r="R1459" s="101"/>
      <c r="S1459" s="110"/>
      <c r="T1459" s="102"/>
      <c r="U1459" s="101"/>
      <c r="V1459" s="103"/>
      <c r="W1459" s="101"/>
    </row>
    <row r="1460" spans="1:23" x14ac:dyDescent="0.25">
      <c r="A1460" s="98"/>
      <c r="H1460" s="101"/>
      <c r="I1460" s="101"/>
      <c r="J1460" s="101"/>
      <c r="K1460" s="101"/>
      <c r="L1460" s="101"/>
      <c r="M1460" s="101"/>
      <c r="N1460" s="101"/>
      <c r="O1460" s="101"/>
      <c r="P1460" s="101"/>
      <c r="Q1460" s="101"/>
      <c r="R1460" s="101"/>
      <c r="S1460" s="110"/>
      <c r="T1460" s="102"/>
      <c r="U1460" s="101"/>
      <c r="V1460" s="103"/>
      <c r="W1460" s="101"/>
    </row>
    <row r="1461" spans="1:23" x14ac:dyDescent="0.25">
      <c r="A1461" s="98"/>
      <c r="H1461" s="101"/>
      <c r="I1461" s="101"/>
      <c r="J1461" s="101"/>
      <c r="K1461" s="101"/>
      <c r="L1461" s="101"/>
      <c r="M1461" s="101"/>
      <c r="N1461" s="101"/>
      <c r="O1461" s="101"/>
      <c r="P1461" s="101"/>
      <c r="Q1461" s="101"/>
      <c r="R1461" s="101"/>
      <c r="S1461" s="110"/>
      <c r="T1461" s="102"/>
      <c r="U1461" s="101"/>
      <c r="V1461" s="103"/>
      <c r="W1461" s="101"/>
    </row>
    <row r="1462" spans="1:23" x14ac:dyDescent="0.25">
      <c r="A1462" s="98"/>
      <c r="H1462" s="101"/>
      <c r="I1462" s="101"/>
      <c r="J1462" s="101"/>
      <c r="K1462" s="101"/>
      <c r="L1462" s="101"/>
      <c r="M1462" s="101"/>
      <c r="N1462" s="101"/>
      <c r="O1462" s="101"/>
      <c r="P1462" s="101"/>
      <c r="Q1462" s="101"/>
      <c r="R1462" s="101"/>
      <c r="S1462" s="110"/>
      <c r="T1462" s="102"/>
      <c r="U1462" s="101"/>
      <c r="V1462" s="103"/>
      <c r="W1462" s="101"/>
    </row>
    <row r="1463" spans="1:23" x14ac:dyDescent="0.25">
      <c r="A1463" s="98"/>
      <c r="H1463" s="101"/>
      <c r="I1463" s="101"/>
      <c r="J1463" s="101"/>
      <c r="K1463" s="101"/>
      <c r="L1463" s="101"/>
      <c r="M1463" s="101"/>
      <c r="N1463" s="101"/>
      <c r="O1463" s="101"/>
      <c r="P1463" s="101"/>
      <c r="Q1463" s="101"/>
      <c r="R1463" s="101"/>
      <c r="S1463" s="110"/>
      <c r="T1463" s="102"/>
      <c r="U1463" s="101"/>
      <c r="V1463" s="103"/>
      <c r="W1463" s="101"/>
    </row>
    <row r="1464" spans="1:23" x14ac:dyDescent="0.25">
      <c r="A1464" s="98"/>
      <c r="H1464" s="101"/>
      <c r="I1464" s="101"/>
      <c r="J1464" s="101"/>
      <c r="K1464" s="101"/>
      <c r="L1464" s="101"/>
      <c r="M1464" s="101"/>
      <c r="N1464" s="101"/>
      <c r="O1464" s="101"/>
      <c r="P1464" s="101"/>
      <c r="Q1464" s="101"/>
      <c r="R1464" s="101"/>
      <c r="S1464" s="110"/>
      <c r="T1464" s="102"/>
      <c r="U1464" s="101"/>
      <c r="V1464" s="103"/>
      <c r="W1464" s="101"/>
    </row>
    <row r="1465" spans="1:23" x14ac:dyDescent="0.25">
      <c r="A1465" s="98"/>
      <c r="H1465" s="101"/>
      <c r="I1465" s="101"/>
      <c r="J1465" s="101"/>
      <c r="K1465" s="101"/>
      <c r="L1465" s="101"/>
      <c r="M1465" s="101"/>
      <c r="N1465" s="101"/>
      <c r="O1465" s="101"/>
      <c r="P1465" s="101"/>
      <c r="Q1465" s="101"/>
      <c r="R1465" s="101"/>
      <c r="S1465" s="110"/>
      <c r="T1465" s="102"/>
      <c r="U1465" s="101"/>
      <c r="V1465" s="103"/>
      <c r="W1465" s="101"/>
    </row>
    <row r="1466" spans="1:23" x14ac:dyDescent="0.25">
      <c r="A1466" s="98"/>
      <c r="H1466" s="101"/>
      <c r="I1466" s="101"/>
      <c r="J1466" s="101"/>
      <c r="K1466" s="101"/>
      <c r="L1466" s="101"/>
      <c r="M1466" s="101"/>
      <c r="N1466" s="101"/>
      <c r="O1466" s="101"/>
      <c r="P1466" s="101"/>
      <c r="Q1466" s="101"/>
      <c r="R1466" s="101"/>
      <c r="S1466" s="110"/>
      <c r="T1466" s="102"/>
      <c r="U1466" s="101"/>
      <c r="V1466" s="103"/>
      <c r="W1466" s="101"/>
    </row>
    <row r="1467" spans="1:23" x14ac:dyDescent="0.25">
      <c r="A1467" s="98"/>
      <c r="H1467" s="101"/>
      <c r="I1467" s="101"/>
      <c r="J1467" s="101"/>
      <c r="K1467" s="101"/>
      <c r="L1467" s="101"/>
      <c r="M1467" s="101"/>
      <c r="N1467" s="101"/>
      <c r="O1467" s="101"/>
      <c r="P1467" s="101"/>
      <c r="Q1467" s="101"/>
      <c r="R1467" s="101"/>
      <c r="S1467" s="110"/>
      <c r="T1467" s="102"/>
      <c r="U1467" s="101"/>
      <c r="V1467" s="103"/>
      <c r="W1467" s="101"/>
    </row>
    <row r="1468" spans="1:23" x14ac:dyDescent="0.25">
      <c r="A1468" s="98"/>
      <c r="H1468" s="101"/>
      <c r="I1468" s="101"/>
      <c r="J1468" s="101"/>
      <c r="K1468" s="101"/>
      <c r="L1468" s="101"/>
      <c r="M1468" s="101"/>
      <c r="N1468" s="101"/>
      <c r="O1468" s="101"/>
      <c r="P1468" s="101"/>
      <c r="Q1468" s="101"/>
      <c r="R1468" s="101"/>
      <c r="S1468" s="110"/>
      <c r="T1468" s="102"/>
      <c r="U1468" s="101"/>
      <c r="V1468" s="103"/>
      <c r="W1468" s="101"/>
    </row>
    <row r="1469" spans="1:23" x14ac:dyDescent="0.25">
      <c r="A1469" s="98"/>
      <c r="H1469" s="101"/>
      <c r="I1469" s="101"/>
      <c r="J1469" s="101"/>
      <c r="K1469" s="101"/>
      <c r="L1469" s="101"/>
      <c r="M1469" s="101"/>
      <c r="N1469" s="101"/>
      <c r="O1469" s="101"/>
      <c r="P1469" s="101"/>
      <c r="Q1469" s="101"/>
      <c r="R1469" s="101"/>
      <c r="S1469" s="110"/>
      <c r="T1469" s="102"/>
      <c r="U1469" s="101"/>
      <c r="V1469" s="103"/>
      <c r="W1469" s="101"/>
    </row>
    <row r="1470" spans="1:23" x14ac:dyDescent="0.25">
      <c r="A1470" s="98"/>
      <c r="H1470" s="101"/>
      <c r="I1470" s="101"/>
      <c r="J1470" s="101"/>
      <c r="K1470" s="101"/>
      <c r="L1470" s="101"/>
      <c r="M1470" s="101"/>
      <c r="N1470" s="101"/>
      <c r="O1470" s="101"/>
      <c r="P1470" s="101"/>
      <c r="Q1470" s="101"/>
      <c r="R1470" s="101"/>
      <c r="S1470" s="110"/>
      <c r="T1470" s="102"/>
      <c r="U1470" s="101"/>
      <c r="V1470" s="103"/>
      <c r="W1470" s="101"/>
    </row>
    <row r="1471" spans="1:23" x14ac:dyDescent="0.25">
      <c r="A1471" s="98"/>
      <c r="H1471" s="101"/>
      <c r="I1471" s="101"/>
      <c r="J1471" s="101"/>
      <c r="K1471" s="101"/>
      <c r="L1471" s="101"/>
      <c r="M1471" s="101"/>
      <c r="N1471" s="101"/>
      <c r="O1471" s="101"/>
      <c r="P1471" s="101"/>
      <c r="Q1471" s="101"/>
      <c r="R1471" s="101"/>
      <c r="S1471" s="110"/>
      <c r="T1471" s="102"/>
      <c r="U1471" s="101"/>
      <c r="V1471" s="103"/>
      <c r="W1471" s="101"/>
    </row>
    <row r="1472" spans="1:23" x14ac:dyDescent="0.25">
      <c r="A1472" s="98"/>
      <c r="H1472" s="101"/>
      <c r="I1472" s="101"/>
      <c r="J1472" s="101"/>
      <c r="K1472" s="101"/>
      <c r="L1472" s="101"/>
      <c r="M1472" s="101"/>
      <c r="N1472" s="101"/>
      <c r="O1472" s="101"/>
      <c r="P1472" s="101"/>
      <c r="Q1472" s="101"/>
      <c r="R1472" s="101"/>
      <c r="S1472" s="110"/>
      <c r="T1472" s="102"/>
      <c r="U1472" s="101"/>
      <c r="V1472" s="103"/>
      <c r="W1472" s="101"/>
    </row>
    <row r="1473" spans="1:23" x14ac:dyDescent="0.25">
      <c r="A1473" s="98"/>
      <c r="H1473" s="101"/>
      <c r="I1473" s="101"/>
      <c r="J1473" s="101"/>
      <c r="K1473" s="101"/>
      <c r="L1473" s="101"/>
      <c r="M1473" s="101"/>
      <c r="N1473" s="101"/>
      <c r="O1473" s="101"/>
      <c r="P1473" s="101"/>
      <c r="Q1473" s="101"/>
      <c r="R1473" s="101"/>
      <c r="S1473" s="110"/>
      <c r="T1473" s="102"/>
      <c r="U1473" s="101"/>
      <c r="V1473" s="103"/>
      <c r="W1473" s="101"/>
    </row>
    <row r="1474" spans="1:23" x14ac:dyDescent="0.25">
      <c r="A1474" s="98"/>
      <c r="H1474" s="101"/>
      <c r="I1474" s="101"/>
      <c r="J1474" s="101"/>
      <c r="K1474" s="101"/>
      <c r="L1474" s="101"/>
      <c r="M1474" s="101"/>
      <c r="N1474" s="101"/>
      <c r="O1474" s="101"/>
      <c r="P1474" s="101"/>
      <c r="Q1474" s="101"/>
      <c r="R1474" s="101"/>
      <c r="S1474" s="110"/>
      <c r="T1474" s="102"/>
      <c r="U1474" s="101"/>
      <c r="V1474" s="103"/>
      <c r="W1474" s="101"/>
    </row>
    <row r="1475" spans="1:23" x14ac:dyDescent="0.25">
      <c r="A1475" s="98"/>
      <c r="H1475" s="101"/>
      <c r="I1475" s="101"/>
      <c r="J1475" s="101"/>
      <c r="K1475" s="101"/>
      <c r="L1475" s="101"/>
      <c r="M1475" s="101"/>
      <c r="N1475" s="101"/>
      <c r="O1475" s="101"/>
      <c r="P1475" s="101"/>
      <c r="Q1475" s="101"/>
      <c r="R1475" s="101"/>
      <c r="S1475" s="110"/>
      <c r="T1475" s="102"/>
      <c r="U1475" s="101"/>
      <c r="V1475" s="103"/>
      <c r="W1475" s="101"/>
    </row>
    <row r="1476" spans="1:23" x14ac:dyDescent="0.25">
      <c r="A1476" s="98"/>
      <c r="H1476" s="101"/>
      <c r="I1476" s="101"/>
      <c r="J1476" s="101"/>
      <c r="K1476" s="101"/>
      <c r="L1476" s="101"/>
      <c r="M1476" s="101"/>
      <c r="N1476" s="101"/>
      <c r="O1476" s="101"/>
      <c r="P1476" s="101"/>
      <c r="Q1476" s="101"/>
      <c r="R1476" s="101"/>
      <c r="S1476" s="110"/>
      <c r="T1476" s="102"/>
      <c r="U1476" s="101"/>
      <c r="V1476" s="103"/>
      <c r="W1476" s="101"/>
    </row>
    <row r="1477" spans="1:23" x14ac:dyDescent="0.25">
      <c r="A1477" s="98"/>
      <c r="H1477" s="101"/>
      <c r="I1477" s="101"/>
      <c r="J1477" s="101"/>
      <c r="K1477" s="101"/>
      <c r="L1477" s="101"/>
      <c r="M1477" s="101"/>
      <c r="N1477" s="101"/>
      <c r="O1477" s="101"/>
      <c r="P1477" s="101"/>
      <c r="Q1477" s="101"/>
      <c r="R1477" s="101"/>
      <c r="S1477" s="110"/>
      <c r="T1477" s="102"/>
      <c r="U1477" s="101"/>
      <c r="V1477" s="103"/>
      <c r="W1477" s="101"/>
    </row>
    <row r="1478" spans="1:23" x14ac:dyDescent="0.25">
      <c r="A1478" s="98"/>
      <c r="H1478" s="101"/>
      <c r="I1478" s="101"/>
      <c r="J1478" s="101"/>
      <c r="K1478" s="101"/>
      <c r="L1478" s="101"/>
      <c r="M1478" s="101"/>
      <c r="N1478" s="101"/>
      <c r="O1478" s="101"/>
      <c r="P1478" s="101"/>
      <c r="Q1478" s="101"/>
      <c r="R1478" s="101"/>
      <c r="S1478" s="110"/>
      <c r="T1478" s="102"/>
      <c r="U1478" s="101"/>
      <c r="V1478" s="103"/>
      <c r="W1478" s="101"/>
    </row>
    <row r="1479" spans="1:23" x14ac:dyDescent="0.25">
      <c r="A1479" s="98"/>
      <c r="H1479" s="101"/>
      <c r="I1479" s="101"/>
      <c r="J1479" s="101"/>
      <c r="K1479" s="101"/>
      <c r="L1479" s="101"/>
      <c r="M1479" s="101"/>
      <c r="N1479" s="101"/>
      <c r="O1479" s="101"/>
      <c r="P1479" s="101"/>
      <c r="Q1479" s="101"/>
      <c r="R1479" s="101"/>
      <c r="S1479" s="110"/>
      <c r="T1479" s="102"/>
      <c r="U1479" s="101"/>
      <c r="V1479" s="103"/>
      <c r="W1479" s="101"/>
    </row>
    <row r="1480" spans="1:23" x14ac:dyDescent="0.25">
      <c r="A1480" s="98"/>
      <c r="H1480" s="101"/>
      <c r="I1480" s="101"/>
      <c r="J1480" s="101"/>
      <c r="K1480" s="101"/>
      <c r="L1480" s="101"/>
      <c r="M1480" s="101"/>
      <c r="N1480" s="101"/>
      <c r="O1480" s="101"/>
      <c r="P1480" s="101"/>
      <c r="Q1480" s="101"/>
      <c r="R1480" s="101"/>
      <c r="S1480" s="110"/>
      <c r="T1480" s="102"/>
      <c r="U1480" s="101"/>
      <c r="V1480" s="103"/>
      <c r="W1480" s="101"/>
    </row>
    <row r="1481" spans="1:23" x14ac:dyDescent="0.25">
      <c r="A1481" s="98"/>
      <c r="H1481" s="101"/>
      <c r="I1481" s="101"/>
      <c r="J1481" s="101"/>
      <c r="K1481" s="101"/>
      <c r="L1481" s="101"/>
      <c r="M1481" s="101"/>
      <c r="N1481" s="101"/>
      <c r="O1481" s="101"/>
      <c r="P1481" s="101"/>
      <c r="Q1481" s="101"/>
      <c r="R1481" s="101"/>
      <c r="S1481" s="110"/>
      <c r="T1481" s="102"/>
      <c r="U1481" s="101"/>
      <c r="V1481" s="103"/>
      <c r="W1481" s="101"/>
    </row>
    <row r="1482" spans="1:23" x14ac:dyDescent="0.25">
      <c r="A1482" s="98"/>
      <c r="H1482" s="101"/>
      <c r="I1482" s="101"/>
      <c r="J1482" s="101"/>
      <c r="K1482" s="101"/>
      <c r="L1482" s="101"/>
      <c r="M1482" s="101"/>
      <c r="N1482" s="101"/>
      <c r="O1482" s="101"/>
      <c r="P1482" s="101"/>
      <c r="Q1482" s="101"/>
      <c r="R1482" s="101"/>
      <c r="S1482" s="110"/>
      <c r="T1482" s="102"/>
      <c r="U1482" s="101"/>
      <c r="V1482" s="103"/>
      <c r="W1482" s="101"/>
    </row>
    <row r="1483" spans="1:23" x14ac:dyDescent="0.25">
      <c r="A1483" s="98"/>
      <c r="H1483" s="101"/>
      <c r="I1483" s="101"/>
      <c r="J1483" s="101"/>
      <c r="K1483" s="101"/>
      <c r="L1483" s="101"/>
      <c r="M1483" s="101"/>
      <c r="N1483" s="101"/>
      <c r="O1483" s="101"/>
      <c r="P1483" s="101"/>
      <c r="Q1483" s="101"/>
      <c r="R1483" s="101"/>
      <c r="S1483" s="110"/>
      <c r="T1483" s="102"/>
      <c r="U1483" s="101"/>
      <c r="V1483" s="103"/>
      <c r="W1483" s="101"/>
    </row>
    <row r="1484" spans="1:23" x14ac:dyDescent="0.25">
      <c r="A1484" s="98"/>
      <c r="H1484" s="101"/>
      <c r="I1484" s="101"/>
      <c r="J1484" s="101"/>
      <c r="K1484" s="101"/>
      <c r="L1484" s="101"/>
      <c r="M1484" s="101"/>
      <c r="N1484" s="101"/>
      <c r="O1484" s="101"/>
      <c r="P1484" s="101"/>
      <c r="Q1484" s="101"/>
      <c r="R1484" s="101"/>
      <c r="S1484" s="110"/>
      <c r="T1484" s="102"/>
      <c r="U1484" s="101"/>
      <c r="V1484" s="103"/>
      <c r="W1484" s="101"/>
    </row>
    <row r="1485" spans="1:23" x14ac:dyDescent="0.25">
      <c r="A1485" s="98"/>
      <c r="H1485" s="101"/>
      <c r="I1485" s="101"/>
      <c r="J1485" s="101"/>
      <c r="K1485" s="101"/>
      <c r="L1485" s="101"/>
      <c r="M1485" s="101"/>
      <c r="N1485" s="101"/>
      <c r="O1485" s="101"/>
      <c r="P1485" s="101"/>
      <c r="Q1485" s="101"/>
      <c r="R1485" s="101"/>
      <c r="S1485" s="110"/>
      <c r="T1485" s="102"/>
      <c r="U1485" s="101"/>
      <c r="V1485" s="103"/>
      <c r="W1485" s="101"/>
    </row>
    <row r="1486" spans="1:23" x14ac:dyDescent="0.25">
      <c r="A1486" s="98"/>
      <c r="H1486" s="101"/>
      <c r="I1486" s="101"/>
      <c r="J1486" s="101"/>
      <c r="K1486" s="101"/>
      <c r="L1486" s="101"/>
      <c r="M1486" s="101"/>
      <c r="N1486" s="101"/>
      <c r="O1486" s="101"/>
      <c r="P1486" s="101"/>
      <c r="Q1486" s="101"/>
      <c r="R1486" s="101"/>
      <c r="S1486" s="110"/>
      <c r="T1486" s="102"/>
      <c r="U1486" s="101"/>
      <c r="V1486" s="103"/>
      <c r="W1486" s="101"/>
    </row>
    <row r="1487" spans="1:23" x14ac:dyDescent="0.25">
      <c r="A1487" s="98"/>
      <c r="H1487" s="101"/>
      <c r="I1487" s="101"/>
      <c r="J1487" s="101"/>
      <c r="K1487" s="101"/>
      <c r="L1487" s="101"/>
      <c r="M1487" s="101"/>
      <c r="N1487" s="101"/>
      <c r="O1487" s="101"/>
      <c r="P1487" s="101"/>
      <c r="Q1487" s="101"/>
      <c r="R1487" s="101"/>
      <c r="S1487" s="110"/>
      <c r="T1487" s="102"/>
      <c r="U1487" s="101"/>
      <c r="V1487" s="103"/>
      <c r="W1487" s="101"/>
    </row>
    <row r="1488" spans="1:23" x14ac:dyDescent="0.25">
      <c r="A1488" s="98"/>
      <c r="H1488" s="101"/>
      <c r="I1488" s="101"/>
      <c r="J1488" s="101"/>
      <c r="K1488" s="101"/>
      <c r="L1488" s="101"/>
      <c r="M1488" s="101"/>
      <c r="N1488" s="101"/>
      <c r="O1488" s="101"/>
      <c r="P1488" s="101"/>
      <c r="Q1488" s="101"/>
      <c r="R1488" s="101"/>
      <c r="S1488" s="110"/>
      <c r="T1488" s="102"/>
      <c r="U1488" s="101"/>
      <c r="V1488" s="103"/>
      <c r="W1488" s="101"/>
    </row>
    <row r="1489" spans="1:23" x14ac:dyDescent="0.25">
      <c r="A1489" s="98"/>
      <c r="H1489" s="101"/>
      <c r="I1489" s="101"/>
      <c r="J1489" s="101"/>
      <c r="K1489" s="101"/>
      <c r="L1489" s="101"/>
      <c r="M1489" s="101"/>
      <c r="N1489" s="101"/>
      <c r="O1489" s="101"/>
      <c r="P1489" s="101"/>
      <c r="Q1489" s="101"/>
      <c r="R1489" s="101"/>
      <c r="S1489" s="110"/>
      <c r="T1489" s="102"/>
      <c r="U1489" s="101"/>
      <c r="V1489" s="103"/>
      <c r="W1489" s="101"/>
    </row>
    <row r="1490" spans="1:23" x14ac:dyDescent="0.25">
      <c r="A1490" s="98"/>
      <c r="H1490" s="101"/>
      <c r="I1490" s="101"/>
      <c r="J1490" s="101"/>
      <c r="K1490" s="101"/>
      <c r="L1490" s="101"/>
      <c r="M1490" s="101"/>
      <c r="N1490" s="101"/>
      <c r="O1490" s="101"/>
      <c r="P1490" s="101"/>
      <c r="Q1490" s="101"/>
      <c r="R1490" s="101"/>
      <c r="S1490" s="110"/>
      <c r="T1490" s="102"/>
      <c r="U1490" s="101"/>
      <c r="V1490" s="103"/>
      <c r="W1490" s="101"/>
    </row>
    <row r="1491" spans="1:23" x14ac:dyDescent="0.25">
      <c r="A1491" s="98"/>
      <c r="H1491" s="101"/>
      <c r="I1491" s="101"/>
      <c r="J1491" s="101"/>
      <c r="K1491" s="101"/>
      <c r="L1491" s="101"/>
      <c r="M1491" s="101"/>
      <c r="N1491" s="101"/>
      <c r="O1491" s="101"/>
      <c r="P1491" s="101"/>
      <c r="Q1491" s="101"/>
      <c r="R1491" s="101"/>
      <c r="S1491" s="110"/>
      <c r="T1491" s="102"/>
      <c r="U1491" s="101"/>
      <c r="V1491" s="103"/>
      <c r="W1491" s="101"/>
    </row>
    <row r="1492" spans="1:23" x14ac:dyDescent="0.25">
      <c r="A1492" s="98"/>
      <c r="H1492" s="101"/>
      <c r="I1492" s="101"/>
      <c r="J1492" s="101"/>
      <c r="K1492" s="101"/>
      <c r="L1492" s="101"/>
      <c r="M1492" s="101"/>
      <c r="N1492" s="101"/>
      <c r="O1492" s="101"/>
      <c r="P1492" s="101"/>
      <c r="Q1492" s="101"/>
      <c r="R1492" s="101"/>
      <c r="S1492" s="110"/>
      <c r="T1492" s="102"/>
      <c r="U1492" s="101"/>
      <c r="V1492" s="103"/>
      <c r="W1492" s="101"/>
    </row>
    <row r="1493" spans="1:23" x14ac:dyDescent="0.25">
      <c r="A1493" s="98"/>
      <c r="H1493" s="101"/>
      <c r="I1493" s="101"/>
      <c r="J1493" s="101"/>
      <c r="K1493" s="101"/>
      <c r="L1493" s="101"/>
      <c r="M1493" s="101"/>
      <c r="N1493" s="101"/>
      <c r="O1493" s="101"/>
      <c r="P1493" s="101"/>
      <c r="Q1493" s="101"/>
      <c r="R1493" s="101"/>
      <c r="S1493" s="110"/>
      <c r="T1493" s="102"/>
      <c r="U1493" s="101"/>
      <c r="V1493" s="103"/>
      <c r="W1493" s="101"/>
    </row>
    <row r="1494" spans="1:23" x14ac:dyDescent="0.25">
      <c r="A1494" s="98"/>
      <c r="H1494" s="101"/>
      <c r="I1494" s="101"/>
      <c r="J1494" s="101"/>
      <c r="K1494" s="101"/>
      <c r="L1494" s="101"/>
      <c r="M1494" s="101"/>
      <c r="N1494" s="101"/>
      <c r="O1494" s="101"/>
      <c r="P1494" s="101"/>
      <c r="Q1494" s="101"/>
      <c r="R1494" s="101"/>
      <c r="S1494" s="110"/>
      <c r="T1494" s="102"/>
      <c r="U1494" s="101"/>
      <c r="V1494" s="103"/>
      <c r="W1494" s="101"/>
    </row>
    <row r="1495" spans="1:23" x14ac:dyDescent="0.25">
      <c r="A1495" s="98"/>
      <c r="H1495" s="101"/>
      <c r="I1495" s="101"/>
      <c r="J1495" s="101"/>
      <c r="K1495" s="101"/>
      <c r="L1495" s="101"/>
      <c r="M1495" s="101"/>
      <c r="N1495" s="101"/>
      <c r="O1495" s="101"/>
      <c r="P1495" s="101"/>
      <c r="Q1495" s="101"/>
      <c r="R1495" s="101"/>
      <c r="S1495" s="110"/>
      <c r="T1495" s="102"/>
      <c r="U1495" s="101"/>
      <c r="V1495" s="103"/>
      <c r="W1495" s="101"/>
    </row>
    <row r="1496" spans="1:23" x14ac:dyDescent="0.25">
      <c r="A1496" s="98"/>
      <c r="H1496" s="101"/>
      <c r="I1496" s="101"/>
      <c r="J1496" s="101"/>
      <c r="K1496" s="101"/>
      <c r="L1496" s="101"/>
      <c r="M1496" s="101"/>
      <c r="N1496" s="101"/>
      <c r="O1496" s="101"/>
      <c r="P1496" s="101"/>
      <c r="Q1496" s="101"/>
      <c r="R1496" s="101"/>
      <c r="S1496" s="110"/>
      <c r="T1496" s="102"/>
      <c r="U1496" s="101"/>
      <c r="V1496" s="103"/>
      <c r="W1496" s="101"/>
    </row>
    <row r="1497" spans="1:23" x14ac:dyDescent="0.25">
      <c r="A1497" s="98"/>
      <c r="H1497" s="101"/>
      <c r="I1497" s="101"/>
      <c r="J1497" s="101"/>
      <c r="K1497" s="101"/>
      <c r="L1497" s="101"/>
      <c r="M1497" s="101"/>
      <c r="N1497" s="101"/>
      <c r="O1497" s="101"/>
      <c r="P1497" s="101"/>
      <c r="Q1497" s="101"/>
      <c r="R1497" s="101"/>
      <c r="S1497" s="110"/>
      <c r="T1497" s="102"/>
      <c r="U1497" s="101"/>
      <c r="V1497" s="103"/>
      <c r="W1497" s="101"/>
    </row>
    <row r="1498" spans="1:23" x14ac:dyDescent="0.25">
      <c r="A1498" s="98"/>
      <c r="H1498" s="101"/>
      <c r="I1498" s="101"/>
      <c r="J1498" s="101"/>
      <c r="K1498" s="101"/>
      <c r="L1498" s="101"/>
      <c r="M1498" s="101"/>
      <c r="N1498" s="101"/>
      <c r="O1498" s="101"/>
      <c r="P1498" s="101"/>
      <c r="Q1498" s="101"/>
      <c r="R1498" s="101"/>
      <c r="S1498" s="110"/>
      <c r="T1498" s="102"/>
      <c r="U1498" s="101"/>
      <c r="V1498" s="103"/>
      <c r="W1498" s="101"/>
    </row>
    <row r="1499" spans="1:23" x14ac:dyDescent="0.25">
      <c r="A1499" s="98"/>
      <c r="H1499" s="101"/>
      <c r="I1499" s="101"/>
      <c r="J1499" s="101"/>
      <c r="K1499" s="101"/>
      <c r="L1499" s="101"/>
      <c r="M1499" s="101"/>
      <c r="N1499" s="101"/>
      <c r="O1499" s="101"/>
      <c r="P1499" s="101"/>
      <c r="Q1499" s="101"/>
      <c r="R1499" s="101"/>
      <c r="S1499" s="110"/>
      <c r="T1499" s="102"/>
      <c r="U1499" s="101"/>
      <c r="V1499" s="103"/>
      <c r="W1499" s="101"/>
    </row>
    <row r="1500" spans="1:23" x14ac:dyDescent="0.25">
      <c r="A1500" s="98"/>
      <c r="H1500" s="101"/>
      <c r="I1500" s="101"/>
      <c r="J1500" s="101"/>
      <c r="K1500" s="101"/>
      <c r="L1500" s="101"/>
      <c r="M1500" s="101"/>
      <c r="N1500" s="101"/>
      <c r="O1500" s="101"/>
      <c r="P1500" s="101"/>
      <c r="Q1500" s="101"/>
      <c r="R1500" s="101"/>
      <c r="S1500" s="110"/>
      <c r="T1500" s="102"/>
      <c r="U1500" s="101"/>
      <c r="V1500" s="103"/>
      <c r="W1500" s="101"/>
    </row>
    <row r="1501" spans="1:23" x14ac:dyDescent="0.25">
      <c r="A1501" s="98"/>
      <c r="H1501" s="101"/>
      <c r="I1501" s="101"/>
      <c r="J1501" s="101"/>
      <c r="K1501" s="101"/>
      <c r="L1501" s="101"/>
      <c r="M1501" s="101"/>
      <c r="N1501" s="101"/>
      <c r="O1501" s="101"/>
      <c r="P1501" s="101"/>
      <c r="Q1501" s="101"/>
      <c r="R1501" s="101"/>
      <c r="S1501" s="110"/>
      <c r="T1501" s="102"/>
      <c r="U1501" s="101"/>
      <c r="V1501" s="103"/>
      <c r="W1501" s="101"/>
    </row>
    <row r="1502" spans="1:23" x14ac:dyDescent="0.25">
      <c r="A1502" s="98"/>
      <c r="H1502" s="101"/>
      <c r="I1502" s="101"/>
      <c r="J1502" s="101"/>
      <c r="K1502" s="101"/>
      <c r="L1502" s="101"/>
      <c r="M1502" s="101"/>
      <c r="N1502" s="101"/>
      <c r="O1502" s="101"/>
      <c r="P1502" s="101"/>
      <c r="Q1502" s="101"/>
      <c r="R1502" s="101"/>
      <c r="S1502" s="110"/>
      <c r="T1502" s="102"/>
      <c r="U1502" s="101"/>
      <c r="V1502" s="103"/>
      <c r="W1502" s="101"/>
    </row>
    <row r="1503" spans="1:23" x14ac:dyDescent="0.25">
      <c r="A1503" s="98"/>
      <c r="H1503" s="101"/>
      <c r="I1503" s="101"/>
      <c r="J1503" s="101"/>
      <c r="K1503" s="101"/>
      <c r="L1503" s="101"/>
      <c r="M1503" s="101"/>
      <c r="N1503" s="101"/>
      <c r="O1503" s="101"/>
      <c r="P1503" s="101"/>
      <c r="Q1503" s="101"/>
      <c r="R1503" s="101"/>
      <c r="S1503" s="110"/>
      <c r="T1503" s="102"/>
      <c r="U1503" s="101"/>
      <c r="V1503" s="103"/>
      <c r="W1503" s="101"/>
    </row>
    <row r="1504" spans="1:23" x14ac:dyDescent="0.25">
      <c r="A1504" s="98"/>
      <c r="H1504" s="101"/>
      <c r="I1504" s="101"/>
      <c r="J1504" s="101"/>
      <c r="K1504" s="101"/>
      <c r="L1504" s="101"/>
      <c r="M1504" s="101"/>
      <c r="N1504" s="101"/>
      <c r="O1504" s="101"/>
      <c r="P1504" s="101"/>
      <c r="Q1504" s="101"/>
      <c r="R1504" s="101"/>
      <c r="S1504" s="110"/>
      <c r="T1504" s="102"/>
      <c r="U1504" s="101"/>
      <c r="V1504" s="103"/>
      <c r="W1504" s="101"/>
    </row>
    <row r="1505" spans="1:23" x14ac:dyDescent="0.25">
      <c r="A1505" s="98"/>
      <c r="H1505" s="101"/>
      <c r="I1505" s="101"/>
      <c r="J1505" s="101"/>
      <c r="K1505" s="101"/>
      <c r="L1505" s="101"/>
      <c r="M1505" s="101"/>
      <c r="N1505" s="101"/>
      <c r="O1505" s="101"/>
      <c r="P1505" s="101"/>
      <c r="Q1505" s="101"/>
      <c r="R1505" s="101"/>
      <c r="S1505" s="110"/>
      <c r="T1505" s="102"/>
      <c r="U1505" s="101"/>
      <c r="V1505" s="103"/>
      <c r="W1505" s="101"/>
    </row>
    <row r="1506" spans="1:23" x14ac:dyDescent="0.25">
      <c r="A1506" s="98"/>
      <c r="H1506" s="101"/>
      <c r="I1506" s="101"/>
      <c r="J1506" s="101"/>
      <c r="K1506" s="101"/>
      <c r="L1506" s="101"/>
      <c r="M1506" s="101"/>
      <c r="N1506" s="101"/>
      <c r="O1506" s="101"/>
      <c r="P1506" s="101"/>
      <c r="Q1506" s="101"/>
      <c r="R1506" s="101"/>
      <c r="S1506" s="110"/>
      <c r="T1506" s="102"/>
      <c r="U1506" s="101"/>
      <c r="V1506" s="103"/>
      <c r="W1506" s="101"/>
    </row>
    <row r="1507" spans="1:23" x14ac:dyDescent="0.25">
      <c r="A1507" s="98"/>
      <c r="H1507" s="101"/>
      <c r="I1507" s="101"/>
      <c r="J1507" s="101"/>
      <c r="K1507" s="101"/>
      <c r="L1507" s="101"/>
      <c r="M1507" s="101"/>
      <c r="N1507" s="101"/>
      <c r="O1507" s="101"/>
      <c r="P1507" s="101"/>
      <c r="Q1507" s="101"/>
      <c r="R1507" s="101"/>
      <c r="S1507" s="110"/>
      <c r="T1507" s="102"/>
      <c r="U1507" s="101"/>
      <c r="V1507" s="103"/>
      <c r="W1507" s="101"/>
    </row>
    <row r="1508" spans="1:23" x14ac:dyDescent="0.25">
      <c r="A1508" s="98"/>
      <c r="H1508" s="101"/>
      <c r="I1508" s="101"/>
      <c r="J1508" s="101"/>
      <c r="K1508" s="101"/>
      <c r="L1508" s="101"/>
      <c r="M1508" s="101"/>
      <c r="N1508" s="101"/>
      <c r="O1508" s="101"/>
      <c r="P1508" s="101"/>
      <c r="Q1508" s="101"/>
      <c r="R1508" s="101"/>
      <c r="S1508" s="110"/>
      <c r="T1508" s="102"/>
      <c r="U1508" s="101"/>
      <c r="V1508" s="103"/>
      <c r="W1508" s="101"/>
    </row>
    <row r="1509" spans="1:23" x14ac:dyDescent="0.25">
      <c r="A1509" s="98"/>
      <c r="H1509" s="101"/>
      <c r="I1509" s="101"/>
      <c r="J1509" s="101"/>
      <c r="K1509" s="101"/>
      <c r="L1509" s="101"/>
      <c r="M1509" s="101"/>
      <c r="N1509" s="101"/>
      <c r="O1509" s="101"/>
      <c r="P1509" s="101"/>
      <c r="Q1509" s="101"/>
      <c r="R1509" s="101"/>
      <c r="S1509" s="110"/>
      <c r="T1509" s="102"/>
      <c r="U1509" s="101"/>
      <c r="V1509" s="103"/>
      <c r="W1509" s="101"/>
    </row>
    <row r="1510" spans="1:23" x14ac:dyDescent="0.25">
      <c r="A1510" s="98"/>
      <c r="H1510" s="101"/>
      <c r="I1510" s="101"/>
      <c r="J1510" s="101"/>
      <c r="K1510" s="101"/>
      <c r="L1510" s="101"/>
      <c r="M1510" s="101"/>
      <c r="N1510" s="101"/>
      <c r="O1510" s="101"/>
      <c r="P1510" s="101"/>
      <c r="Q1510" s="101"/>
      <c r="R1510" s="101"/>
      <c r="S1510" s="110"/>
      <c r="T1510" s="102"/>
      <c r="U1510" s="101"/>
      <c r="V1510" s="103"/>
      <c r="W1510" s="101"/>
    </row>
    <row r="1511" spans="1:23" x14ac:dyDescent="0.25">
      <c r="A1511" s="98"/>
      <c r="H1511" s="101"/>
      <c r="I1511" s="101"/>
      <c r="J1511" s="101"/>
      <c r="K1511" s="101"/>
      <c r="L1511" s="101"/>
      <c r="M1511" s="101"/>
      <c r="N1511" s="101"/>
      <c r="O1511" s="101"/>
      <c r="P1511" s="101"/>
      <c r="Q1511" s="101"/>
      <c r="R1511" s="101"/>
      <c r="S1511" s="110"/>
      <c r="T1511" s="102"/>
      <c r="U1511" s="101"/>
      <c r="V1511" s="103"/>
      <c r="W1511" s="101"/>
    </row>
    <row r="1512" spans="1:23" x14ac:dyDescent="0.25">
      <c r="A1512" s="98"/>
      <c r="H1512" s="101"/>
      <c r="I1512" s="101"/>
      <c r="J1512" s="101"/>
      <c r="K1512" s="101"/>
      <c r="L1512" s="101"/>
      <c r="M1512" s="101"/>
      <c r="N1512" s="101"/>
      <c r="O1512" s="101"/>
      <c r="P1512" s="101"/>
      <c r="Q1512" s="101"/>
      <c r="R1512" s="101"/>
      <c r="S1512" s="110"/>
      <c r="T1512" s="102"/>
      <c r="U1512" s="101"/>
      <c r="V1512" s="103"/>
      <c r="W1512" s="101"/>
    </row>
    <row r="1513" spans="1:23" x14ac:dyDescent="0.25">
      <c r="A1513" s="98"/>
      <c r="H1513" s="101"/>
      <c r="I1513" s="101"/>
      <c r="J1513" s="101"/>
      <c r="K1513" s="101"/>
      <c r="L1513" s="101"/>
      <c r="M1513" s="101"/>
      <c r="N1513" s="101"/>
      <c r="O1513" s="101"/>
      <c r="P1513" s="101"/>
      <c r="Q1513" s="101"/>
      <c r="R1513" s="101"/>
      <c r="S1513" s="110"/>
      <c r="T1513" s="102"/>
      <c r="U1513" s="101"/>
      <c r="V1513" s="103"/>
      <c r="W1513" s="101"/>
    </row>
    <row r="1514" spans="1:23" x14ac:dyDescent="0.25">
      <c r="A1514" s="98"/>
      <c r="H1514" s="101"/>
      <c r="I1514" s="101"/>
      <c r="J1514" s="101"/>
      <c r="K1514" s="101"/>
      <c r="L1514" s="101"/>
      <c r="M1514" s="101"/>
      <c r="N1514" s="101"/>
      <c r="O1514" s="101"/>
      <c r="P1514" s="101"/>
      <c r="Q1514" s="101"/>
      <c r="R1514" s="101"/>
      <c r="S1514" s="110"/>
      <c r="T1514" s="102"/>
      <c r="U1514" s="101"/>
      <c r="V1514" s="103"/>
      <c r="W1514" s="101"/>
    </row>
    <row r="1515" spans="1:23" x14ac:dyDescent="0.25">
      <c r="A1515" s="98"/>
      <c r="H1515" s="101"/>
      <c r="I1515" s="101"/>
      <c r="J1515" s="101"/>
      <c r="K1515" s="101"/>
      <c r="L1515" s="101"/>
      <c r="M1515" s="101"/>
      <c r="N1515" s="101"/>
      <c r="O1515" s="101"/>
      <c r="P1515" s="101"/>
      <c r="Q1515" s="101"/>
      <c r="R1515" s="101"/>
      <c r="S1515" s="110"/>
      <c r="T1515" s="102"/>
      <c r="U1515" s="101"/>
      <c r="V1515" s="103"/>
      <c r="W1515" s="101"/>
    </row>
    <row r="1516" spans="1:23" x14ac:dyDescent="0.25">
      <c r="A1516" s="98"/>
      <c r="H1516" s="101"/>
      <c r="I1516" s="101"/>
      <c r="J1516" s="101"/>
      <c r="K1516" s="101"/>
      <c r="L1516" s="101"/>
      <c r="M1516" s="101"/>
      <c r="N1516" s="101"/>
      <c r="O1516" s="101"/>
      <c r="P1516" s="101"/>
      <c r="Q1516" s="101"/>
      <c r="R1516" s="101"/>
      <c r="S1516" s="110"/>
      <c r="T1516" s="102"/>
      <c r="U1516" s="101"/>
      <c r="V1516" s="103"/>
      <c r="W1516" s="101"/>
    </row>
    <row r="1517" spans="1:23" x14ac:dyDescent="0.25">
      <c r="A1517" s="98"/>
      <c r="H1517" s="101"/>
      <c r="I1517" s="101"/>
      <c r="J1517" s="101"/>
      <c r="K1517" s="101"/>
      <c r="L1517" s="101"/>
      <c r="M1517" s="101"/>
      <c r="N1517" s="101"/>
      <c r="O1517" s="101"/>
      <c r="P1517" s="101"/>
      <c r="Q1517" s="101"/>
      <c r="R1517" s="101"/>
      <c r="S1517" s="110"/>
      <c r="T1517" s="102"/>
      <c r="U1517" s="101"/>
      <c r="V1517" s="103"/>
      <c r="W1517" s="101"/>
    </row>
    <row r="1518" spans="1:23" x14ac:dyDescent="0.25">
      <c r="A1518" s="98"/>
      <c r="H1518" s="101"/>
      <c r="I1518" s="101"/>
      <c r="J1518" s="101"/>
      <c r="K1518" s="101"/>
      <c r="L1518" s="101"/>
      <c r="M1518" s="101"/>
      <c r="N1518" s="101"/>
      <c r="O1518" s="101"/>
      <c r="P1518" s="101"/>
      <c r="Q1518" s="101"/>
      <c r="R1518" s="101"/>
      <c r="S1518" s="110"/>
      <c r="T1518" s="102"/>
      <c r="U1518" s="101"/>
      <c r="V1518" s="103"/>
      <c r="W1518" s="101"/>
    </row>
    <row r="1519" spans="1:23" x14ac:dyDescent="0.25">
      <c r="A1519" s="98"/>
      <c r="H1519" s="101"/>
      <c r="I1519" s="101"/>
      <c r="J1519" s="101"/>
      <c r="K1519" s="101"/>
      <c r="L1519" s="101"/>
      <c r="M1519" s="101"/>
      <c r="N1519" s="101"/>
      <c r="O1519" s="101"/>
      <c r="P1519" s="101"/>
      <c r="Q1519" s="101"/>
      <c r="R1519" s="101"/>
      <c r="S1519" s="110"/>
      <c r="T1519" s="102"/>
      <c r="U1519" s="101"/>
      <c r="V1519" s="103"/>
      <c r="W1519" s="101"/>
    </row>
    <row r="1520" spans="1:23" x14ac:dyDescent="0.25">
      <c r="A1520" s="98"/>
      <c r="H1520" s="101"/>
      <c r="I1520" s="101"/>
      <c r="J1520" s="101"/>
      <c r="K1520" s="101"/>
      <c r="L1520" s="101"/>
      <c r="M1520" s="101"/>
      <c r="N1520" s="101"/>
      <c r="O1520" s="101"/>
      <c r="P1520" s="101"/>
      <c r="Q1520" s="101"/>
      <c r="R1520" s="101"/>
      <c r="S1520" s="110"/>
      <c r="T1520" s="102"/>
      <c r="U1520" s="101"/>
      <c r="V1520" s="103"/>
      <c r="W1520" s="101"/>
    </row>
    <row r="1521" spans="1:23" x14ac:dyDescent="0.25">
      <c r="A1521" s="98"/>
      <c r="H1521" s="101"/>
      <c r="I1521" s="101"/>
      <c r="J1521" s="101"/>
      <c r="K1521" s="101"/>
      <c r="L1521" s="101"/>
      <c r="M1521" s="101"/>
      <c r="N1521" s="101"/>
      <c r="O1521" s="101"/>
      <c r="P1521" s="101"/>
      <c r="Q1521" s="101"/>
      <c r="R1521" s="101"/>
      <c r="S1521" s="110"/>
      <c r="T1521" s="102"/>
      <c r="U1521" s="101"/>
      <c r="V1521" s="103"/>
      <c r="W1521" s="101"/>
    </row>
    <row r="1522" spans="1:23" x14ac:dyDescent="0.25">
      <c r="A1522" s="98"/>
      <c r="H1522" s="101"/>
      <c r="I1522" s="101"/>
      <c r="J1522" s="101"/>
      <c r="K1522" s="101"/>
      <c r="L1522" s="101"/>
      <c r="M1522" s="101"/>
      <c r="N1522" s="101"/>
      <c r="O1522" s="101"/>
      <c r="P1522" s="101"/>
      <c r="Q1522" s="101"/>
      <c r="R1522" s="101"/>
      <c r="S1522" s="110"/>
      <c r="T1522" s="102"/>
      <c r="U1522" s="101"/>
      <c r="V1522" s="103"/>
      <c r="W1522" s="101"/>
    </row>
    <row r="1523" spans="1:23" x14ac:dyDescent="0.25">
      <c r="A1523" s="98"/>
      <c r="H1523" s="101"/>
      <c r="I1523" s="101"/>
      <c r="J1523" s="101"/>
      <c r="K1523" s="101"/>
      <c r="L1523" s="101"/>
      <c r="M1523" s="101"/>
      <c r="N1523" s="101"/>
      <c r="O1523" s="101"/>
      <c r="P1523" s="101"/>
      <c r="Q1523" s="101"/>
      <c r="R1523" s="101"/>
      <c r="S1523" s="110"/>
      <c r="T1523" s="102"/>
      <c r="U1523" s="101"/>
      <c r="V1523" s="103"/>
      <c r="W1523" s="101"/>
    </row>
    <row r="1524" spans="1:23" x14ac:dyDescent="0.25">
      <c r="A1524" s="98"/>
      <c r="H1524" s="101"/>
      <c r="I1524" s="101"/>
      <c r="J1524" s="101"/>
      <c r="K1524" s="101"/>
      <c r="L1524" s="101"/>
      <c r="M1524" s="101"/>
      <c r="N1524" s="101"/>
      <c r="O1524" s="101"/>
      <c r="P1524" s="101"/>
      <c r="Q1524" s="101"/>
      <c r="R1524" s="101"/>
      <c r="S1524" s="110"/>
      <c r="T1524" s="102"/>
      <c r="U1524" s="101"/>
      <c r="V1524" s="103"/>
      <c r="W1524" s="101"/>
    </row>
    <row r="1525" spans="1:23" x14ac:dyDescent="0.25">
      <c r="A1525" s="98"/>
      <c r="H1525" s="101"/>
      <c r="I1525" s="101"/>
      <c r="J1525" s="101"/>
      <c r="K1525" s="101"/>
      <c r="L1525" s="101"/>
      <c r="M1525" s="101"/>
      <c r="N1525" s="101"/>
      <c r="O1525" s="101"/>
      <c r="P1525" s="101"/>
      <c r="Q1525" s="101"/>
      <c r="R1525" s="101"/>
      <c r="S1525" s="110"/>
      <c r="T1525" s="102"/>
      <c r="U1525" s="101"/>
      <c r="V1525" s="103"/>
      <c r="W1525" s="101"/>
    </row>
    <row r="1526" spans="1:23" x14ac:dyDescent="0.25">
      <c r="A1526" s="98"/>
      <c r="H1526" s="101"/>
      <c r="I1526" s="101"/>
      <c r="J1526" s="101"/>
      <c r="K1526" s="101"/>
      <c r="L1526" s="101"/>
      <c r="M1526" s="101"/>
      <c r="N1526" s="101"/>
      <c r="O1526" s="101"/>
      <c r="P1526" s="101"/>
      <c r="Q1526" s="101"/>
      <c r="R1526" s="101"/>
      <c r="S1526" s="110"/>
      <c r="T1526" s="102"/>
      <c r="U1526" s="101"/>
      <c r="V1526" s="103"/>
      <c r="W1526" s="101"/>
    </row>
    <row r="1527" spans="1:23" x14ac:dyDescent="0.25">
      <c r="A1527" s="98"/>
      <c r="H1527" s="101"/>
      <c r="I1527" s="101"/>
      <c r="J1527" s="101"/>
      <c r="K1527" s="101"/>
      <c r="L1527" s="101"/>
      <c r="M1527" s="101"/>
      <c r="N1527" s="101"/>
      <c r="O1527" s="101"/>
      <c r="P1527" s="101"/>
      <c r="Q1527" s="101"/>
      <c r="R1527" s="101"/>
      <c r="S1527" s="110"/>
      <c r="T1527" s="102"/>
      <c r="U1527" s="101"/>
      <c r="V1527" s="103"/>
      <c r="W1527" s="101"/>
    </row>
    <row r="1528" spans="1:23" x14ac:dyDescent="0.25">
      <c r="A1528" s="98"/>
      <c r="H1528" s="101"/>
      <c r="I1528" s="101"/>
      <c r="J1528" s="101"/>
      <c r="K1528" s="101"/>
      <c r="L1528" s="101"/>
      <c r="M1528" s="101"/>
      <c r="N1528" s="101"/>
      <c r="O1528" s="101"/>
      <c r="P1528" s="101"/>
      <c r="Q1528" s="101"/>
      <c r="R1528" s="101"/>
      <c r="S1528" s="110"/>
      <c r="T1528" s="102"/>
      <c r="U1528" s="101"/>
      <c r="V1528" s="103"/>
      <c r="W1528" s="101"/>
    </row>
    <row r="1529" spans="1:23" x14ac:dyDescent="0.25">
      <c r="A1529" s="98"/>
      <c r="H1529" s="101"/>
      <c r="I1529" s="101"/>
      <c r="J1529" s="101"/>
      <c r="K1529" s="101"/>
      <c r="L1529" s="101"/>
      <c r="M1529" s="101"/>
      <c r="N1529" s="101"/>
      <c r="O1529" s="101"/>
      <c r="P1529" s="101"/>
      <c r="Q1529" s="101"/>
      <c r="R1529" s="101"/>
      <c r="S1529" s="110"/>
      <c r="T1529" s="102"/>
      <c r="U1529" s="101"/>
      <c r="V1529" s="103"/>
      <c r="W1529" s="101"/>
    </row>
    <row r="1530" spans="1:23" x14ac:dyDescent="0.25">
      <c r="A1530" s="98"/>
      <c r="H1530" s="101"/>
      <c r="I1530" s="101"/>
      <c r="J1530" s="101"/>
      <c r="K1530" s="101"/>
      <c r="L1530" s="101"/>
      <c r="M1530" s="101"/>
      <c r="N1530" s="101"/>
      <c r="O1530" s="101"/>
      <c r="P1530" s="101"/>
      <c r="Q1530" s="101"/>
      <c r="R1530" s="101"/>
      <c r="S1530" s="110"/>
      <c r="T1530" s="102"/>
      <c r="U1530" s="101"/>
      <c r="V1530" s="103"/>
      <c r="W1530" s="101"/>
    </row>
    <row r="1531" spans="1:23" x14ac:dyDescent="0.25">
      <c r="A1531" s="98"/>
      <c r="H1531" s="101"/>
      <c r="I1531" s="101"/>
      <c r="J1531" s="101"/>
      <c r="K1531" s="101"/>
      <c r="L1531" s="101"/>
      <c r="M1531" s="101"/>
      <c r="N1531" s="101"/>
      <c r="O1531" s="101"/>
      <c r="P1531" s="101"/>
      <c r="Q1531" s="101"/>
      <c r="R1531" s="101"/>
      <c r="S1531" s="110"/>
      <c r="T1531" s="102"/>
      <c r="U1531" s="101"/>
      <c r="V1531" s="103"/>
      <c r="W1531" s="101"/>
    </row>
    <row r="1532" spans="1:23" x14ac:dyDescent="0.25">
      <c r="A1532" s="98"/>
      <c r="H1532" s="101"/>
      <c r="I1532" s="101"/>
      <c r="J1532" s="101"/>
      <c r="K1532" s="101"/>
      <c r="L1532" s="101"/>
      <c r="M1532" s="101"/>
      <c r="N1532" s="101"/>
      <c r="O1532" s="101"/>
      <c r="P1532" s="101"/>
      <c r="Q1532" s="101"/>
      <c r="R1532" s="101"/>
      <c r="S1532" s="110"/>
      <c r="T1532" s="102"/>
      <c r="U1532" s="101"/>
      <c r="V1532" s="103"/>
      <c r="W1532" s="101"/>
    </row>
    <row r="1533" spans="1:23" x14ac:dyDescent="0.25">
      <c r="A1533" s="98"/>
      <c r="H1533" s="101"/>
      <c r="I1533" s="101"/>
      <c r="J1533" s="101"/>
      <c r="K1533" s="101"/>
      <c r="L1533" s="101"/>
      <c r="M1533" s="101"/>
      <c r="N1533" s="101"/>
      <c r="O1533" s="101"/>
      <c r="P1533" s="101"/>
      <c r="Q1533" s="101"/>
      <c r="R1533" s="101"/>
      <c r="S1533" s="110"/>
      <c r="T1533" s="102"/>
      <c r="U1533" s="101"/>
      <c r="V1533" s="103"/>
      <c r="W1533" s="101"/>
    </row>
    <row r="1534" spans="1:23" x14ac:dyDescent="0.25">
      <c r="A1534" s="98"/>
      <c r="H1534" s="101"/>
      <c r="I1534" s="101"/>
      <c r="J1534" s="101"/>
      <c r="K1534" s="101"/>
      <c r="L1534" s="101"/>
      <c r="M1534" s="101"/>
      <c r="N1534" s="101"/>
      <c r="O1534" s="101"/>
      <c r="P1534" s="101"/>
      <c r="Q1534" s="101"/>
      <c r="R1534" s="101"/>
      <c r="S1534" s="110"/>
      <c r="T1534" s="102"/>
      <c r="U1534" s="101"/>
      <c r="V1534" s="103"/>
      <c r="W1534" s="101"/>
    </row>
    <row r="1535" spans="1:23" x14ac:dyDescent="0.25">
      <c r="A1535" s="98"/>
      <c r="H1535" s="101"/>
      <c r="I1535" s="101"/>
      <c r="J1535" s="101"/>
      <c r="K1535" s="101"/>
      <c r="L1535" s="101"/>
      <c r="M1535" s="101"/>
      <c r="N1535" s="101"/>
      <c r="O1535" s="101"/>
      <c r="P1535" s="101"/>
      <c r="Q1535" s="101"/>
      <c r="R1535" s="101"/>
      <c r="S1535" s="110"/>
      <c r="T1535" s="102"/>
      <c r="U1535" s="101"/>
      <c r="V1535" s="103"/>
      <c r="W1535" s="101"/>
    </row>
    <row r="1536" spans="1:23" x14ac:dyDescent="0.25">
      <c r="A1536" s="98"/>
      <c r="H1536" s="101"/>
      <c r="I1536" s="101"/>
      <c r="J1536" s="101"/>
      <c r="K1536" s="101"/>
      <c r="L1536" s="101"/>
      <c r="M1536" s="101"/>
      <c r="N1536" s="101"/>
      <c r="O1536" s="101"/>
      <c r="P1536" s="101"/>
      <c r="Q1536" s="101"/>
      <c r="R1536" s="101"/>
      <c r="S1536" s="110"/>
      <c r="T1536" s="102"/>
      <c r="U1536" s="101"/>
      <c r="V1536" s="103"/>
      <c r="W1536" s="101"/>
    </row>
    <row r="1537" spans="1:23" x14ac:dyDescent="0.25">
      <c r="A1537" s="98"/>
      <c r="H1537" s="101"/>
      <c r="I1537" s="101"/>
      <c r="J1537" s="101"/>
      <c r="K1537" s="101"/>
      <c r="L1537" s="101"/>
      <c r="M1537" s="101"/>
      <c r="N1537" s="101"/>
      <c r="O1537" s="101"/>
      <c r="P1537" s="101"/>
      <c r="Q1537" s="101"/>
      <c r="R1537" s="101"/>
      <c r="S1537" s="110"/>
      <c r="T1537" s="102"/>
      <c r="U1537" s="101"/>
      <c r="V1537" s="103"/>
      <c r="W1537" s="101"/>
    </row>
    <row r="1538" spans="1:23" x14ac:dyDescent="0.25">
      <c r="A1538" s="98"/>
      <c r="H1538" s="101"/>
      <c r="I1538" s="101"/>
      <c r="J1538" s="101"/>
      <c r="K1538" s="101"/>
      <c r="L1538" s="101"/>
      <c r="M1538" s="101"/>
      <c r="N1538" s="101"/>
      <c r="O1538" s="101"/>
      <c r="P1538" s="101"/>
      <c r="Q1538" s="101"/>
      <c r="R1538" s="101"/>
      <c r="S1538" s="110"/>
      <c r="T1538" s="102"/>
      <c r="U1538" s="101"/>
      <c r="V1538" s="103"/>
      <c r="W1538" s="101"/>
    </row>
    <row r="1539" spans="1:23" x14ac:dyDescent="0.25">
      <c r="A1539" s="98"/>
      <c r="H1539" s="101"/>
      <c r="I1539" s="101"/>
      <c r="J1539" s="101"/>
      <c r="K1539" s="101"/>
      <c r="L1539" s="101"/>
      <c r="M1539" s="101"/>
      <c r="N1539" s="101"/>
      <c r="O1539" s="101"/>
      <c r="P1539" s="101"/>
      <c r="Q1539" s="101"/>
      <c r="R1539" s="101"/>
      <c r="S1539" s="110"/>
      <c r="T1539" s="102"/>
      <c r="U1539" s="101"/>
      <c r="V1539" s="103"/>
      <c r="W1539" s="101"/>
    </row>
    <row r="1540" spans="1:23" x14ac:dyDescent="0.25">
      <c r="A1540" s="98"/>
      <c r="H1540" s="101"/>
      <c r="I1540" s="101"/>
      <c r="J1540" s="101"/>
      <c r="K1540" s="101"/>
      <c r="L1540" s="101"/>
      <c r="M1540" s="101"/>
      <c r="N1540" s="101"/>
      <c r="O1540" s="101"/>
      <c r="P1540" s="101"/>
      <c r="Q1540" s="101"/>
      <c r="R1540" s="101"/>
      <c r="S1540" s="110"/>
      <c r="T1540" s="102"/>
      <c r="U1540" s="101"/>
      <c r="V1540" s="103"/>
      <c r="W1540" s="101"/>
    </row>
    <row r="1541" spans="1:23" x14ac:dyDescent="0.25">
      <c r="A1541" s="98"/>
      <c r="H1541" s="101"/>
      <c r="I1541" s="101"/>
      <c r="J1541" s="101"/>
      <c r="K1541" s="101"/>
      <c r="L1541" s="101"/>
      <c r="M1541" s="101"/>
      <c r="N1541" s="101"/>
      <c r="O1541" s="101"/>
      <c r="P1541" s="101"/>
      <c r="Q1541" s="101"/>
      <c r="R1541" s="101"/>
      <c r="S1541" s="110"/>
      <c r="T1541" s="102"/>
      <c r="U1541" s="101"/>
      <c r="V1541" s="103"/>
      <c r="W1541" s="101"/>
    </row>
    <row r="1542" spans="1:23" x14ac:dyDescent="0.25">
      <c r="A1542" s="98"/>
      <c r="H1542" s="101"/>
      <c r="I1542" s="101"/>
      <c r="J1542" s="101"/>
      <c r="K1542" s="101"/>
      <c r="L1542" s="101"/>
      <c r="M1542" s="101"/>
      <c r="N1542" s="101"/>
      <c r="O1542" s="101"/>
      <c r="P1542" s="101"/>
      <c r="Q1542" s="101"/>
      <c r="R1542" s="101"/>
      <c r="S1542" s="110"/>
      <c r="T1542" s="102"/>
      <c r="U1542" s="101"/>
      <c r="V1542" s="103"/>
      <c r="W1542" s="101"/>
    </row>
    <row r="1543" spans="1:23" x14ac:dyDescent="0.25">
      <c r="A1543" s="98"/>
      <c r="H1543" s="101"/>
      <c r="I1543" s="101"/>
      <c r="J1543" s="101"/>
      <c r="K1543" s="101"/>
      <c r="L1543" s="101"/>
      <c r="M1543" s="101"/>
      <c r="N1543" s="101"/>
      <c r="O1543" s="101"/>
      <c r="P1543" s="101"/>
      <c r="Q1543" s="101"/>
      <c r="R1543" s="101"/>
      <c r="S1543" s="110"/>
      <c r="T1543" s="102"/>
      <c r="U1543" s="101"/>
      <c r="V1543" s="103"/>
      <c r="W1543" s="101"/>
    </row>
    <row r="1544" spans="1:23" x14ac:dyDescent="0.25">
      <c r="A1544" s="98"/>
      <c r="H1544" s="101"/>
      <c r="I1544" s="101"/>
      <c r="J1544" s="101"/>
      <c r="K1544" s="101"/>
      <c r="L1544" s="101"/>
      <c r="M1544" s="101"/>
      <c r="N1544" s="101"/>
      <c r="O1544" s="101"/>
      <c r="P1544" s="101"/>
      <c r="Q1544" s="101"/>
      <c r="R1544" s="101"/>
      <c r="S1544" s="110"/>
      <c r="T1544" s="102"/>
      <c r="U1544" s="101"/>
      <c r="V1544" s="103"/>
      <c r="W1544" s="101"/>
    </row>
    <row r="1545" spans="1:23" x14ac:dyDescent="0.25">
      <c r="A1545" s="98"/>
      <c r="H1545" s="101"/>
      <c r="I1545" s="101"/>
      <c r="J1545" s="101"/>
      <c r="K1545" s="101"/>
      <c r="L1545" s="101"/>
      <c r="M1545" s="101"/>
      <c r="N1545" s="101"/>
      <c r="O1545" s="101"/>
      <c r="P1545" s="101"/>
      <c r="Q1545" s="101"/>
      <c r="R1545" s="101"/>
      <c r="S1545" s="110"/>
      <c r="T1545" s="102"/>
      <c r="U1545" s="101"/>
      <c r="V1545" s="103"/>
      <c r="W1545" s="101"/>
    </row>
    <row r="1546" spans="1:23" x14ac:dyDescent="0.25">
      <c r="A1546" s="98"/>
      <c r="H1546" s="101"/>
      <c r="I1546" s="101"/>
      <c r="J1546" s="101"/>
      <c r="K1546" s="101"/>
      <c r="L1546" s="101"/>
      <c r="M1546" s="101"/>
      <c r="N1546" s="101"/>
      <c r="O1546" s="101"/>
      <c r="P1546" s="101"/>
      <c r="Q1546" s="101"/>
      <c r="R1546" s="101"/>
      <c r="S1546" s="110"/>
      <c r="T1546" s="102"/>
      <c r="U1546" s="101"/>
      <c r="V1546" s="103"/>
      <c r="W1546" s="101"/>
    </row>
    <row r="1547" spans="1:23" x14ac:dyDescent="0.25">
      <c r="A1547" s="98"/>
      <c r="H1547" s="101"/>
      <c r="I1547" s="101"/>
      <c r="J1547" s="101"/>
      <c r="K1547" s="101"/>
      <c r="L1547" s="101"/>
      <c r="M1547" s="101"/>
      <c r="N1547" s="101"/>
      <c r="O1547" s="101"/>
      <c r="P1547" s="101"/>
      <c r="Q1547" s="101"/>
      <c r="R1547" s="101"/>
      <c r="S1547" s="110"/>
      <c r="T1547" s="102"/>
      <c r="U1547" s="101"/>
      <c r="V1547" s="103"/>
      <c r="W1547" s="101"/>
    </row>
    <row r="1548" spans="1:23" x14ac:dyDescent="0.25">
      <c r="A1548" s="98"/>
      <c r="H1548" s="101"/>
      <c r="I1548" s="101"/>
      <c r="J1548" s="101"/>
      <c r="K1548" s="101"/>
      <c r="L1548" s="101"/>
      <c r="M1548" s="101"/>
      <c r="N1548" s="101"/>
      <c r="O1548" s="101"/>
      <c r="P1548" s="101"/>
      <c r="Q1548" s="101"/>
      <c r="R1548" s="101"/>
      <c r="S1548" s="110"/>
      <c r="T1548" s="102"/>
      <c r="U1548" s="101"/>
      <c r="V1548" s="103"/>
      <c r="W1548" s="101"/>
    </row>
    <row r="1549" spans="1:23" x14ac:dyDescent="0.25">
      <c r="A1549" s="98"/>
      <c r="H1549" s="101"/>
      <c r="I1549" s="101"/>
      <c r="J1549" s="101"/>
      <c r="K1549" s="101"/>
      <c r="L1549" s="101"/>
      <c r="M1549" s="101"/>
      <c r="N1549" s="101"/>
      <c r="O1549" s="101"/>
      <c r="P1549" s="101"/>
      <c r="Q1549" s="101"/>
      <c r="R1549" s="101"/>
      <c r="S1549" s="110"/>
      <c r="T1549" s="102"/>
      <c r="U1549" s="101"/>
      <c r="V1549" s="103"/>
      <c r="W1549" s="101"/>
    </row>
    <row r="1550" spans="1:23" x14ac:dyDescent="0.25">
      <c r="A1550" s="98"/>
      <c r="H1550" s="101"/>
      <c r="I1550" s="101"/>
      <c r="J1550" s="101"/>
      <c r="K1550" s="101"/>
      <c r="L1550" s="101"/>
      <c r="M1550" s="101"/>
      <c r="N1550" s="101"/>
      <c r="O1550" s="101"/>
      <c r="P1550" s="101"/>
      <c r="Q1550" s="101"/>
      <c r="R1550" s="101"/>
      <c r="S1550" s="110"/>
      <c r="T1550" s="102"/>
      <c r="U1550" s="101"/>
      <c r="V1550" s="103"/>
      <c r="W1550" s="101"/>
    </row>
    <row r="1551" spans="1:23" x14ac:dyDescent="0.25">
      <c r="A1551" s="98"/>
      <c r="H1551" s="101"/>
      <c r="I1551" s="101"/>
      <c r="J1551" s="101"/>
      <c r="K1551" s="101"/>
      <c r="L1551" s="101"/>
      <c r="M1551" s="101"/>
      <c r="N1551" s="101"/>
      <c r="O1551" s="101"/>
      <c r="P1551" s="101"/>
      <c r="Q1551" s="101"/>
      <c r="R1551" s="101"/>
      <c r="S1551" s="110"/>
      <c r="T1551" s="102"/>
      <c r="U1551" s="101"/>
      <c r="V1551" s="103"/>
      <c r="W1551" s="101"/>
    </row>
    <row r="1552" spans="1:23" x14ac:dyDescent="0.25">
      <c r="A1552" s="98"/>
      <c r="H1552" s="101"/>
      <c r="I1552" s="101"/>
      <c r="J1552" s="101"/>
      <c r="K1552" s="101"/>
      <c r="L1552" s="101"/>
      <c r="M1552" s="101"/>
      <c r="N1552" s="101"/>
      <c r="O1552" s="101"/>
      <c r="P1552" s="101"/>
      <c r="Q1552" s="101"/>
      <c r="R1552" s="101"/>
      <c r="S1552" s="110"/>
      <c r="T1552" s="102"/>
      <c r="U1552" s="101"/>
      <c r="V1552" s="103"/>
      <c r="W1552" s="101"/>
    </row>
    <row r="1553" spans="1:23" x14ac:dyDescent="0.25">
      <c r="A1553" s="98"/>
      <c r="H1553" s="101"/>
      <c r="I1553" s="101"/>
      <c r="J1553" s="101"/>
      <c r="K1553" s="101"/>
      <c r="L1553" s="101"/>
      <c r="M1553" s="101"/>
      <c r="N1553" s="101"/>
      <c r="O1553" s="101"/>
      <c r="P1553" s="101"/>
      <c r="Q1553" s="101"/>
      <c r="R1553" s="101"/>
      <c r="S1553" s="110"/>
      <c r="T1553" s="102"/>
      <c r="U1553" s="101"/>
      <c r="V1553" s="103"/>
      <c r="W1553" s="101"/>
    </row>
    <row r="1554" spans="1:23" x14ac:dyDescent="0.25">
      <c r="A1554" s="98"/>
      <c r="H1554" s="101"/>
      <c r="I1554" s="101"/>
      <c r="J1554" s="101"/>
      <c r="K1554" s="101"/>
      <c r="L1554" s="101"/>
      <c r="M1554" s="101"/>
      <c r="N1554" s="101"/>
      <c r="O1554" s="101"/>
      <c r="P1554" s="101"/>
      <c r="Q1554" s="101"/>
      <c r="R1554" s="101"/>
      <c r="S1554" s="110"/>
      <c r="T1554" s="102"/>
      <c r="U1554" s="101"/>
      <c r="V1554" s="103"/>
      <c r="W1554" s="101"/>
    </row>
    <row r="1555" spans="1:23" x14ac:dyDescent="0.25">
      <c r="A1555" s="98"/>
      <c r="H1555" s="101"/>
      <c r="I1555" s="101"/>
      <c r="J1555" s="101"/>
      <c r="K1555" s="101"/>
      <c r="L1555" s="101"/>
      <c r="M1555" s="101"/>
      <c r="N1555" s="101"/>
      <c r="O1555" s="101"/>
      <c r="P1555" s="101"/>
      <c r="Q1555" s="101"/>
      <c r="R1555" s="101"/>
      <c r="S1555" s="110"/>
      <c r="T1555" s="102"/>
      <c r="U1555" s="101"/>
      <c r="V1555" s="103"/>
      <c r="W1555" s="101"/>
    </row>
    <row r="1556" spans="1:23" x14ac:dyDescent="0.25">
      <c r="A1556" s="98"/>
      <c r="H1556" s="101"/>
      <c r="I1556" s="101"/>
      <c r="J1556" s="101"/>
      <c r="K1556" s="101"/>
      <c r="L1556" s="101"/>
      <c r="M1556" s="101"/>
      <c r="N1556" s="101"/>
      <c r="O1556" s="101"/>
      <c r="P1556" s="101"/>
      <c r="Q1556" s="101"/>
      <c r="R1556" s="101"/>
      <c r="S1556" s="110"/>
      <c r="T1556" s="102"/>
      <c r="U1556" s="101"/>
      <c r="V1556" s="103"/>
      <c r="W1556" s="101"/>
    </row>
    <row r="1557" spans="1:23" x14ac:dyDescent="0.25">
      <c r="A1557" s="98"/>
      <c r="H1557" s="101"/>
      <c r="I1557" s="101"/>
      <c r="J1557" s="101"/>
      <c r="K1557" s="101"/>
      <c r="L1557" s="101"/>
      <c r="M1557" s="101"/>
      <c r="N1557" s="101"/>
      <c r="O1557" s="101"/>
      <c r="P1557" s="101"/>
      <c r="Q1557" s="101"/>
      <c r="R1557" s="101"/>
      <c r="S1557" s="110"/>
      <c r="T1557" s="102"/>
      <c r="U1557" s="101"/>
      <c r="V1557" s="103"/>
      <c r="W1557" s="101"/>
    </row>
    <row r="1558" spans="1:23" x14ac:dyDescent="0.25">
      <c r="A1558" s="98"/>
      <c r="H1558" s="101"/>
      <c r="I1558" s="101"/>
      <c r="J1558" s="101"/>
      <c r="K1558" s="101"/>
      <c r="L1558" s="101"/>
      <c r="M1558" s="101"/>
      <c r="N1558" s="101"/>
      <c r="O1558" s="101"/>
      <c r="P1558" s="101"/>
      <c r="Q1558" s="101"/>
      <c r="R1558" s="101"/>
      <c r="S1558" s="110"/>
      <c r="T1558" s="102"/>
      <c r="U1558" s="101"/>
      <c r="V1558" s="103"/>
      <c r="W1558" s="101"/>
    </row>
    <row r="1559" spans="1:23" x14ac:dyDescent="0.25">
      <c r="A1559" s="98"/>
      <c r="H1559" s="101"/>
      <c r="I1559" s="101"/>
      <c r="J1559" s="101"/>
      <c r="K1559" s="101"/>
      <c r="L1559" s="101"/>
      <c r="M1559" s="101"/>
      <c r="N1559" s="101"/>
      <c r="O1559" s="101"/>
      <c r="P1559" s="101"/>
      <c r="Q1559" s="101"/>
      <c r="R1559" s="101"/>
      <c r="S1559" s="110"/>
      <c r="T1559" s="102"/>
      <c r="U1559" s="101"/>
      <c r="V1559" s="103"/>
      <c r="W1559" s="101"/>
    </row>
    <row r="1560" spans="1:23" x14ac:dyDescent="0.25">
      <c r="A1560" s="98"/>
      <c r="H1560" s="101"/>
      <c r="I1560" s="101"/>
      <c r="J1560" s="101"/>
      <c r="K1560" s="101"/>
      <c r="L1560" s="101"/>
      <c r="M1560" s="101"/>
      <c r="N1560" s="101"/>
      <c r="O1560" s="101"/>
      <c r="P1560" s="101"/>
      <c r="Q1560" s="101"/>
      <c r="R1560" s="101"/>
      <c r="S1560" s="110"/>
      <c r="T1560" s="102"/>
      <c r="U1560" s="101"/>
      <c r="V1560" s="103"/>
      <c r="W1560" s="101"/>
    </row>
    <row r="1561" spans="1:23" x14ac:dyDescent="0.25">
      <c r="A1561" s="98"/>
      <c r="H1561" s="101"/>
      <c r="I1561" s="101"/>
      <c r="J1561" s="101"/>
      <c r="K1561" s="101"/>
      <c r="L1561" s="101"/>
      <c r="M1561" s="101"/>
      <c r="N1561" s="101"/>
      <c r="O1561" s="101"/>
      <c r="P1561" s="101"/>
      <c r="Q1561" s="101"/>
      <c r="R1561" s="101"/>
      <c r="S1561" s="110"/>
      <c r="T1561" s="102"/>
      <c r="U1561" s="101"/>
      <c r="V1561" s="103"/>
      <c r="W1561" s="101"/>
    </row>
    <row r="1562" spans="1:23" x14ac:dyDescent="0.25">
      <c r="A1562" s="98"/>
      <c r="H1562" s="101"/>
      <c r="I1562" s="101"/>
      <c r="J1562" s="101"/>
      <c r="K1562" s="101"/>
      <c r="L1562" s="101"/>
      <c r="M1562" s="101"/>
      <c r="N1562" s="101"/>
      <c r="O1562" s="101"/>
      <c r="P1562" s="101"/>
      <c r="Q1562" s="101"/>
      <c r="R1562" s="101"/>
      <c r="S1562" s="110"/>
      <c r="T1562" s="102"/>
      <c r="U1562" s="101"/>
      <c r="V1562" s="103"/>
      <c r="W1562" s="101"/>
    </row>
    <row r="1563" spans="1:23" x14ac:dyDescent="0.25">
      <c r="A1563" s="98"/>
      <c r="H1563" s="101"/>
      <c r="I1563" s="101"/>
      <c r="J1563" s="101"/>
      <c r="K1563" s="101"/>
      <c r="L1563" s="101"/>
      <c r="M1563" s="101"/>
      <c r="N1563" s="101"/>
      <c r="O1563" s="101"/>
      <c r="P1563" s="101"/>
      <c r="Q1563" s="101"/>
      <c r="R1563" s="101"/>
      <c r="S1563" s="110"/>
      <c r="T1563" s="102"/>
      <c r="U1563" s="101"/>
      <c r="V1563" s="103"/>
      <c r="W1563" s="101"/>
    </row>
    <row r="1564" spans="1:23" x14ac:dyDescent="0.25">
      <c r="A1564" s="98"/>
      <c r="H1564" s="101"/>
      <c r="I1564" s="101"/>
      <c r="J1564" s="101"/>
      <c r="K1564" s="101"/>
      <c r="L1564" s="101"/>
      <c r="M1564" s="101"/>
      <c r="N1564" s="101"/>
      <c r="O1564" s="101"/>
      <c r="P1564" s="101"/>
      <c r="Q1564" s="101"/>
      <c r="R1564" s="101"/>
      <c r="S1564" s="110"/>
      <c r="T1564" s="102"/>
      <c r="U1564" s="101"/>
      <c r="V1564" s="103"/>
      <c r="W1564" s="101"/>
    </row>
    <row r="1565" spans="1:23" x14ac:dyDescent="0.25">
      <c r="A1565" s="98"/>
      <c r="H1565" s="101"/>
      <c r="I1565" s="101"/>
      <c r="J1565" s="101"/>
      <c r="K1565" s="101"/>
      <c r="L1565" s="101"/>
      <c r="M1565" s="101"/>
      <c r="N1565" s="101"/>
      <c r="O1565" s="101"/>
      <c r="P1565" s="101"/>
      <c r="Q1565" s="101"/>
      <c r="R1565" s="101"/>
      <c r="S1565" s="110"/>
      <c r="T1565" s="102"/>
      <c r="U1565" s="101"/>
      <c r="V1565" s="103"/>
      <c r="W1565" s="101"/>
    </row>
    <row r="1566" spans="1:23" x14ac:dyDescent="0.25">
      <c r="A1566" s="98"/>
      <c r="H1566" s="101"/>
      <c r="I1566" s="101"/>
      <c r="J1566" s="101"/>
      <c r="K1566" s="101"/>
      <c r="L1566" s="101"/>
      <c r="M1566" s="101"/>
      <c r="N1566" s="101"/>
      <c r="O1566" s="101"/>
      <c r="P1566" s="101"/>
      <c r="Q1566" s="101"/>
      <c r="R1566" s="101"/>
      <c r="S1566" s="110"/>
      <c r="T1566" s="102"/>
      <c r="U1566" s="101"/>
      <c r="V1566" s="103"/>
      <c r="W1566" s="101"/>
    </row>
    <row r="1567" spans="1:23" x14ac:dyDescent="0.25">
      <c r="A1567" s="98"/>
      <c r="H1567" s="101"/>
      <c r="I1567" s="101"/>
      <c r="J1567" s="101"/>
      <c r="K1567" s="101"/>
      <c r="L1567" s="101"/>
      <c r="M1567" s="101"/>
      <c r="N1567" s="101"/>
      <c r="O1567" s="101"/>
      <c r="P1567" s="101"/>
      <c r="Q1567" s="101"/>
      <c r="R1567" s="101"/>
      <c r="S1567" s="110"/>
      <c r="T1567" s="102"/>
      <c r="U1567" s="101"/>
      <c r="V1567" s="103"/>
      <c r="W1567" s="101"/>
    </row>
    <row r="1568" spans="1:23" x14ac:dyDescent="0.25">
      <c r="A1568" s="98"/>
      <c r="H1568" s="101"/>
      <c r="I1568" s="101"/>
      <c r="J1568" s="101"/>
      <c r="K1568" s="101"/>
      <c r="L1568" s="101"/>
      <c r="M1568" s="101"/>
      <c r="N1568" s="101"/>
      <c r="O1568" s="101"/>
      <c r="P1568" s="101"/>
      <c r="Q1568" s="101"/>
      <c r="R1568" s="101"/>
      <c r="S1568" s="110"/>
      <c r="T1568" s="102"/>
      <c r="U1568" s="101"/>
      <c r="V1568" s="103"/>
      <c r="W1568" s="101"/>
    </row>
    <row r="1569" spans="1:23" x14ac:dyDescent="0.25">
      <c r="A1569" s="98"/>
      <c r="H1569" s="101"/>
      <c r="I1569" s="101"/>
      <c r="J1569" s="101"/>
      <c r="K1569" s="101"/>
      <c r="L1569" s="101"/>
      <c r="M1569" s="101"/>
      <c r="N1569" s="101"/>
      <c r="O1569" s="101"/>
      <c r="P1569" s="101"/>
      <c r="Q1569" s="101"/>
      <c r="R1569" s="101"/>
      <c r="S1569" s="110"/>
      <c r="T1569" s="102"/>
      <c r="U1569" s="101"/>
      <c r="V1569" s="103"/>
      <c r="W1569" s="101"/>
    </row>
    <row r="1570" spans="1:23" x14ac:dyDescent="0.25">
      <c r="A1570" s="98"/>
      <c r="H1570" s="101"/>
      <c r="I1570" s="101"/>
      <c r="J1570" s="101"/>
      <c r="K1570" s="101"/>
      <c r="L1570" s="101"/>
      <c r="M1570" s="101"/>
      <c r="N1570" s="101"/>
      <c r="O1570" s="101"/>
      <c r="P1570" s="101"/>
      <c r="Q1570" s="101"/>
      <c r="R1570" s="101"/>
      <c r="S1570" s="110"/>
      <c r="T1570" s="102"/>
      <c r="U1570" s="101"/>
      <c r="V1570" s="103"/>
      <c r="W1570" s="101"/>
    </row>
    <row r="1571" spans="1:23" x14ac:dyDescent="0.25">
      <c r="A1571" s="98"/>
      <c r="H1571" s="101"/>
      <c r="I1571" s="101"/>
      <c r="J1571" s="101"/>
      <c r="K1571" s="101"/>
      <c r="L1571" s="101"/>
      <c r="M1571" s="101"/>
      <c r="N1571" s="101"/>
      <c r="O1571" s="101"/>
      <c r="P1571" s="101"/>
      <c r="Q1571" s="101"/>
      <c r="R1571" s="101"/>
      <c r="S1571" s="110"/>
      <c r="T1571" s="102"/>
      <c r="U1571" s="101"/>
      <c r="V1571" s="103"/>
      <c r="W1571" s="101"/>
    </row>
    <row r="1572" spans="1:23" x14ac:dyDescent="0.25">
      <c r="A1572" s="98"/>
      <c r="H1572" s="101"/>
      <c r="I1572" s="101"/>
      <c r="J1572" s="101"/>
      <c r="K1572" s="101"/>
      <c r="L1572" s="101"/>
      <c r="M1572" s="101"/>
      <c r="N1572" s="101"/>
      <c r="O1572" s="101"/>
      <c r="P1572" s="101"/>
      <c r="Q1572" s="101"/>
      <c r="R1572" s="101"/>
      <c r="S1572" s="110"/>
      <c r="T1572" s="102"/>
      <c r="U1572" s="101"/>
      <c r="V1572" s="103"/>
      <c r="W1572" s="101"/>
    </row>
    <row r="1573" spans="1:23" x14ac:dyDescent="0.25">
      <c r="A1573" s="98"/>
      <c r="H1573" s="101"/>
      <c r="I1573" s="101"/>
      <c r="J1573" s="101"/>
      <c r="K1573" s="101"/>
      <c r="L1573" s="101"/>
      <c r="M1573" s="101"/>
      <c r="N1573" s="101"/>
      <c r="O1573" s="101"/>
      <c r="P1573" s="101"/>
      <c r="Q1573" s="101"/>
      <c r="R1573" s="101"/>
      <c r="S1573" s="110"/>
      <c r="T1573" s="102"/>
      <c r="U1573" s="101"/>
      <c r="V1573" s="103"/>
      <c r="W1573" s="101"/>
    </row>
    <row r="1574" spans="1:23" x14ac:dyDescent="0.25">
      <c r="A1574" s="98"/>
      <c r="H1574" s="101"/>
      <c r="I1574" s="101"/>
      <c r="J1574" s="101"/>
      <c r="K1574" s="101"/>
      <c r="L1574" s="101"/>
      <c r="M1574" s="101"/>
      <c r="N1574" s="101"/>
      <c r="O1574" s="101"/>
      <c r="P1574" s="101"/>
      <c r="Q1574" s="101"/>
      <c r="R1574" s="101"/>
      <c r="S1574" s="110"/>
      <c r="T1574" s="102"/>
      <c r="U1574" s="101"/>
      <c r="V1574" s="103"/>
      <c r="W1574" s="101"/>
    </row>
    <row r="1575" spans="1:23" x14ac:dyDescent="0.25">
      <c r="A1575" s="98"/>
      <c r="H1575" s="101"/>
      <c r="I1575" s="101"/>
      <c r="J1575" s="101"/>
      <c r="K1575" s="101"/>
      <c r="L1575" s="101"/>
      <c r="M1575" s="101"/>
      <c r="N1575" s="101"/>
      <c r="O1575" s="101"/>
      <c r="P1575" s="101"/>
      <c r="Q1575" s="101"/>
      <c r="R1575" s="101"/>
      <c r="S1575" s="110"/>
      <c r="T1575" s="102"/>
      <c r="U1575" s="101"/>
      <c r="V1575" s="103"/>
      <c r="W1575" s="101"/>
    </row>
    <row r="1576" spans="1:23" x14ac:dyDescent="0.25">
      <c r="A1576" s="98"/>
      <c r="H1576" s="101"/>
      <c r="I1576" s="101"/>
      <c r="J1576" s="101"/>
      <c r="K1576" s="101"/>
      <c r="L1576" s="101"/>
      <c r="M1576" s="101"/>
      <c r="N1576" s="101"/>
      <c r="O1576" s="101"/>
      <c r="P1576" s="101"/>
      <c r="Q1576" s="101"/>
      <c r="R1576" s="101"/>
      <c r="S1576" s="110"/>
      <c r="T1576" s="102"/>
      <c r="U1576" s="101"/>
      <c r="V1576" s="103"/>
      <c r="W1576" s="101"/>
    </row>
    <row r="1577" spans="1:23" x14ac:dyDescent="0.25">
      <c r="A1577" s="98"/>
      <c r="H1577" s="101"/>
      <c r="I1577" s="101"/>
      <c r="J1577" s="101"/>
      <c r="K1577" s="101"/>
      <c r="L1577" s="101"/>
      <c r="M1577" s="101"/>
      <c r="N1577" s="101"/>
      <c r="O1577" s="101"/>
      <c r="P1577" s="101"/>
      <c r="Q1577" s="101"/>
      <c r="R1577" s="101"/>
      <c r="S1577" s="110"/>
      <c r="T1577" s="102"/>
      <c r="U1577" s="101"/>
      <c r="V1577" s="103"/>
      <c r="W1577" s="101"/>
    </row>
    <row r="1578" spans="1:23" x14ac:dyDescent="0.25">
      <c r="A1578" s="98"/>
      <c r="H1578" s="101"/>
      <c r="I1578" s="101"/>
      <c r="J1578" s="101"/>
      <c r="K1578" s="101"/>
      <c r="L1578" s="101"/>
      <c r="M1578" s="101"/>
      <c r="N1578" s="101"/>
      <c r="O1578" s="101"/>
      <c r="P1578" s="101"/>
      <c r="Q1578" s="101"/>
      <c r="R1578" s="101"/>
      <c r="S1578" s="110"/>
      <c r="T1578" s="102"/>
      <c r="U1578" s="101"/>
      <c r="V1578" s="103"/>
      <c r="W1578" s="101"/>
    </row>
    <row r="1579" spans="1:23" x14ac:dyDescent="0.25">
      <c r="A1579" s="98"/>
      <c r="H1579" s="101"/>
      <c r="I1579" s="101"/>
      <c r="J1579" s="101"/>
      <c r="K1579" s="101"/>
      <c r="L1579" s="101"/>
      <c r="M1579" s="101"/>
      <c r="N1579" s="101"/>
      <c r="O1579" s="101"/>
      <c r="P1579" s="101"/>
      <c r="Q1579" s="101"/>
      <c r="R1579" s="101"/>
      <c r="S1579" s="110"/>
      <c r="T1579" s="102"/>
      <c r="U1579" s="101"/>
      <c r="V1579" s="103"/>
      <c r="W1579" s="101"/>
    </row>
    <row r="1580" spans="1:23" x14ac:dyDescent="0.25">
      <c r="A1580" s="98"/>
      <c r="H1580" s="101"/>
      <c r="I1580" s="101"/>
      <c r="J1580" s="101"/>
      <c r="K1580" s="101"/>
      <c r="L1580" s="101"/>
      <c r="M1580" s="101"/>
      <c r="N1580" s="101"/>
      <c r="O1580" s="101"/>
      <c r="P1580" s="101"/>
      <c r="Q1580" s="101"/>
      <c r="R1580" s="101"/>
      <c r="S1580" s="110"/>
      <c r="T1580" s="102"/>
      <c r="U1580" s="101"/>
      <c r="V1580" s="103"/>
      <c r="W1580" s="101"/>
    </row>
    <row r="1581" spans="1:23" x14ac:dyDescent="0.25">
      <c r="A1581" s="98"/>
      <c r="H1581" s="101"/>
      <c r="I1581" s="101"/>
      <c r="J1581" s="101"/>
      <c r="K1581" s="101"/>
      <c r="L1581" s="101"/>
      <c r="M1581" s="101"/>
      <c r="N1581" s="101"/>
      <c r="O1581" s="101"/>
      <c r="P1581" s="101"/>
      <c r="Q1581" s="101"/>
      <c r="R1581" s="101"/>
      <c r="S1581" s="110"/>
      <c r="T1581" s="102"/>
      <c r="U1581" s="101"/>
      <c r="V1581" s="103"/>
      <c r="W1581" s="101"/>
    </row>
    <row r="1582" spans="1:23" x14ac:dyDescent="0.25">
      <c r="A1582" s="98"/>
      <c r="H1582" s="101"/>
      <c r="I1582" s="101"/>
      <c r="J1582" s="101"/>
      <c r="K1582" s="101"/>
      <c r="L1582" s="101"/>
      <c r="M1582" s="101"/>
      <c r="N1582" s="101"/>
      <c r="O1582" s="101"/>
      <c r="P1582" s="101"/>
      <c r="Q1582" s="101"/>
      <c r="R1582" s="101"/>
      <c r="S1582" s="110"/>
      <c r="T1582" s="102"/>
      <c r="U1582" s="101"/>
      <c r="V1582" s="103"/>
      <c r="W1582" s="101"/>
    </row>
    <row r="1583" spans="1:23" x14ac:dyDescent="0.25">
      <c r="A1583" s="98"/>
      <c r="H1583" s="101"/>
      <c r="I1583" s="101"/>
      <c r="J1583" s="101"/>
      <c r="K1583" s="101"/>
      <c r="L1583" s="101"/>
      <c r="M1583" s="101"/>
      <c r="N1583" s="101"/>
      <c r="O1583" s="101"/>
      <c r="P1583" s="101"/>
      <c r="Q1583" s="101"/>
      <c r="R1583" s="101"/>
      <c r="S1583" s="110"/>
      <c r="T1583" s="102"/>
      <c r="U1583" s="101"/>
      <c r="V1583" s="103"/>
      <c r="W1583" s="101"/>
    </row>
    <row r="1584" spans="1:23" x14ac:dyDescent="0.25">
      <c r="A1584" s="98"/>
      <c r="H1584" s="101"/>
      <c r="I1584" s="101"/>
      <c r="J1584" s="101"/>
      <c r="K1584" s="101"/>
      <c r="L1584" s="101"/>
      <c r="M1584" s="101"/>
      <c r="N1584" s="101"/>
      <c r="O1584" s="101"/>
      <c r="P1584" s="101"/>
      <c r="Q1584" s="101"/>
      <c r="R1584" s="101"/>
      <c r="S1584" s="110"/>
      <c r="T1584" s="102"/>
      <c r="U1584" s="101"/>
      <c r="V1584" s="103"/>
      <c r="W1584" s="101"/>
    </row>
    <row r="1585" spans="1:23" x14ac:dyDescent="0.25">
      <c r="A1585" s="98"/>
      <c r="H1585" s="101"/>
      <c r="I1585" s="101"/>
      <c r="J1585" s="101"/>
      <c r="K1585" s="101"/>
      <c r="L1585" s="101"/>
      <c r="M1585" s="101"/>
      <c r="N1585" s="101"/>
      <c r="O1585" s="101"/>
      <c r="P1585" s="101"/>
      <c r="Q1585" s="101"/>
      <c r="R1585" s="101"/>
      <c r="S1585" s="110"/>
      <c r="T1585" s="102"/>
      <c r="U1585" s="101"/>
      <c r="V1585" s="103"/>
      <c r="W1585" s="101"/>
    </row>
    <row r="1586" spans="1:23" x14ac:dyDescent="0.25">
      <c r="A1586" s="98"/>
      <c r="H1586" s="101"/>
      <c r="I1586" s="101"/>
      <c r="J1586" s="101"/>
      <c r="K1586" s="101"/>
      <c r="L1586" s="101"/>
      <c r="M1586" s="101"/>
      <c r="N1586" s="101"/>
      <c r="O1586" s="101"/>
      <c r="P1586" s="101"/>
      <c r="Q1586" s="101"/>
      <c r="R1586" s="101"/>
      <c r="S1586" s="110"/>
      <c r="T1586" s="102"/>
      <c r="U1586" s="101"/>
      <c r="V1586" s="103"/>
      <c r="W1586" s="101"/>
    </row>
    <row r="1587" spans="1:23" x14ac:dyDescent="0.25">
      <c r="A1587" s="98"/>
      <c r="H1587" s="101"/>
      <c r="I1587" s="101"/>
      <c r="J1587" s="101"/>
      <c r="K1587" s="101"/>
      <c r="L1587" s="101"/>
      <c r="M1587" s="101"/>
      <c r="N1587" s="101"/>
      <c r="O1587" s="101"/>
      <c r="P1587" s="101"/>
      <c r="Q1587" s="101"/>
      <c r="R1587" s="101"/>
      <c r="S1587" s="110"/>
      <c r="T1587" s="102"/>
      <c r="U1587" s="101"/>
      <c r="V1587" s="103"/>
      <c r="W1587" s="101"/>
    </row>
    <row r="1588" spans="1:23" x14ac:dyDescent="0.25">
      <c r="A1588" s="98"/>
      <c r="H1588" s="101"/>
      <c r="I1588" s="101"/>
      <c r="J1588" s="101"/>
      <c r="K1588" s="101"/>
      <c r="L1588" s="101"/>
      <c r="M1588" s="101"/>
      <c r="N1588" s="101"/>
      <c r="O1588" s="101"/>
      <c r="P1588" s="101"/>
      <c r="Q1588" s="101"/>
      <c r="R1588" s="101"/>
      <c r="S1588" s="110"/>
      <c r="T1588" s="102"/>
      <c r="U1588" s="101"/>
      <c r="V1588" s="103"/>
      <c r="W1588" s="101"/>
    </row>
    <row r="1589" spans="1:23" x14ac:dyDescent="0.25">
      <c r="A1589" s="98"/>
      <c r="H1589" s="101"/>
      <c r="I1589" s="101"/>
      <c r="J1589" s="101"/>
      <c r="K1589" s="101"/>
      <c r="L1589" s="101"/>
      <c r="M1589" s="101"/>
      <c r="N1589" s="101"/>
      <c r="O1589" s="101"/>
      <c r="P1589" s="101"/>
      <c r="Q1589" s="101"/>
      <c r="R1589" s="101"/>
      <c r="S1589" s="110"/>
      <c r="T1589" s="102"/>
      <c r="U1589" s="101"/>
      <c r="V1589" s="103"/>
      <c r="W1589" s="101"/>
    </row>
    <row r="1590" spans="1:23" x14ac:dyDescent="0.25">
      <c r="A1590" s="98"/>
      <c r="H1590" s="101"/>
      <c r="I1590" s="101"/>
      <c r="J1590" s="101"/>
      <c r="K1590" s="101"/>
      <c r="L1590" s="101"/>
      <c r="M1590" s="101"/>
      <c r="N1590" s="101"/>
      <c r="O1590" s="101"/>
      <c r="P1590" s="101"/>
      <c r="Q1590" s="101"/>
      <c r="R1590" s="101"/>
      <c r="S1590" s="110"/>
      <c r="T1590" s="102"/>
      <c r="U1590" s="101"/>
      <c r="V1590" s="103"/>
      <c r="W1590" s="101"/>
    </row>
    <row r="1591" spans="1:23" x14ac:dyDescent="0.25">
      <c r="A1591" s="98"/>
      <c r="H1591" s="101"/>
      <c r="I1591" s="101"/>
      <c r="J1591" s="101"/>
      <c r="K1591" s="101"/>
      <c r="L1591" s="101"/>
      <c r="M1591" s="101"/>
      <c r="N1591" s="101"/>
      <c r="O1591" s="101"/>
      <c r="P1591" s="101"/>
      <c r="Q1591" s="101"/>
      <c r="R1591" s="101"/>
      <c r="S1591" s="110"/>
      <c r="T1591" s="102"/>
      <c r="U1591" s="101"/>
      <c r="V1591" s="103"/>
      <c r="W1591" s="101"/>
    </row>
    <row r="1592" spans="1:23" x14ac:dyDescent="0.25">
      <c r="A1592" s="98"/>
      <c r="H1592" s="101"/>
      <c r="I1592" s="101"/>
      <c r="J1592" s="101"/>
      <c r="K1592" s="101"/>
      <c r="L1592" s="101"/>
      <c r="M1592" s="101"/>
      <c r="N1592" s="101"/>
      <c r="O1592" s="101"/>
      <c r="P1592" s="101"/>
      <c r="Q1592" s="101"/>
      <c r="R1592" s="101"/>
      <c r="S1592" s="110"/>
      <c r="T1592" s="102"/>
      <c r="U1592" s="101"/>
      <c r="V1592" s="103"/>
      <c r="W1592" s="101"/>
    </row>
    <row r="1593" spans="1:23" x14ac:dyDescent="0.25">
      <c r="A1593" s="98"/>
      <c r="H1593" s="101"/>
      <c r="I1593" s="101"/>
      <c r="J1593" s="101"/>
      <c r="K1593" s="101"/>
      <c r="L1593" s="101"/>
      <c r="M1593" s="101"/>
      <c r="N1593" s="101"/>
      <c r="O1593" s="101"/>
      <c r="P1593" s="101"/>
      <c r="Q1593" s="101"/>
      <c r="R1593" s="101"/>
      <c r="S1593" s="110"/>
      <c r="T1593" s="102"/>
      <c r="U1593" s="101"/>
      <c r="V1593" s="103"/>
      <c r="W1593" s="101"/>
    </row>
    <row r="1594" spans="1:23" x14ac:dyDescent="0.25">
      <c r="A1594" s="98"/>
      <c r="H1594" s="101"/>
      <c r="I1594" s="101"/>
      <c r="J1594" s="101"/>
      <c r="K1594" s="101"/>
      <c r="L1594" s="101"/>
      <c r="M1594" s="101"/>
      <c r="N1594" s="101"/>
      <c r="O1594" s="101"/>
      <c r="P1594" s="101"/>
      <c r="Q1594" s="101"/>
      <c r="R1594" s="101"/>
      <c r="S1594" s="110"/>
      <c r="T1594" s="102"/>
      <c r="U1594" s="101"/>
      <c r="V1594" s="103"/>
      <c r="W1594" s="101"/>
    </row>
    <row r="1595" spans="1:23" x14ac:dyDescent="0.25">
      <c r="A1595" s="98"/>
      <c r="H1595" s="101"/>
      <c r="I1595" s="101"/>
      <c r="J1595" s="101"/>
      <c r="K1595" s="101"/>
      <c r="L1595" s="101"/>
      <c r="M1595" s="101"/>
      <c r="N1595" s="101"/>
      <c r="O1595" s="101"/>
      <c r="P1595" s="101"/>
      <c r="Q1595" s="101"/>
      <c r="R1595" s="101"/>
      <c r="S1595" s="110"/>
      <c r="T1595" s="102"/>
      <c r="U1595" s="101"/>
      <c r="V1595" s="103"/>
      <c r="W1595" s="101"/>
    </row>
    <row r="1596" spans="1:23" x14ac:dyDescent="0.25">
      <c r="A1596" s="98"/>
      <c r="H1596" s="101"/>
      <c r="I1596" s="101"/>
      <c r="J1596" s="101"/>
      <c r="K1596" s="101"/>
      <c r="L1596" s="101"/>
      <c r="M1596" s="101"/>
      <c r="N1596" s="101"/>
      <c r="O1596" s="101"/>
      <c r="P1596" s="101"/>
      <c r="Q1596" s="101"/>
      <c r="R1596" s="101"/>
      <c r="S1596" s="110"/>
      <c r="T1596" s="102"/>
      <c r="U1596" s="101"/>
      <c r="V1596" s="103"/>
      <c r="W1596" s="101"/>
    </row>
    <row r="1597" spans="1:23" x14ac:dyDescent="0.25">
      <c r="A1597" s="98"/>
      <c r="H1597" s="101"/>
      <c r="I1597" s="101"/>
      <c r="J1597" s="101"/>
      <c r="K1597" s="101"/>
      <c r="L1597" s="101"/>
      <c r="M1597" s="101"/>
      <c r="N1597" s="101"/>
      <c r="O1597" s="101"/>
      <c r="P1597" s="101"/>
      <c r="Q1597" s="101"/>
      <c r="R1597" s="101"/>
      <c r="S1597" s="110"/>
      <c r="T1597" s="102"/>
      <c r="U1597" s="101"/>
      <c r="V1597" s="103"/>
      <c r="W1597" s="101"/>
    </row>
    <row r="1598" spans="1:23" x14ac:dyDescent="0.25">
      <c r="A1598" s="98"/>
      <c r="H1598" s="101"/>
      <c r="I1598" s="101"/>
      <c r="J1598" s="101"/>
      <c r="K1598" s="101"/>
      <c r="L1598" s="101"/>
      <c r="M1598" s="101"/>
      <c r="N1598" s="101"/>
      <c r="O1598" s="101"/>
      <c r="P1598" s="101"/>
      <c r="Q1598" s="101"/>
      <c r="R1598" s="101"/>
      <c r="S1598" s="110"/>
      <c r="T1598" s="102"/>
      <c r="U1598" s="101"/>
      <c r="V1598" s="103"/>
      <c r="W1598" s="101"/>
    </row>
    <row r="1599" spans="1:23" x14ac:dyDescent="0.25">
      <c r="A1599" s="98"/>
      <c r="H1599" s="101"/>
      <c r="I1599" s="101"/>
      <c r="J1599" s="101"/>
      <c r="K1599" s="101"/>
      <c r="L1599" s="101"/>
      <c r="M1599" s="101"/>
      <c r="N1599" s="101"/>
      <c r="O1599" s="101"/>
      <c r="P1599" s="101"/>
      <c r="Q1599" s="101"/>
      <c r="R1599" s="101"/>
      <c r="S1599" s="110"/>
      <c r="T1599" s="102"/>
      <c r="U1599" s="101"/>
      <c r="V1599" s="103"/>
      <c r="W1599" s="101"/>
    </row>
    <row r="1600" spans="1:23" x14ac:dyDescent="0.25">
      <c r="A1600" s="98"/>
      <c r="H1600" s="101"/>
      <c r="I1600" s="101"/>
      <c r="J1600" s="101"/>
      <c r="K1600" s="101"/>
      <c r="L1600" s="101"/>
      <c r="M1600" s="101"/>
      <c r="N1600" s="101"/>
      <c r="O1600" s="101"/>
      <c r="P1600" s="101"/>
      <c r="Q1600" s="101"/>
      <c r="R1600" s="101"/>
      <c r="S1600" s="110"/>
      <c r="T1600" s="102"/>
      <c r="U1600" s="101"/>
      <c r="V1600" s="103"/>
      <c r="W1600" s="101"/>
    </row>
    <row r="1601" spans="1:23" x14ac:dyDescent="0.25">
      <c r="A1601" s="98"/>
      <c r="H1601" s="101"/>
      <c r="I1601" s="101"/>
      <c r="J1601" s="101"/>
      <c r="K1601" s="101"/>
      <c r="L1601" s="101"/>
      <c r="M1601" s="101"/>
      <c r="N1601" s="101"/>
      <c r="O1601" s="101"/>
      <c r="P1601" s="101"/>
      <c r="Q1601" s="101"/>
      <c r="R1601" s="101"/>
      <c r="S1601" s="110"/>
      <c r="T1601" s="102"/>
      <c r="U1601" s="101"/>
      <c r="V1601" s="103"/>
      <c r="W1601" s="101"/>
    </row>
    <row r="1602" spans="1:23" x14ac:dyDescent="0.25">
      <c r="A1602" s="98"/>
      <c r="H1602" s="101"/>
      <c r="I1602" s="101"/>
      <c r="J1602" s="101"/>
      <c r="K1602" s="101"/>
      <c r="L1602" s="101"/>
      <c r="M1602" s="101"/>
      <c r="N1602" s="101"/>
      <c r="O1602" s="101"/>
      <c r="P1602" s="101"/>
      <c r="Q1602" s="101"/>
      <c r="R1602" s="101"/>
      <c r="S1602" s="110"/>
      <c r="T1602" s="102"/>
      <c r="U1602" s="101"/>
      <c r="V1602" s="103"/>
      <c r="W1602" s="101"/>
    </row>
    <row r="1603" spans="1:23" x14ac:dyDescent="0.25">
      <c r="A1603" s="98"/>
      <c r="H1603" s="101"/>
      <c r="I1603" s="101"/>
      <c r="J1603" s="101"/>
      <c r="K1603" s="101"/>
      <c r="L1603" s="101"/>
      <c r="M1603" s="101"/>
      <c r="N1603" s="101"/>
      <c r="O1603" s="101"/>
      <c r="P1603" s="101"/>
      <c r="Q1603" s="101"/>
      <c r="R1603" s="101"/>
      <c r="S1603" s="110"/>
      <c r="T1603" s="102"/>
      <c r="U1603" s="101"/>
      <c r="V1603" s="103"/>
      <c r="W1603" s="101"/>
    </row>
    <row r="1604" spans="1:23" x14ac:dyDescent="0.25">
      <c r="A1604" s="98"/>
      <c r="H1604" s="101"/>
      <c r="I1604" s="101"/>
      <c r="J1604" s="101"/>
      <c r="K1604" s="101"/>
      <c r="L1604" s="101"/>
      <c r="M1604" s="101"/>
      <c r="N1604" s="101"/>
      <c r="O1604" s="101"/>
      <c r="P1604" s="101"/>
      <c r="Q1604" s="101"/>
      <c r="R1604" s="101"/>
      <c r="S1604" s="110"/>
      <c r="T1604" s="102"/>
      <c r="U1604" s="101"/>
      <c r="V1604" s="103"/>
      <c r="W1604" s="101"/>
    </row>
    <row r="1605" spans="1:23" x14ac:dyDescent="0.25">
      <c r="A1605" s="98"/>
      <c r="H1605" s="101"/>
      <c r="I1605" s="101"/>
      <c r="J1605" s="101"/>
      <c r="K1605" s="101"/>
      <c r="L1605" s="101"/>
      <c r="M1605" s="101"/>
      <c r="N1605" s="101"/>
      <c r="O1605" s="101"/>
      <c r="P1605" s="101"/>
      <c r="Q1605" s="101"/>
      <c r="R1605" s="101"/>
      <c r="S1605" s="110"/>
      <c r="T1605" s="102"/>
      <c r="U1605" s="101"/>
      <c r="V1605" s="103"/>
      <c r="W1605" s="101"/>
    </row>
    <row r="1606" spans="1:23" x14ac:dyDescent="0.25">
      <c r="A1606" s="98"/>
      <c r="H1606" s="101"/>
      <c r="I1606" s="101"/>
      <c r="J1606" s="101"/>
      <c r="K1606" s="101"/>
      <c r="L1606" s="101"/>
      <c r="M1606" s="101"/>
      <c r="N1606" s="101"/>
      <c r="O1606" s="101"/>
      <c r="P1606" s="101"/>
      <c r="Q1606" s="101"/>
      <c r="R1606" s="101"/>
      <c r="S1606" s="110"/>
      <c r="T1606" s="102"/>
      <c r="U1606" s="101"/>
      <c r="V1606" s="103"/>
      <c r="W1606" s="101"/>
    </row>
    <row r="1607" spans="1:23" x14ac:dyDescent="0.25">
      <c r="A1607" s="98"/>
      <c r="H1607" s="101"/>
      <c r="I1607" s="101"/>
      <c r="J1607" s="101"/>
      <c r="K1607" s="101"/>
      <c r="L1607" s="101"/>
      <c r="M1607" s="101"/>
      <c r="N1607" s="101"/>
      <c r="O1607" s="101"/>
      <c r="P1607" s="101"/>
      <c r="Q1607" s="101"/>
      <c r="R1607" s="101"/>
      <c r="S1607" s="110"/>
      <c r="T1607" s="102"/>
      <c r="U1607" s="101"/>
      <c r="V1607" s="103"/>
      <c r="W1607" s="101"/>
    </row>
    <row r="1608" spans="1:23" x14ac:dyDescent="0.25">
      <c r="A1608" s="98"/>
      <c r="H1608" s="101"/>
      <c r="I1608" s="101"/>
      <c r="J1608" s="101"/>
      <c r="K1608" s="101"/>
      <c r="L1608" s="101"/>
      <c r="M1608" s="101"/>
      <c r="N1608" s="101"/>
      <c r="O1608" s="101"/>
      <c r="P1608" s="101"/>
      <c r="Q1608" s="101"/>
      <c r="R1608" s="101"/>
      <c r="S1608" s="110"/>
      <c r="T1608" s="102"/>
      <c r="U1608" s="101"/>
      <c r="V1608" s="103"/>
      <c r="W1608" s="101"/>
    </row>
    <row r="1609" spans="1:23" x14ac:dyDescent="0.25">
      <c r="A1609" s="98"/>
      <c r="H1609" s="101"/>
      <c r="I1609" s="101"/>
      <c r="J1609" s="101"/>
      <c r="K1609" s="101"/>
      <c r="L1609" s="101"/>
      <c r="M1609" s="101"/>
      <c r="N1609" s="101"/>
      <c r="O1609" s="101"/>
      <c r="P1609" s="101"/>
      <c r="Q1609" s="101"/>
      <c r="R1609" s="101"/>
      <c r="S1609" s="110"/>
      <c r="T1609" s="102"/>
      <c r="U1609" s="101"/>
      <c r="V1609" s="103"/>
      <c r="W1609" s="101"/>
    </row>
    <row r="1610" spans="1:23" x14ac:dyDescent="0.25">
      <c r="A1610" s="98"/>
      <c r="H1610" s="101"/>
      <c r="I1610" s="101"/>
      <c r="J1610" s="101"/>
      <c r="K1610" s="101"/>
      <c r="L1610" s="101"/>
      <c r="M1610" s="101"/>
      <c r="N1610" s="101"/>
      <c r="O1610" s="101"/>
      <c r="P1610" s="101"/>
      <c r="Q1610" s="101"/>
      <c r="R1610" s="101"/>
      <c r="S1610" s="110"/>
      <c r="T1610" s="102"/>
      <c r="U1610" s="101"/>
      <c r="V1610" s="103"/>
      <c r="W1610" s="101"/>
    </row>
    <row r="1611" spans="1:23" x14ac:dyDescent="0.25">
      <c r="A1611" s="98"/>
      <c r="H1611" s="101"/>
      <c r="I1611" s="101"/>
      <c r="J1611" s="101"/>
      <c r="K1611" s="101"/>
      <c r="L1611" s="101"/>
      <c r="M1611" s="101"/>
      <c r="N1611" s="101"/>
      <c r="O1611" s="101"/>
      <c r="P1611" s="101"/>
      <c r="Q1611" s="101"/>
      <c r="R1611" s="101"/>
      <c r="S1611" s="110"/>
      <c r="T1611" s="102"/>
      <c r="U1611" s="101"/>
      <c r="V1611" s="103"/>
      <c r="W1611" s="101"/>
    </row>
    <row r="1612" spans="1:23" x14ac:dyDescent="0.25">
      <c r="A1612" s="98"/>
      <c r="H1612" s="101"/>
      <c r="I1612" s="101"/>
      <c r="J1612" s="101"/>
      <c r="K1612" s="101"/>
      <c r="L1612" s="101"/>
      <c r="M1612" s="101"/>
      <c r="N1612" s="101"/>
      <c r="O1612" s="101"/>
      <c r="P1612" s="101"/>
      <c r="Q1612" s="101"/>
      <c r="R1612" s="101"/>
      <c r="S1612" s="110"/>
      <c r="T1612" s="102"/>
      <c r="U1612" s="101"/>
      <c r="V1612" s="103"/>
      <c r="W1612" s="101"/>
    </row>
    <row r="1613" spans="1:23" x14ac:dyDescent="0.25">
      <c r="A1613" s="98"/>
      <c r="H1613" s="101"/>
      <c r="I1613" s="101"/>
      <c r="J1613" s="101"/>
      <c r="K1613" s="101"/>
      <c r="L1613" s="101"/>
      <c r="M1613" s="101"/>
      <c r="N1613" s="101"/>
      <c r="O1613" s="101"/>
      <c r="P1613" s="101"/>
      <c r="Q1613" s="101"/>
      <c r="R1613" s="101"/>
      <c r="S1613" s="110"/>
      <c r="T1613" s="102"/>
      <c r="U1613" s="101"/>
      <c r="V1613" s="103"/>
      <c r="W1613" s="101"/>
    </row>
    <row r="1614" spans="1:23" x14ac:dyDescent="0.25">
      <c r="A1614" s="98"/>
      <c r="H1614" s="101"/>
      <c r="I1614" s="101"/>
      <c r="J1614" s="101"/>
      <c r="K1614" s="101"/>
      <c r="L1614" s="101"/>
      <c r="M1614" s="101"/>
      <c r="N1614" s="101"/>
      <c r="O1614" s="101"/>
      <c r="P1614" s="101"/>
      <c r="Q1614" s="101"/>
      <c r="R1614" s="101"/>
      <c r="S1614" s="110"/>
      <c r="T1614" s="102"/>
      <c r="U1614" s="101"/>
      <c r="V1614" s="103"/>
      <c r="W1614" s="101"/>
    </row>
    <row r="1615" spans="1:23" x14ac:dyDescent="0.25">
      <c r="A1615" s="98"/>
      <c r="H1615" s="101"/>
      <c r="I1615" s="101"/>
      <c r="J1615" s="101"/>
      <c r="K1615" s="101"/>
      <c r="L1615" s="101"/>
      <c r="M1615" s="101"/>
      <c r="N1615" s="101"/>
      <c r="O1615" s="101"/>
      <c r="P1615" s="101"/>
      <c r="Q1615" s="101"/>
      <c r="R1615" s="101"/>
      <c r="S1615" s="110"/>
      <c r="T1615" s="102"/>
      <c r="U1615" s="101"/>
      <c r="V1615" s="103"/>
      <c r="W1615" s="101"/>
    </row>
    <row r="1616" spans="1:23" x14ac:dyDescent="0.25">
      <c r="A1616" s="98"/>
      <c r="H1616" s="101"/>
      <c r="I1616" s="101"/>
      <c r="J1616" s="101"/>
      <c r="K1616" s="101"/>
      <c r="L1616" s="101"/>
      <c r="M1616" s="101"/>
      <c r="N1616" s="101"/>
      <c r="O1616" s="101"/>
      <c r="P1616" s="101"/>
      <c r="Q1616" s="101"/>
      <c r="R1616" s="101"/>
      <c r="S1616" s="110"/>
      <c r="T1616" s="102"/>
      <c r="U1616" s="101"/>
      <c r="V1616" s="103"/>
      <c r="W1616" s="101"/>
    </row>
    <row r="1617" spans="1:23" x14ac:dyDescent="0.25">
      <c r="A1617" s="98"/>
      <c r="H1617" s="101"/>
      <c r="I1617" s="101"/>
      <c r="J1617" s="101"/>
      <c r="K1617" s="101"/>
      <c r="L1617" s="101"/>
      <c r="M1617" s="101"/>
      <c r="N1617" s="101"/>
      <c r="O1617" s="101"/>
      <c r="P1617" s="101"/>
      <c r="Q1617" s="101"/>
      <c r="R1617" s="101"/>
      <c r="S1617" s="110"/>
      <c r="T1617" s="102"/>
      <c r="U1617" s="101"/>
      <c r="V1617" s="103"/>
      <c r="W1617" s="101"/>
    </row>
    <row r="1618" spans="1:23" x14ac:dyDescent="0.25">
      <c r="A1618" s="98"/>
      <c r="H1618" s="101"/>
      <c r="I1618" s="101"/>
      <c r="J1618" s="101"/>
      <c r="K1618" s="101"/>
      <c r="L1618" s="101"/>
      <c r="M1618" s="101"/>
      <c r="N1618" s="101"/>
      <c r="O1618" s="101"/>
      <c r="P1618" s="101"/>
      <c r="Q1618" s="101"/>
      <c r="R1618" s="101"/>
      <c r="S1618" s="110"/>
      <c r="T1618" s="102"/>
      <c r="U1618" s="101"/>
      <c r="V1618" s="103"/>
      <c r="W1618" s="101"/>
    </row>
    <row r="1619" spans="1:23" x14ac:dyDescent="0.25">
      <c r="A1619" s="98"/>
      <c r="H1619" s="101"/>
      <c r="I1619" s="101"/>
      <c r="J1619" s="101"/>
      <c r="K1619" s="101"/>
      <c r="L1619" s="101"/>
      <c r="M1619" s="101"/>
      <c r="N1619" s="101"/>
      <c r="O1619" s="101"/>
      <c r="P1619" s="101"/>
      <c r="Q1619" s="101"/>
      <c r="R1619" s="101"/>
      <c r="S1619" s="110"/>
      <c r="T1619" s="102"/>
      <c r="U1619" s="101"/>
      <c r="V1619" s="103"/>
      <c r="W1619" s="101"/>
    </row>
    <row r="1620" spans="1:23" x14ac:dyDescent="0.25">
      <c r="A1620" s="98"/>
      <c r="H1620" s="101"/>
      <c r="I1620" s="101"/>
      <c r="J1620" s="101"/>
      <c r="K1620" s="101"/>
      <c r="L1620" s="101"/>
      <c r="M1620" s="101"/>
      <c r="N1620" s="101"/>
      <c r="O1620" s="101"/>
      <c r="P1620" s="101"/>
      <c r="Q1620" s="101"/>
      <c r="R1620" s="101"/>
      <c r="S1620" s="110"/>
      <c r="T1620" s="102"/>
      <c r="U1620" s="101"/>
      <c r="V1620" s="103"/>
      <c r="W1620" s="101"/>
    </row>
    <row r="1621" spans="1:23" x14ac:dyDescent="0.25">
      <c r="A1621" s="98"/>
      <c r="H1621" s="101"/>
      <c r="I1621" s="101"/>
      <c r="J1621" s="101"/>
      <c r="K1621" s="101"/>
      <c r="L1621" s="101"/>
      <c r="M1621" s="101"/>
      <c r="N1621" s="101"/>
      <c r="O1621" s="101"/>
      <c r="P1621" s="101"/>
      <c r="Q1621" s="101"/>
      <c r="R1621" s="101"/>
      <c r="S1621" s="110"/>
      <c r="T1621" s="102"/>
      <c r="U1621" s="101"/>
      <c r="V1621" s="103"/>
      <c r="W1621" s="101"/>
    </row>
    <row r="1622" spans="1:23" x14ac:dyDescent="0.25">
      <c r="A1622" s="98"/>
      <c r="H1622" s="101"/>
      <c r="I1622" s="101"/>
      <c r="J1622" s="101"/>
      <c r="K1622" s="101"/>
      <c r="L1622" s="101"/>
      <c r="M1622" s="101"/>
      <c r="N1622" s="101"/>
      <c r="O1622" s="101"/>
      <c r="P1622" s="101"/>
      <c r="Q1622" s="101"/>
      <c r="R1622" s="101"/>
      <c r="S1622" s="110"/>
      <c r="T1622" s="102"/>
      <c r="U1622" s="101"/>
      <c r="V1622" s="103"/>
      <c r="W1622" s="101"/>
    </row>
    <row r="1623" spans="1:23" x14ac:dyDescent="0.25">
      <c r="A1623" s="98"/>
      <c r="H1623" s="101"/>
      <c r="I1623" s="101"/>
      <c r="J1623" s="101"/>
      <c r="K1623" s="101"/>
      <c r="L1623" s="101"/>
      <c r="M1623" s="101"/>
      <c r="N1623" s="101"/>
      <c r="O1623" s="101"/>
      <c r="P1623" s="101"/>
      <c r="Q1623" s="101"/>
      <c r="R1623" s="101"/>
      <c r="S1623" s="110"/>
      <c r="T1623" s="102"/>
      <c r="U1623" s="101"/>
      <c r="V1623" s="103"/>
      <c r="W1623" s="101"/>
    </row>
    <row r="1624" spans="1:23" x14ac:dyDescent="0.25">
      <c r="A1624" s="98"/>
      <c r="H1624" s="101"/>
      <c r="I1624" s="101"/>
      <c r="J1624" s="101"/>
      <c r="K1624" s="101"/>
      <c r="L1624" s="101"/>
      <c r="M1624" s="101"/>
      <c r="N1624" s="101"/>
      <c r="O1624" s="101"/>
      <c r="P1624" s="101"/>
      <c r="Q1624" s="101"/>
      <c r="R1624" s="101"/>
      <c r="S1624" s="110"/>
      <c r="T1624" s="102"/>
      <c r="U1624" s="101"/>
      <c r="V1624" s="103"/>
      <c r="W1624" s="101"/>
    </row>
    <row r="1625" spans="1:23" x14ac:dyDescent="0.25">
      <c r="A1625" s="98"/>
      <c r="H1625" s="101"/>
      <c r="I1625" s="101"/>
      <c r="J1625" s="101"/>
      <c r="K1625" s="101"/>
      <c r="L1625" s="101"/>
      <c r="M1625" s="101"/>
      <c r="N1625" s="101"/>
      <c r="O1625" s="101"/>
      <c r="P1625" s="101"/>
      <c r="Q1625" s="101"/>
      <c r="R1625" s="101"/>
      <c r="S1625" s="110"/>
      <c r="T1625" s="102"/>
      <c r="U1625" s="101"/>
      <c r="V1625" s="103"/>
      <c r="W1625" s="101"/>
    </row>
    <row r="1626" spans="1:23" x14ac:dyDescent="0.25">
      <c r="A1626" s="98"/>
      <c r="H1626" s="101"/>
      <c r="I1626" s="101"/>
      <c r="J1626" s="101"/>
      <c r="K1626" s="101"/>
      <c r="L1626" s="101"/>
      <c r="M1626" s="101"/>
      <c r="N1626" s="101"/>
      <c r="O1626" s="101"/>
      <c r="P1626" s="101"/>
      <c r="Q1626" s="101"/>
      <c r="R1626" s="101"/>
      <c r="S1626" s="110"/>
      <c r="T1626" s="102"/>
      <c r="U1626" s="101"/>
      <c r="V1626" s="103"/>
      <c r="W1626" s="101"/>
    </row>
    <row r="1627" spans="1:23" x14ac:dyDescent="0.25">
      <c r="A1627" s="98"/>
      <c r="H1627" s="101"/>
      <c r="I1627" s="101"/>
      <c r="J1627" s="101"/>
      <c r="K1627" s="101"/>
      <c r="L1627" s="101"/>
      <c r="M1627" s="101"/>
      <c r="N1627" s="101"/>
      <c r="O1627" s="101"/>
      <c r="P1627" s="101"/>
      <c r="Q1627" s="101"/>
      <c r="R1627" s="101"/>
      <c r="S1627" s="110"/>
      <c r="T1627" s="102"/>
      <c r="U1627" s="101"/>
      <c r="V1627" s="103"/>
      <c r="W1627" s="101"/>
    </row>
    <row r="1628" spans="1:23" x14ac:dyDescent="0.25">
      <c r="A1628" s="98"/>
      <c r="H1628" s="101"/>
      <c r="I1628" s="101"/>
      <c r="J1628" s="101"/>
      <c r="K1628" s="101"/>
      <c r="L1628" s="101"/>
      <c r="M1628" s="101"/>
      <c r="N1628" s="101"/>
      <c r="O1628" s="101"/>
      <c r="P1628" s="101"/>
      <c r="Q1628" s="101"/>
      <c r="R1628" s="101"/>
      <c r="S1628" s="110"/>
      <c r="T1628" s="102"/>
      <c r="U1628" s="101"/>
      <c r="V1628" s="103"/>
      <c r="W1628" s="101"/>
    </row>
    <row r="1629" spans="1:23" x14ac:dyDescent="0.25">
      <c r="A1629" s="98"/>
      <c r="H1629" s="101"/>
      <c r="I1629" s="101"/>
      <c r="J1629" s="101"/>
      <c r="K1629" s="101"/>
      <c r="L1629" s="101"/>
      <c r="M1629" s="101"/>
      <c r="N1629" s="101"/>
      <c r="O1629" s="101"/>
      <c r="P1629" s="101"/>
      <c r="Q1629" s="101"/>
      <c r="R1629" s="101"/>
      <c r="S1629" s="110"/>
      <c r="T1629" s="102"/>
      <c r="U1629" s="101"/>
      <c r="V1629" s="103"/>
      <c r="W1629" s="101"/>
    </row>
    <row r="1630" spans="1:23" x14ac:dyDescent="0.25">
      <c r="A1630" s="98"/>
      <c r="H1630" s="101"/>
      <c r="I1630" s="101"/>
      <c r="J1630" s="101"/>
      <c r="K1630" s="101"/>
      <c r="L1630" s="101"/>
      <c r="M1630" s="101"/>
      <c r="N1630" s="101"/>
      <c r="O1630" s="101"/>
      <c r="P1630" s="101"/>
      <c r="Q1630" s="101"/>
      <c r="R1630" s="101"/>
      <c r="S1630" s="110"/>
      <c r="T1630" s="102"/>
      <c r="U1630" s="101"/>
      <c r="V1630" s="103"/>
      <c r="W1630" s="101"/>
    </row>
    <row r="1631" spans="1:23" x14ac:dyDescent="0.25">
      <c r="A1631" s="98"/>
      <c r="H1631" s="101"/>
      <c r="I1631" s="101"/>
      <c r="J1631" s="101"/>
      <c r="K1631" s="101"/>
      <c r="L1631" s="101"/>
      <c r="M1631" s="101"/>
      <c r="N1631" s="101"/>
      <c r="O1631" s="101"/>
      <c r="P1631" s="101"/>
      <c r="Q1631" s="101"/>
      <c r="R1631" s="101"/>
      <c r="S1631" s="110"/>
      <c r="T1631" s="102"/>
      <c r="U1631" s="101"/>
      <c r="V1631" s="103"/>
      <c r="W1631" s="101"/>
    </row>
    <row r="1632" spans="1:23" x14ac:dyDescent="0.25">
      <c r="A1632" s="98"/>
      <c r="H1632" s="101"/>
      <c r="I1632" s="101"/>
      <c r="J1632" s="101"/>
      <c r="K1632" s="101"/>
      <c r="L1632" s="101"/>
      <c r="M1632" s="101"/>
      <c r="N1632" s="101"/>
      <c r="O1632" s="101"/>
      <c r="P1632" s="101"/>
      <c r="Q1632" s="101"/>
      <c r="R1632" s="101"/>
      <c r="S1632" s="110"/>
      <c r="T1632" s="102"/>
      <c r="U1632" s="101"/>
      <c r="V1632" s="103"/>
      <c r="W1632" s="101"/>
    </row>
    <row r="1633" spans="1:23" x14ac:dyDescent="0.25">
      <c r="A1633" s="98"/>
      <c r="H1633" s="101"/>
      <c r="I1633" s="101"/>
      <c r="J1633" s="101"/>
      <c r="K1633" s="101"/>
      <c r="L1633" s="101"/>
      <c r="M1633" s="101"/>
      <c r="N1633" s="101"/>
      <c r="O1633" s="101"/>
      <c r="P1633" s="101"/>
      <c r="Q1633" s="101"/>
      <c r="R1633" s="101"/>
      <c r="S1633" s="110"/>
      <c r="T1633" s="102"/>
      <c r="U1633" s="101"/>
      <c r="V1633" s="103"/>
      <c r="W1633" s="101"/>
    </row>
    <row r="1634" spans="1:23" x14ac:dyDescent="0.25">
      <c r="A1634" s="98"/>
      <c r="H1634" s="101"/>
      <c r="I1634" s="101"/>
      <c r="J1634" s="101"/>
      <c r="K1634" s="101"/>
      <c r="L1634" s="101"/>
      <c r="M1634" s="101"/>
      <c r="N1634" s="101"/>
      <c r="O1634" s="101"/>
      <c r="P1634" s="101"/>
      <c r="Q1634" s="101"/>
      <c r="R1634" s="101"/>
      <c r="S1634" s="110"/>
      <c r="T1634" s="102"/>
      <c r="U1634" s="101"/>
      <c r="V1634" s="103"/>
      <c r="W1634" s="101"/>
    </row>
    <row r="1635" spans="1:23" x14ac:dyDescent="0.25">
      <c r="A1635" s="98"/>
      <c r="H1635" s="101"/>
      <c r="I1635" s="101"/>
      <c r="J1635" s="101"/>
      <c r="K1635" s="101"/>
      <c r="L1635" s="101"/>
      <c r="M1635" s="101"/>
      <c r="N1635" s="101"/>
      <c r="O1635" s="101"/>
      <c r="P1635" s="101"/>
      <c r="Q1635" s="101"/>
      <c r="R1635" s="101"/>
      <c r="S1635" s="110"/>
      <c r="T1635" s="102"/>
      <c r="U1635" s="101"/>
      <c r="V1635" s="103"/>
      <c r="W1635" s="101"/>
    </row>
    <row r="1636" spans="1:23" x14ac:dyDescent="0.25">
      <c r="A1636" s="98"/>
      <c r="H1636" s="101"/>
      <c r="I1636" s="101"/>
      <c r="J1636" s="101"/>
      <c r="K1636" s="101"/>
      <c r="L1636" s="101"/>
      <c r="M1636" s="101"/>
      <c r="N1636" s="101"/>
      <c r="O1636" s="101"/>
      <c r="P1636" s="101"/>
      <c r="Q1636" s="101"/>
      <c r="R1636" s="101"/>
      <c r="S1636" s="110"/>
      <c r="T1636" s="102"/>
      <c r="U1636" s="101"/>
      <c r="V1636" s="103"/>
      <c r="W1636" s="101"/>
    </row>
    <row r="1637" spans="1:23" x14ac:dyDescent="0.25">
      <c r="A1637" s="98"/>
      <c r="H1637" s="101"/>
      <c r="I1637" s="101"/>
      <c r="J1637" s="101"/>
      <c r="K1637" s="101"/>
      <c r="L1637" s="101"/>
      <c r="M1637" s="101"/>
      <c r="N1637" s="101"/>
      <c r="O1637" s="101"/>
      <c r="P1637" s="101"/>
      <c r="Q1637" s="101"/>
      <c r="R1637" s="101"/>
      <c r="S1637" s="110"/>
      <c r="T1637" s="102"/>
      <c r="U1637" s="101"/>
      <c r="V1637" s="103"/>
      <c r="W1637" s="101"/>
    </row>
    <row r="1638" spans="1:23" x14ac:dyDescent="0.25">
      <c r="A1638" s="98"/>
      <c r="H1638" s="101"/>
      <c r="I1638" s="101"/>
      <c r="J1638" s="101"/>
      <c r="K1638" s="101"/>
      <c r="L1638" s="101"/>
      <c r="M1638" s="101"/>
      <c r="N1638" s="101"/>
      <c r="O1638" s="101"/>
      <c r="P1638" s="101"/>
      <c r="Q1638" s="101"/>
      <c r="R1638" s="101"/>
      <c r="S1638" s="110"/>
      <c r="T1638" s="102"/>
      <c r="U1638" s="101"/>
      <c r="V1638" s="103"/>
      <c r="W1638" s="101"/>
    </row>
    <row r="1639" spans="1:23" x14ac:dyDescent="0.25">
      <c r="A1639" s="98"/>
      <c r="H1639" s="101"/>
      <c r="I1639" s="101"/>
      <c r="J1639" s="101"/>
      <c r="K1639" s="101"/>
      <c r="L1639" s="101"/>
      <c r="M1639" s="101"/>
      <c r="N1639" s="101"/>
      <c r="O1639" s="101"/>
      <c r="P1639" s="101"/>
      <c r="Q1639" s="101"/>
      <c r="R1639" s="101"/>
      <c r="S1639" s="110"/>
      <c r="T1639" s="102"/>
      <c r="U1639" s="101"/>
      <c r="V1639" s="103"/>
      <c r="W1639" s="101"/>
    </row>
    <row r="1640" spans="1:23" x14ac:dyDescent="0.25">
      <c r="A1640" s="98"/>
      <c r="H1640" s="101"/>
      <c r="I1640" s="101"/>
      <c r="J1640" s="101"/>
      <c r="K1640" s="101"/>
      <c r="L1640" s="101"/>
      <c r="M1640" s="101"/>
      <c r="N1640" s="101"/>
      <c r="O1640" s="101"/>
      <c r="P1640" s="101"/>
      <c r="Q1640" s="101"/>
      <c r="R1640" s="101"/>
      <c r="S1640" s="110"/>
      <c r="T1640" s="102"/>
      <c r="U1640" s="101"/>
      <c r="V1640" s="103"/>
      <c r="W1640" s="101"/>
    </row>
    <row r="1641" spans="1:23" x14ac:dyDescent="0.25">
      <c r="A1641" s="98"/>
      <c r="H1641" s="101"/>
      <c r="I1641" s="101"/>
      <c r="J1641" s="101"/>
      <c r="K1641" s="101"/>
      <c r="L1641" s="101"/>
      <c r="M1641" s="101"/>
      <c r="N1641" s="101"/>
      <c r="O1641" s="101"/>
      <c r="P1641" s="101"/>
      <c r="Q1641" s="101"/>
      <c r="R1641" s="101"/>
      <c r="S1641" s="110"/>
      <c r="T1641" s="102"/>
      <c r="U1641" s="101"/>
      <c r="V1641" s="103"/>
      <c r="W1641" s="101"/>
    </row>
    <row r="1642" spans="1:23" x14ac:dyDescent="0.25">
      <c r="A1642" s="98"/>
      <c r="H1642" s="101"/>
      <c r="I1642" s="101"/>
      <c r="J1642" s="101"/>
      <c r="K1642" s="101"/>
      <c r="L1642" s="101"/>
      <c r="M1642" s="101"/>
      <c r="N1642" s="101"/>
      <c r="O1642" s="101"/>
      <c r="P1642" s="101"/>
      <c r="Q1642" s="101"/>
      <c r="R1642" s="101"/>
      <c r="S1642" s="110"/>
      <c r="T1642" s="102"/>
      <c r="U1642" s="101"/>
      <c r="V1642" s="103"/>
      <c r="W1642" s="101"/>
    </row>
    <row r="1643" spans="1:23" x14ac:dyDescent="0.25">
      <c r="A1643" s="98"/>
      <c r="H1643" s="101"/>
      <c r="I1643" s="101"/>
      <c r="J1643" s="101"/>
      <c r="K1643" s="101"/>
      <c r="L1643" s="101"/>
      <c r="M1643" s="101"/>
      <c r="N1643" s="101"/>
      <c r="O1643" s="101"/>
      <c r="P1643" s="101"/>
      <c r="Q1643" s="101"/>
      <c r="R1643" s="101"/>
      <c r="S1643" s="110"/>
      <c r="T1643" s="102"/>
      <c r="U1643" s="101"/>
      <c r="V1643" s="103"/>
      <c r="W1643" s="101"/>
    </row>
    <row r="1644" spans="1:23" x14ac:dyDescent="0.25">
      <c r="A1644" s="98"/>
      <c r="H1644" s="101"/>
      <c r="I1644" s="101"/>
      <c r="J1644" s="101"/>
      <c r="K1644" s="101"/>
      <c r="L1644" s="101"/>
      <c r="M1644" s="101"/>
      <c r="N1644" s="101"/>
      <c r="O1644" s="101"/>
      <c r="P1644" s="101"/>
      <c r="Q1644" s="101"/>
      <c r="R1644" s="101"/>
      <c r="S1644" s="110"/>
      <c r="T1644" s="102"/>
      <c r="U1644" s="101"/>
      <c r="V1644" s="103"/>
      <c r="W1644" s="101"/>
    </row>
    <row r="1645" spans="1:23" x14ac:dyDescent="0.25">
      <c r="A1645" s="98"/>
      <c r="H1645" s="101"/>
      <c r="I1645" s="101"/>
      <c r="J1645" s="101"/>
      <c r="K1645" s="101"/>
      <c r="L1645" s="101"/>
      <c r="M1645" s="101"/>
      <c r="N1645" s="101"/>
      <c r="O1645" s="101"/>
      <c r="P1645" s="101"/>
      <c r="Q1645" s="101"/>
      <c r="R1645" s="101"/>
      <c r="S1645" s="110"/>
      <c r="T1645" s="102"/>
      <c r="U1645" s="101"/>
      <c r="V1645" s="103"/>
      <c r="W1645" s="101"/>
    </row>
    <row r="1646" spans="1:23" x14ac:dyDescent="0.25">
      <c r="A1646" s="98"/>
      <c r="H1646" s="101"/>
      <c r="I1646" s="101"/>
      <c r="J1646" s="101"/>
      <c r="K1646" s="101"/>
      <c r="L1646" s="101"/>
      <c r="M1646" s="101"/>
      <c r="N1646" s="101"/>
      <c r="O1646" s="101"/>
      <c r="P1646" s="101"/>
      <c r="Q1646" s="101"/>
      <c r="R1646" s="101"/>
      <c r="S1646" s="110"/>
      <c r="T1646" s="102"/>
      <c r="U1646" s="101"/>
      <c r="V1646" s="103"/>
      <c r="W1646" s="101"/>
    </row>
    <row r="1647" spans="1:23" x14ac:dyDescent="0.25">
      <c r="A1647" s="98"/>
      <c r="H1647" s="101"/>
      <c r="I1647" s="101"/>
      <c r="J1647" s="101"/>
      <c r="K1647" s="101"/>
      <c r="L1647" s="101"/>
      <c r="M1647" s="101"/>
      <c r="N1647" s="101"/>
      <c r="O1647" s="101"/>
      <c r="P1647" s="101"/>
      <c r="Q1647" s="101"/>
      <c r="R1647" s="101"/>
      <c r="S1647" s="110"/>
      <c r="T1647" s="102"/>
      <c r="U1647" s="101"/>
      <c r="V1647" s="103"/>
      <c r="W1647" s="101"/>
    </row>
    <row r="1648" spans="1:23" x14ac:dyDescent="0.25">
      <c r="A1648" s="98"/>
      <c r="H1648" s="101"/>
      <c r="I1648" s="101"/>
      <c r="J1648" s="101"/>
      <c r="K1648" s="101"/>
      <c r="L1648" s="101"/>
      <c r="M1648" s="101"/>
      <c r="N1648" s="101"/>
      <c r="O1648" s="101"/>
      <c r="P1648" s="101"/>
      <c r="Q1648" s="101"/>
      <c r="R1648" s="101"/>
      <c r="S1648" s="110"/>
      <c r="T1648" s="102"/>
      <c r="U1648" s="101"/>
      <c r="V1648" s="103"/>
      <c r="W1648" s="101"/>
    </row>
    <row r="1649" spans="1:23" x14ac:dyDescent="0.25">
      <c r="A1649" s="98"/>
      <c r="H1649" s="101"/>
      <c r="I1649" s="101"/>
      <c r="J1649" s="101"/>
      <c r="K1649" s="101"/>
      <c r="L1649" s="101"/>
      <c r="M1649" s="101"/>
      <c r="N1649" s="101"/>
      <c r="O1649" s="101"/>
      <c r="P1649" s="101"/>
      <c r="Q1649" s="101"/>
      <c r="R1649" s="101"/>
      <c r="S1649" s="110"/>
      <c r="T1649" s="102"/>
      <c r="U1649" s="101"/>
      <c r="V1649" s="103"/>
      <c r="W1649" s="101"/>
    </row>
    <row r="1650" spans="1:23" x14ac:dyDescent="0.25">
      <c r="A1650" s="98"/>
      <c r="H1650" s="101"/>
      <c r="I1650" s="101"/>
      <c r="J1650" s="101"/>
      <c r="K1650" s="101"/>
      <c r="L1650" s="101"/>
      <c r="M1650" s="101"/>
      <c r="N1650" s="101"/>
      <c r="O1650" s="101"/>
      <c r="P1650" s="101"/>
      <c r="Q1650" s="101"/>
      <c r="R1650" s="101"/>
      <c r="S1650" s="110"/>
      <c r="T1650" s="102"/>
      <c r="U1650" s="101"/>
      <c r="V1650" s="103"/>
      <c r="W1650" s="101"/>
    </row>
    <row r="1651" spans="1:23" x14ac:dyDescent="0.25">
      <c r="A1651" s="98"/>
      <c r="H1651" s="101"/>
      <c r="I1651" s="101"/>
      <c r="J1651" s="101"/>
      <c r="K1651" s="101"/>
      <c r="L1651" s="101"/>
      <c r="M1651" s="101"/>
      <c r="N1651" s="101"/>
      <c r="O1651" s="101"/>
      <c r="P1651" s="101"/>
      <c r="Q1651" s="101"/>
      <c r="R1651" s="101"/>
      <c r="S1651" s="110"/>
      <c r="T1651" s="102"/>
      <c r="U1651" s="101"/>
      <c r="V1651" s="103"/>
      <c r="W1651" s="101"/>
    </row>
    <row r="1652" spans="1:23" x14ac:dyDescent="0.25">
      <c r="A1652" s="98"/>
      <c r="H1652" s="101"/>
      <c r="I1652" s="101"/>
      <c r="J1652" s="101"/>
      <c r="K1652" s="101"/>
      <c r="L1652" s="101"/>
      <c r="M1652" s="101"/>
      <c r="N1652" s="101"/>
      <c r="O1652" s="101"/>
      <c r="P1652" s="101"/>
      <c r="Q1652" s="101"/>
      <c r="R1652" s="101"/>
      <c r="S1652" s="110"/>
      <c r="T1652" s="102"/>
      <c r="U1652" s="101"/>
      <c r="V1652" s="103"/>
      <c r="W1652" s="101"/>
    </row>
    <row r="1653" spans="1:23" x14ac:dyDescent="0.25">
      <c r="A1653" s="98"/>
      <c r="H1653" s="101"/>
      <c r="I1653" s="101"/>
      <c r="J1653" s="101"/>
      <c r="K1653" s="101"/>
      <c r="L1653" s="101"/>
      <c r="M1653" s="101"/>
      <c r="N1653" s="101"/>
      <c r="O1653" s="101"/>
      <c r="P1653" s="101"/>
      <c r="Q1653" s="101"/>
      <c r="R1653" s="101"/>
      <c r="S1653" s="110"/>
      <c r="T1653" s="102"/>
      <c r="U1653" s="101"/>
      <c r="V1653" s="103"/>
      <c r="W1653" s="101"/>
    </row>
    <row r="1654" spans="1:23" x14ac:dyDescent="0.25">
      <c r="A1654" s="98"/>
      <c r="H1654" s="101"/>
      <c r="I1654" s="101"/>
      <c r="J1654" s="101"/>
      <c r="K1654" s="101"/>
      <c r="L1654" s="101"/>
      <c r="M1654" s="101"/>
      <c r="N1654" s="101"/>
      <c r="O1654" s="101"/>
      <c r="P1654" s="101"/>
      <c r="Q1654" s="101"/>
      <c r="R1654" s="101"/>
      <c r="S1654" s="110"/>
      <c r="T1654" s="102"/>
      <c r="U1654" s="101"/>
      <c r="V1654" s="103"/>
      <c r="W1654" s="101"/>
    </row>
    <row r="1655" spans="1:23" x14ac:dyDescent="0.25">
      <c r="A1655" s="98"/>
      <c r="H1655" s="101"/>
      <c r="I1655" s="101"/>
      <c r="J1655" s="101"/>
      <c r="K1655" s="101"/>
      <c r="L1655" s="101"/>
      <c r="M1655" s="101"/>
      <c r="N1655" s="101"/>
      <c r="O1655" s="101"/>
      <c r="P1655" s="101"/>
      <c r="Q1655" s="101"/>
      <c r="R1655" s="101"/>
      <c r="S1655" s="110"/>
      <c r="T1655" s="102"/>
      <c r="U1655" s="101"/>
      <c r="V1655" s="103"/>
      <c r="W1655" s="101"/>
    </row>
    <row r="1656" spans="1:23" x14ac:dyDescent="0.25">
      <c r="A1656" s="98"/>
      <c r="H1656" s="101"/>
      <c r="I1656" s="101"/>
      <c r="J1656" s="101"/>
      <c r="K1656" s="101"/>
      <c r="L1656" s="101"/>
      <c r="M1656" s="101"/>
      <c r="N1656" s="101"/>
      <c r="O1656" s="101"/>
      <c r="P1656" s="101"/>
      <c r="Q1656" s="101"/>
      <c r="R1656" s="101"/>
      <c r="S1656" s="110"/>
      <c r="T1656" s="102"/>
      <c r="U1656" s="101"/>
      <c r="V1656" s="103"/>
      <c r="W1656" s="101"/>
    </row>
    <row r="1657" spans="1:23" x14ac:dyDescent="0.25">
      <c r="A1657" s="98"/>
      <c r="H1657" s="101"/>
      <c r="I1657" s="101"/>
      <c r="J1657" s="101"/>
      <c r="K1657" s="101"/>
      <c r="L1657" s="101"/>
      <c r="M1657" s="101"/>
      <c r="N1657" s="101"/>
      <c r="O1657" s="101"/>
      <c r="P1657" s="101"/>
      <c r="Q1657" s="101"/>
      <c r="R1657" s="101"/>
      <c r="S1657" s="110"/>
      <c r="T1657" s="102"/>
      <c r="U1657" s="101"/>
      <c r="V1657" s="103"/>
      <c r="W1657" s="101"/>
    </row>
    <row r="1658" spans="1:23" x14ac:dyDescent="0.25">
      <c r="A1658" s="98"/>
      <c r="H1658" s="101"/>
      <c r="I1658" s="101"/>
      <c r="J1658" s="101"/>
      <c r="K1658" s="101"/>
      <c r="L1658" s="101"/>
      <c r="M1658" s="101"/>
      <c r="N1658" s="101"/>
      <c r="O1658" s="101"/>
      <c r="P1658" s="101"/>
      <c r="Q1658" s="101"/>
      <c r="R1658" s="101"/>
      <c r="S1658" s="110"/>
      <c r="T1658" s="102"/>
      <c r="U1658" s="101"/>
      <c r="V1658" s="103"/>
      <c r="W1658" s="101"/>
    </row>
    <row r="1659" spans="1:23" x14ac:dyDescent="0.25">
      <c r="A1659" s="98"/>
      <c r="H1659" s="101"/>
      <c r="I1659" s="101"/>
      <c r="J1659" s="101"/>
      <c r="K1659" s="101"/>
      <c r="L1659" s="101"/>
      <c r="M1659" s="101"/>
      <c r="N1659" s="101"/>
      <c r="O1659" s="101"/>
      <c r="P1659" s="101"/>
      <c r="Q1659" s="101"/>
      <c r="R1659" s="101"/>
      <c r="S1659" s="110"/>
      <c r="T1659" s="102"/>
      <c r="U1659" s="101"/>
      <c r="V1659" s="103"/>
      <c r="W1659" s="101"/>
    </row>
    <row r="1660" spans="1:23" x14ac:dyDescent="0.25">
      <c r="A1660" s="98"/>
      <c r="H1660" s="101"/>
      <c r="I1660" s="101"/>
      <c r="J1660" s="101"/>
      <c r="K1660" s="101"/>
      <c r="L1660" s="101"/>
      <c r="M1660" s="101"/>
      <c r="N1660" s="101"/>
      <c r="O1660" s="101"/>
      <c r="P1660" s="101"/>
      <c r="Q1660" s="101"/>
      <c r="R1660" s="101"/>
      <c r="S1660" s="110"/>
      <c r="T1660" s="102"/>
      <c r="U1660" s="101"/>
      <c r="V1660" s="103"/>
      <c r="W1660" s="101"/>
    </row>
    <row r="1661" spans="1:23" x14ac:dyDescent="0.25">
      <c r="A1661" s="98"/>
      <c r="H1661" s="101"/>
      <c r="I1661" s="101"/>
      <c r="J1661" s="101"/>
      <c r="K1661" s="101"/>
      <c r="L1661" s="101"/>
      <c r="M1661" s="101"/>
      <c r="N1661" s="101"/>
      <c r="O1661" s="101"/>
      <c r="P1661" s="101"/>
      <c r="Q1661" s="101"/>
      <c r="R1661" s="101"/>
      <c r="S1661" s="110"/>
      <c r="T1661" s="102"/>
      <c r="U1661" s="101"/>
      <c r="V1661" s="103"/>
      <c r="W1661" s="101"/>
    </row>
    <row r="1662" spans="1:23" x14ac:dyDescent="0.25">
      <c r="A1662" s="98"/>
      <c r="H1662" s="101"/>
      <c r="I1662" s="101"/>
      <c r="J1662" s="101"/>
      <c r="K1662" s="101"/>
      <c r="L1662" s="101"/>
      <c r="M1662" s="101"/>
      <c r="N1662" s="101"/>
      <c r="O1662" s="101"/>
      <c r="P1662" s="101"/>
      <c r="Q1662" s="101"/>
      <c r="R1662" s="101"/>
      <c r="S1662" s="110"/>
      <c r="T1662" s="102"/>
      <c r="U1662" s="101"/>
      <c r="V1662" s="103"/>
      <c r="W1662" s="101"/>
    </row>
    <row r="1663" spans="1:23" x14ac:dyDescent="0.25">
      <c r="A1663" s="98"/>
      <c r="H1663" s="101"/>
      <c r="I1663" s="101"/>
      <c r="J1663" s="101"/>
      <c r="K1663" s="101"/>
      <c r="L1663" s="101"/>
      <c r="M1663" s="101"/>
      <c r="N1663" s="101"/>
      <c r="O1663" s="101"/>
      <c r="P1663" s="101"/>
      <c r="Q1663" s="101"/>
      <c r="R1663" s="101"/>
      <c r="S1663" s="110"/>
      <c r="T1663" s="102"/>
      <c r="U1663" s="101"/>
      <c r="V1663" s="103"/>
      <c r="W1663" s="101"/>
    </row>
    <row r="1664" spans="1:23" x14ac:dyDescent="0.25">
      <c r="A1664" s="98"/>
      <c r="H1664" s="101"/>
      <c r="I1664" s="101"/>
      <c r="J1664" s="101"/>
      <c r="K1664" s="101"/>
      <c r="L1664" s="101"/>
      <c r="M1664" s="101"/>
      <c r="N1664" s="101"/>
      <c r="O1664" s="101"/>
      <c r="P1664" s="101"/>
      <c r="Q1664" s="101"/>
      <c r="R1664" s="101"/>
      <c r="S1664" s="110"/>
      <c r="T1664" s="102"/>
      <c r="U1664" s="101"/>
      <c r="V1664" s="103"/>
      <c r="W1664" s="101"/>
    </row>
    <row r="1665" spans="1:23" x14ac:dyDescent="0.25">
      <c r="A1665" s="98"/>
      <c r="H1665" s="101"/>
      <c r="I1665" s="101"/>
      <c r="J1665" s="101"/>
      <c r="K1665" s="101"/>
      <c r="L1665" s="101"/>
      <c r="M1665" s="101"/>
      <c r="N1665" s="101"/>
      <c r="O1665" s="101"/>
      <c r="P1665" s="101"/>
      <c r="Q1665" s="101"/>
      <c r="R1665" s="101"/>
      <c r="S1665" s="110"/>
      <c r="T1665" s="102"/>
      <c r="U1665" s="101"/>
      <c r="V1665" s="103"/>
      <c r="W1665" s="101"/>
    </row>
    <row r="1666" spans="1:23" x14ac:dyDescent="0.25">
      <c r="A1666" s="98"/>
      <c r="H1666" s="101"/>
      <c r="I1666" s="101"/>
      <c r="J1666" s="101"/>
      <c r="K1666" s="101"/>
      <c r="L1666" s="101"/>
      <c r="M1666" s="101"/>
      <c r="N1666" s="101"/>
      <c r="O1666" s="101"/>
      <c r="P1666" s="101"/>
      <c r="Q1666" s="101"/>
      <c r="R1666" s="101"/>
      <c r="S1666" s="110"/>
      <c r="T1666" s="102"/>
      <c r="U1666" s="101"/>
      <c r="V1666" s="103"/>
      <c r="W1666" s="101"/>
    </row>
    <row r="1667" spans="1:23" x14ac:dyDescent="0.25">
      <c r="A1667" s="98"/>
      <c r="H1667" s="101"/>
      <c r="I1667" s="101"/>
      <c r="J1667" s="101"/>
      <c r="K1667" s="101"/>
      <c r="L1667" s="101"/>
      <c r="M1667" s="101"/>
      <c r="N1667" s="101"/>
      <c r="O1667" s="101"/>
      <c r="P1667" s="101"/>
      <c r="Q1667" s="101"/>
      <c r="R1667" s="101"/>
      <c r="S1667" s="110"/>
      <c r="T1667" s="102"/>
      <c r="U1667" s="101"/>
      <c r="V1667" s="103"/>
      <c r="W1667" s="101"/>
    </row>
    <row r="1668" spans="1:23" x14ac:dyDescent="0.25">
      <c r="A1668" s="98"/>
      <c r="H1668" s="101"/>
      <c r="I1668" s="101"/>
      <c r="J1668" s="101"/>
      <c r="K1668" s="101"/>
      <c r="L1668" s="101"/>
      <c r="M1668" s="101"/>
      <c r="N1668" s="101"/>
      <c r="O1668" s="101"/>
      <c r="P1668" s="101"/>
      <c r="Q1668" s="101"/>
      <c r="R1668" s="101"/>
      <c r="S1668" s="110"/>
      <c r="T1668" s="102"/>
      <c r="U1668" s="101"/>
      <c r="V1668" s="103"/>
      <c r="W1668" s="101"/>
    </row>
    <row r="1669" spans="1:23" x14ac:dyDescent="0.25">
      <c r="A1669" s="98"/>
      <c r="H1669" s="101"/>
      <c r="I1669" s="101"/>
      <c r="J1669" s="101"/>
      <c r="K1669" s="101"/>
      <c r="L1669" s="101"/>
      <c r="M1669" s="101"/>
      <c r="N1669" s="101"/>
      <c r="O1669" s="101"/>
      <c r="P1669" s="101"/>
      <c r="Q1669" s="101"/>
      <c r="R1669" s="101"/>
      <c r="S1669" s="110"/>
      <c r="T1669" s="102"/>
      <c r="U1669" s="101"/>
      <c r="V1669" s="103"/>
      <c r="W1669" s="101"/>
    </row>
    <row r="1670" spans="1:23" x14ac:dyDescent="0.25">
      <c r="A1670" s="98"/>
      <c r="H1670" s="101"/>
      <c r="I1670" s="101"/>
      <c r="J1670" s="101"/>
      <c r="K1670" s="101"/>
      <c r="L1670" s="101"/>
      <c r="M1670" s="101"/>
      <c r="N1670" s="101"/>
      <c r="O1670" s="101"/>
      <c r="P1670" s="101"/>
      <c r="Q1670" s="101"/>
      <c r="R1670" s="101"/>
      <c r="S1670" s="110"/>
      <c r="T1670" s="102"/>
      <c r="U1670" s="101"/>
      <c r="V1670" s="103"/>
      <c r="W1670" s="101"/>
    </row>
    <row r="1671" spans="1:23" x14ac:dyDescent="0.25">
      <c r="A1671" s="98"/>
      <c r="H1671" s="101"/>
      <c r="I1671" s="101"/>
      <c r="J1671" s="101"/>
      <c r="K1671" s="101"/>
      <c r="L1671" s="101"/>
      <c r="M1671" s="101"/>
      <c r="N1671" s="101"/>
      <c r="O1671" s="101"/>
      <c r="P1671" s="101"/>
      <c r="Q1671" s="101"/>
      <c r="R1671" s="101"/>
      <c r="S1671" s="110"/>
      <c r="T1671" s="102"/>
      <c r="U1671" s="101"/>
      <c r="V1671" s="103"/>
      <c r="W1671" s="101"/>
    </row>
    <row r="1672" spans="1:23" x14ac:dyDescent="0.25">
      <c r="A1672" s="98"/>
      <c r="H1672" s="101"/>
      <c r="I1672" s="101"/>
      <c r="J1672" s="101"/>
      <c r="K1672" s="101"/>
      <c r="L1672" s="101"/>
      <c r="M1672" s="101"/>
      <c r="N1672" s="101"/>
      <c r="O1672" s="101"/>
      <c r="P1672" s="101"/>
      <c r="Q1672" s="101"/>
      <c r="R1672" s="101"/>
      <c r="S1672" s="110"/>
      <c r="T1672" s="102"/>
      <c r="U1672" s="101"/>
      <c r="V1672" s="103"/>
      <c r="W1672" s="101"/>
    </row>
    <row r="1673" spans="1:23" x14ac:dyDescent="0.25">
      <c r="A1673" s="98"/>
      <c r="H1673" s="101"/>
      <c r="I1673" s="101"/>
      <c r="J1673" s="101"/>
      <c r="K1673" s="101"/>
      <c r="L1673" s="101"/>
      <c r="M1673" s="101"/>
      <c r="N1673" s="101"/>
      <c r="O1673" s="101"/>
      <c r="P1673" s="101"/>
      <c r="Q1673" s="101"/>
      <c r="R1673" s="101"/>
      <c r="S1673" s="110"/>
      <c r="T1673" s="102"/>
      <c r="U1673" s="101"/>
      <c r="V1673" s="103"/>
      <c r="W1673" s="101"/>
    </row>
    <row r="1674" spans="1:23" x14ac:dyDescent="0.25">
      <c r="A1674" s="98"/>
      <c r="H1674" s="101"/>
      <c r="I1674" s="101"/>
      <c r="J1674" s="101"/>
      <c r="K1674" s="101"/>
      <c r="L1674" s="101"/>
      <c r="M1674" s="101"/>
      <c r="N1674" s="101"/>
      <c r="O1674" s="101"/>
      <c r="P1674" s="101"/>
      <c r="Q1674" s="101"/>
      <c r="R1674" s="101"/>
      <c r="S1674" s="110"/>
      <c r="T1674" s="102"/>
      <c r="U1674" s="101"/>
      <c r="V1674" s="103"/>
      <c r="W1674" s="101"/>
    </row>
    <row r="1675" spans="1:23" x14ac:dyDescent="0.25">
      <c r="A1675" s="98"/>
      <c r="H1675" s="101"/>
      <c r="I1675" s="101"/>
      <c r="J1675" s="101"/>
      <c r="K1675" s="101"/>
      <c r="L1675" s="101"/>
      <c r="M1675" s="101"/>
      <c r="N1675" s="101"/>
      <c r="O1675" s="101"/>
      <c r="P1675" s="101"/>
      <c r="Q1675" s="101"/>
      <c r="R1675" s="101"/>
      <c r="S1675" s="110"/>
      <c r="T1675" s="102"/>
      <c r="U1675" s="101"/>
      <c r="V1675" s="103"/>
      <c r="W1675" s="101"/>
    </row>
    <row r="1676" spans="1:23" x14ac:dyDescent="0.25">
      <c r="A1676" s="98"/>
      <c r="H1676" s="101"/>
      <c r="I1676" s="101"/>
      <c r="J1676" s="101"/>
      <c r="K1676" s="101"/>
      <c r="L1676" s="101"/>
      <c r="M1676" s="101"/>
      <c r="N1676" s="101"/>
      <c r="O1676" s="101"/>
      <c r="P1676" s="101"/>
      <c r="Q1676" s="101"/>
      <c r="R1676" s="101"/>
      <c r="S1676" s="110"/>
      <c r="T1676" s="102"/>
      <c r="U1676" s="101"/>
      <c r="V1676" s="103"/>
      <c r="W1676" s="101"/>
    </row>
    <row r="1677" spans="1:23" x14ac:dyDescent="0.25">
      <c r="A1677" s="98"/>
      <c r="H1677" s="101"/>
      <c r="I1677" s="101"/>
      <c r="J1677" s="101"/>
      <c r="K1677" s="101"/>
      <c r="L1677" s="101"/>
      <c r="M1677" s="101"/>
      <c r="N1677" s="101"/>
      <c r="O1677" s="101"/>
      <c r="P1677" s="101"/>
      <c r="Q1677" s="101"/>
      <c r="R1677" s="101"/>
      <c r="S1677" s="110"/>
      <c r="T1677" s="102"/>
      <c r="U1677" s="101"/>
      <c r="V1677" s="103"/>
      <c r="W1677" s="101"/>
    </row>
    <row r="1678" spans="1:23" x14ac:dyDescent="0.25">
      <c r="A1678" s="98"/>
      <c r="H1678" s="101"/>
      <c r="I1678" s="101"/>
      <c r="J1678" s="101"/>
      <c r="K1678" s="101"/>
      <c r="L1678" s="101"/>
      <c r="M1678" s="101"/>
      <c r="N1678" s="101"/>
      <c r="O1678" s="101"/>
      <c r="P1678" s="101"/>
      <c r="Q1678" s="101"/>
      <c r="R1678" s="101"/>
      <c r="S1678" s="110"/>
      <c r="T1678" s="102"/>
      <c r="U1678" s="101"/>
      <c r="V1678" s="103"/>
      <c r="W1678" s="101"/>
    </row>
    <row r="1679" spans="1:23" x14ac:dyDescent="0.25">
      <c r="A1679" s="98"/>
      <c r="H1679" s="101"/>
      <c r="I1679" s="101"/>
      <c r="J1679" s="101"/>
      <c r="K1679" s="101"/>
      <c r="L1679" s="101"/>
      <c r="M1679" s="101"/>
      <c r="N1679" s="101"/>
      <c r="O1679" s="101"/>
      <c r="P1679" s="101"/>
      <c r="Q1679" s="101"/>
      <c r="R1679" s="101"/>
      <c r="S1679" s="110"/>
      <c r="T1679" s="102"/>
      <c r="U1679" s="101"/>
      <c r="V1679" s="103"/>
      <c r="W1679" s="101"/>
    </row>
    <row r="1680" spans="1:23" x14ac:dyDescent="0.25">
      <c r="A1680" s="98"/>
      <c r="H1680" s="101"/>
      <c r="I1680" s="101"/>
      <c r="J1680" s="101"/>
      <c r="K1680" s="101"/>
      <c r="L1680" s="101"/>
      <c r="M1680" s="101"/>
      <c r="N1680" s="101"/>
      <c r="O1680" s="101"/>
      <c r="P1680" s="101"/>
      <c r="Q1680" s="101"/>
      <c r="R1680" s="101"/>
      <c r="S1680" s="110"/>
      <c r="T1680" s="102"/>
      <c r="U1680" s="101"/>
      <c r="V1680" s="103"/>
      <c r="W1680" s="101"/>
    </row>
    <row r="1681" spans="1:23" x14ac:dyDescent="0.25">
      <c r="A1681" s="98"/>
      <c r="H1681" s="101"/>
      <c r="I1681" s="101"/>
      <c r="J1681" s="101"/>
      <c r="K1681" s="101"/>
      <c r="L1681" s="101"/>
      <c r="M1681" s="101"/>
      <c r="N1681" s="101"/>
      <c r="O1681" s="101"/>
      <c r="P1681" s="101"/>
      <c r="Q1681" s="101"/>
      <c r="R1681" s="101"/>
      <c r="S1681" s="110"/>
      <c r="T1681" s="102"/>
      <c r="U1681" s="101"/>
      <c r="V1681" s="103"/>
      <c r="W1681" s="101"/>
    </row>
    <row r="1682" spans="1:23" x14ac:dyDescent="0.25">
      <c r="A1682" s="98"/>
      <c r="H1682" s="101"/>
      <c r="I1682" s="101"/>
      <c r="J1682" s="101"/>
      <c r="K1682" s="101"/>
      <c r="L1682" s="101"/>
      <c r="M1682" s="101"/>
      <c r="N1682" s="101"/>
      <c r="O1682" s="101"/>
      <c r="P1682" s="101"/>
      <c r="Q1682" s="101"/>
      <c r="R1682" s="101"/>
      <c r="S1682" s="110"/>
      <c r="T1682" s="102"/>
      <c r="U1682" s="101"/>
      <c r="V1682" s="103"/>
      <c r="W1682" s="101"/>
    </row>
    <row r="1683" spans="1:23" x14ac:dyDescent="0.25">
      <c r="A1683" s="98"/>
      <c r="H1683" s="101"/>
      <c r="I1683" s="101"/>
      <c r="J1683" s="101"/>
      <c r="K1683" s="101"/>
      <c r="L1683" s="101"/>
      <c r="M1683" s="101"/>
      <c r="N1683" s="101"/>
      <c r="O1683" s="101"/>
      <c r="P1683" s="101"/>
      <c r="Q1683" s="101"/>
      <c r="R1683" s="101"/>
      <c r="S1683" s="110"/>
      <c r="T1683" s="102"/>
      <c r="U1683" s="101"/>
      <c r="V1683" s="103"/>
      <c r="W1683" s="101"/>
    </row>
    <row r="1684" spans="1:23" x14ac:dyDescent="0.25">
      <c r="A1684" s="98"/>
      <c r="H1684" s="101"/>
      <c r="I1684" s="101"/>
      <c r="J1684" s="101"/>
      <c r="K1684" s="101"/>
      <c r="L1684" s="101"/>
      <c r="M1684" s="101"/>
      <c r="N1684" s="101"/>
      <c r="O1684" s="101"/>
      <c r="P1684" s="101"/>
      <c r="Q1684" s="101"/>
      <c r="R1684" s="101"/>
      <c r="S1684" s="110"/>
      <c r="T1684" s="102"/>
      <c r="U1684" s="101"/>
      <c r="V1684" s="103"/>
      <c r="W1684" s="101"/>
    </row>
    <row r="1685" spans="1:23" x14ac:dyDescent="0.25">
      <c r="A1685" s="98"/>
      <c r="H1685" s="101"/>
      <c r="I1685" s="101"/>
      <c r="J1685" s="101"/>
      <c r="K1685" s="101"/>
      <c r="L1685" s="101"/>
      <c r="M1685" s="101"/>
      <c r="N1685" s="101"/>
      <c r="O1685" s="101"/>
      <c r="P1685" s="101"/>
      <c r="Q1685" s="101"/>
      <c r="R1685" s="101"/>
      <c r="S1685" s="110"/>
      <c r="T1685" s="102"/>
      <c r="U1685" s="101"/>
      <c r="V1685" s="103"/>
      <c r="W1685" s="101"/>
    </row>
    <row r="1686" spans="1:23" x14ac:dyDescent="0.25">
      <c r="A1686" s="98"/>
      <c r="H1686" s="101"/>
      <c r="I1686" s="101"/>
      <c r="J1686" s="101"/>
      <c r="K1686" s="101"/>
      <c r="L1686" s="101"/>
      <c r="M1686" s="101"/>
      <c r="N1686" s="101"/>
      <c r="O1686" s="101"/>
      <c r="P1686" s="101"/>
      <c r="Q1686" s="101"/>
      <c r="R1686" s="101"/>
      <c r="S1686" s="110"/>
      <c r="T1686" s="102"/>
      <c r="U1686" s="101"/>
      <c r="V1686" s="103"/>
      <c r="W1686" s="101"/>
    </row>
    <row r="1687" spans="1:23" x14ac:dyDescent="0.25">
      <c r="A1687" s="98"/>
      <c r="H1687" s="101"/>
      <c r="I1687" s="101"/>
      <c r="J1687" s="101"/>
      <c r="K1687" s="101"/>
      <c r="L1687" s="101"/>
      <c r="M1687" s="101"/>
      <c r="N1687" s="101"/>
      <c r="O1687" s="101"/>
      <c r="P1687" s="101"/>
      <c r="Q1687" s="101"/>
      <c r="R1687" s="101"/>
      <c r="S1687" s="110"/>
      <c r="T1687" s="102"/>
      <c r="U1687" s="101"/>
      <c r="V1687" s="103"/>
      <c r="W1687" s="101"/>
    </row>
    <row r="1688" spans="1:23" x14ac:dyDescent="0.25">
      <c r="A1688" s="98"/>
      <c r="H1688" s="101"/>
      <c r="I1688" s="101"/>
      <c r="J1688" s="101"/>
      <c r="K1688" s="101"/>
      <c r="L1688" s="101"/>
      <c r="M1688" s="101"/>
      <c r="N1688" s="101"/>
      <c r="O1688" s="101"/>
      <c r="P1688" s="101"/>
      <c r="Q1688" s="101"/>
      <c r="R1688" s="101"/>
      <c r="S1688" s="110"/>
      <c r="T1688" s="102"/>
      <c r="U1688" s="101"/>
      <c r="V1688" s="103"/>
      <c r="W1688" s="101"/>
    </row>
    <row r="1689" spans="1:23" x14ac:dyDescent="0.25">
      <c r="A1689" s="98"/>
      <c r="H1689" s="101"/>
      <c r="I1689" s="101"/>
      <c r="J1689" s="101"/>
      <c r="K1689" s="101"/>
      <c r="L1689" s="101"/>
      <c r="M1689" s="101"/>
      <c r="N1689" s="101"/>
      <c r="O1689" s="101"/>
      <c r="P1689" s="101"/>
      <c r="Q1689" s="101"/>
      <c r="R1689" s="101"/>
      <c r="S1689" s="110"/>
      <c r="T1689" s="102"/>
      <c r="U1689" s="101"/>
      <c r="V1689" s="103"/>
      <c r="W1689" s="101"/>
    </row>
    <row r="1690" spans="1:23" x14ac:dyDescent="0.25">
      <c r="A1690" s="98"/>
      <c r="H1690" s="101"/>
      <c r="I1690" s="101"/>
      <c r="J1690" s="101"/>
      <c r="K1690" s="101"/>
      <c r="L1690" s="101"/>
      <c r="M1690" s="101"/>
      <c r="N1690" s="101"/>
      <c r="O1690" s="101"/>
      <c r="P1690" s="101"/>
      <c r="Q1690" s="101"/>
      <c r="R1690" s="101"/>
      <c r="S1690" s="110"/>
      <c r="T1690" s="102"/>
      <c r="U1690" s="101"/>
      <c r="V1690" s="103"/>
      <c r="W1690" s="101"/>
    </row>
    <row r="1691" spans="1:23" x14ac:dyDescent="0.25">
      <c r="A1691" s="98"/>
      <c r="H1691" s="101"/>
      <c r="I1691" s="101"/>
      <c r="J1691" s="101"/>
      <c r="K1691" s="101"/>
      <c r="L1691" s="101"/>
      <c r="M1691" s="101"/>
      <c r="N1691" s="101"/>
      <c r="O1691" s="101"/>
      <c r="P1691" s="101"/>
      <c r="Q1691" s="101"/>
      <c r="R1691" s="101"/>
      <c r="S1691" s="110"/>
      <c r="T1691" s="102"/>
      <c r="U1691" s="101"/>
      <c r="V1691" s="103"/>
      <c r="W1691" s="101"/>
    </row>
    <row r="1692" spans="1:23" x14ac:dyDescent="0.25">
      <c r="A1692" s="98"/>
      <c r="H1692" s="101"/>
      <c r="I1692" s="101"/>
      <c r="J1692" s="101"/>
      <c r="K1692" s="101"/>
      <c r="L1692" s="101"/>
      <c r="M1692" s="101"/>
      <c r="N1692" s="101"/>
      <c r="O1692" s="101"/>
      <c r="P1692" s="101"/>
      <c r="Q1692" s="101"/>
      <c r="R1692" s="101"/>
      <c r="S1692" s="110"/>
      <c r="T1692" s="102"/>
      <c r="U1692" s="101"/>
      <c r="V1692" s="103"/>
      <c r="W1692" s="101"/>
    </row>
    <row r="1693" spans="1:23" x14ac:dyDescent="0.25">
      <c r="A1693" s="98"/>
      <c r="H1693" s="101"/>
      <c r="I1693" s="101"/>
      <c r="J1693" s="101"/>
      <c r="K1693" s="101"/>
      <c r="L1693" s="101"/>
      <c r="M1693" s="101"/>
      <c r="N1693" s="101"/>
      <c r="O1693" s="101"/>
      <c r="P1693" s="101"/>
      <c r="Q1693" s="101"/>
      <c r="R1693" s="101"/>
      <c r="S1693" s="110"/>
      <c r="T1693" s="102"/>
      <c r="U1693" s="101"/>
      <c r="V1693" s="103"/>
      <c r="W1693" s="101"/>
    </row>
    <row r="1694" spans="1:23" x14ac:dyDescent="0.25">
      <c r="A1694" s="98"/>
      <c r="H1694" s="101"/>
      <c r="I1694" s="101"/>
      <c r="J1694" s="101"/>
      <c r="K1694" s="101"/>
      <c r="L1694" s="101"/>
      <c r="M1694" s="101"/>
      <c r="N1694" s="101"/>
      <c r="O1694" s="101"/>
      <c r="P1694" s="101"/>
      <c r="Q1694" s="101"/>
      <c r="R1694" s="101"/>
      <c r="S1694" s="110"/>
      <c r="T1694" s="102"/>
      <c r="U1694" s="101"/>
      <c r="V1694" s="103"/>
      <c r="W1694" s="101"/>
    </row>
    <row r="1695" spans="1:23" x14ac:dyDescent="0.25">
      <c r="A1695" s="98"/>
      <c r="H1695" s="101"/>
      <c r="I1695" s="101"/>
      <c r="J1695" s="101"/>
      <c r="K1695" s="101"/>
      <c r="L1695" s="101"/>
      <c r="M1695" s="101"/>
      <c r="N1695" s="101"/>
      <c r="O1695" s="101"/>
      <c r="P1695" s="101"/>
      <c r="Q1695" s="101"/>
      <c r="R1695" s="101"/>
      <c r="S1695" s="110"/>
      <c r="T1695" s="102"/>
      <c r="U1695" s="101"/>
      <c r="V1695" s="103"/>
      <c r="W1695" s="101"/>
    </row>
    <row r="1696" spans="1:23" x14ac:dyDescent="0.25">
      <c r="A1696" s="98"/>
      <c r="H1696" s="101"/>
      <c r="I1696" s="101"/>
      <c r="J1696" s="101"/>
      <c r="K1696" s="101"/>
      <c r="L1696" s="101"/>
      <c r="M1696" s="101"/>
      <c r="N1696" s="101"/>
      <c r="O1696" s="101"/>
      <c r="P1696" s="101"/>
      <c r="Q1696" s="101"/>
      <c r="R1696" s="101"/>
      <c r="S1696" s="110"/>
      <c r="T1696" s="102"/>
      <c r="U1696" s="101"/>
      <c r="V1696" s="103"/>
      <c r="W1696" s="101"/>
    </row>
    <row r="1697" spans="1:23" x14ac:dyDescent="0.25">
      <c r="A1697" s="98"/>
      <c r="H1697" s="101"/>
      <c r="I1697" s="101"/>
      <c r="J1697" s="101"/>
      <c r="K1697" s="101"/>
      <c r="L1697" s="101"/>
      <c r="M1697" s="101"/>
      <c r="N1697" s="101"/>
      <c r="O1697" s="101"/>
      <c r="P1697" s="101"/>
      <c r="Q1697" s="101"/>
      <c r="R1697" s="101"/>
      <c r="S1697" s="110"/>
      <c r="T1697" s="102"/>
      <c r="U1697" s="101"/>
      <c r="V1697" s="103"/>
      <c r="W1697" s="101"/>
    </row>
    <row r="1698" spans="1:23" x14ac:dyDescent="0.25">
      <c r="A1698" s="98"/>
      <c r="H1698" s="101"/>
      <c r="I1698" s="101"/>
      <c r="J1698" s="101"/>
      <c r="K1698" s="101"/>
      <c r="L1698" s="101"/>
      <c r="M1698" s="101"/>
      <c r="N1698" s="101"/>
      <c r="O1698" s="101"/>
      <c r="P1698" s="101"/>
      <c r="Q1698" s="101"/>
      <c r="R1698" s="101"/>
      <c r="S1698" s="110"/>
      <c r="T1698" s="102"/>
      <c r="U1698" s="101"/>
      <c r="V1698" s="103"/>
      <c r="W1698" s="101"/>
    </row>
    <row r="1699" spans="1:23" x14ac:dyDescent="0.25">
      <c r="A1699" s="98"/>
      <c r="H1699" s="101"/>
      <c r="I1699" s="101"/>
      <c r="J1699" s="101"/>
      <c r="K1699" s="101"/>
      <c r="L1699" s="101"/>
      <c r="M1699" s="101"/>
      <c r="N1699" s="101"/>
      <c r="O1699" s="101"/>
      <c r="P1699" s="101"/>
      <c r="Q1699" s="101"/>
      <c r="R1699" s="101"/>
      <c r="S1699" s="110"/>
      <c r="T1699" s="102"/>
      <c r="U1699" s="101"/>
      <c r="V1699" s="103"/>
      <c r="W1699" s="101"/>
    </row>
    <row r="1700" spans="1:23" x14ac:dyDescent="0.25">
      <c r="A1700" s="98"/>
      <c r="H1700" s="101"/>
      <c r="I1700" s="101"/>
      <c r="J1700" s="101"/>
      <c r="K1700" s="101"/>
      <c r="L1700" s="101"/>
      <c r="M1700" s="101"/>
      <c r="N1700" s="101"/>
      <c r="O1700" s="101"/>
      <c r="P1700" s="101"/>
      <c r="Q1700" s="101"/>
      <c r="R1700" s="101"/>
      <c r="S1700" s="110"/>
      <c r="T1700" s="102"/>
      <c r="U1700" s="101"/>
      <c r="V1700" s="103"/>
      <c r="W1700" s="101"/>
    </row>
    <row r="1701" spans="1:23" x14ac:dyDescent="0.25">
      <c r="A1701" s="98"/>
      <c r="H1701" s="101"/>
      <c r="I1701" s="101"/>
      <c r="J1701" s="101"/>
      <c r="K1701" s="101"/>
      <c r="L1701" s="101"/>
      <c r="M1701" s="101"/>
      <c r="N1701" s="101"/>
      <c r="O1701" s="101"/>
      <c r="P1701" s="101"/>
      <c r="Q1701" s="101"/>
      <c r="R1701" s="101"/>
      <c r="S1701" s="110"/>
      <c r="T1701" s="102"/>
      <c r="U1701" s="101"/>
      <c r="V1701" s="103"/>
      <c r="W1701" s="101"/>
    </row>
    <row r="1702" spans="1:23" x14ac:dyDescent="0.25">
      <c r="A1702" s="98"/>
      <c r="H1702" s="101"/>
      <c r="I1702" s="101"/>
      <c r="J1702" s="101"/>
      <c r="K1702" s="101"/>
      <c r="L1702" s="101"/>
      <c r="M1702" s="101"/>
      <c r="N1702" s="101"/>
      <c r="O1702" s="101"/>
      <c r="P1702" s="101"/>
      <c r="Q1702" s="101"/>
      <c r="R1702" s="101"/>
      <c r="S1702" s="110"/>
      <c r="T1702" s="102"/>
      <c r="U1702" s="101"/>
      <c r="V1702" s="103"/>
      <c r="W1702" s="101"/>
    </row>
    <row r="1703" spans="1:23" x14ac:dyDescent="0.25">
      <c r="A1703" s="98"/>
      <c r="H1703" s="101"/>
      <c r="I1703" s="101"/>
      <c r="J1703" s="101"/>
      <c r="K1703" s="101"/>
      <c r="L1703" s="101"/>
      <c r="M1703" s="101"/>
      <c r="N1703" s="101"/>
      <c r="O1703" s="101"/>
      <c r="P1703" s="101"/>
      <c r="Q1703" s="101"/>
      <c r="R1703" s="101"/>
      <c r="S1703" s="110"/>
      <c r="T1703" s="102"/>
      <c r="U1703" s="101"/>
      <c r="V1703" s="103"/>
      <c r="W1703" s="101"/>
    </row>
    <row r="1704" spans="1:23" x14ac:dyDescent="0.25">
      <c r="A1704" s="98"/>
      <c r="H1704" s="101"/>
      <c r="I1704" s="101"/>
      <c r="J1704" s="101"/>
      <c r="K1704" s="101"/>
      <c r="L1704" s="101"/>
      <c r="M1704" s="101"/>
      <c r="N1704" s="101"/>
      <c r="O1704" s="101"/>
      <c r="P1704" s="101"/>
      <c r="Q1704" s="101"/>
      <c r="R1704" s="101"/>
      <c r="S1704" s="110"/>
      <c r="T1704" s="102"/>
      <c r="U1704" s="101"/>
      <c r="V1704" s="103"/>
      <c r="W1704" s="101"/>
    </row>
    <row r="1705" spans="1:23" x14ac:dyDescent="0.25">
      <c r="A1705" s="98"/>
      <c r="H1705" s="101"/>
      <c r="I1705" s="101"/>
      <c r="J1705" s="101"/>
      <c r="K1705" s="101"/>
      <c r="L1705" s="101"/>
      <c r="M1705" s="101"/>
      <c r="N1705" s="101"/>
      <c r="O1705" s="101"/>
      <c r="P1705" s="101"/>
      <c r="Q1705" s="101"/>
      <c r="R1705" s="101"/>
      <c r="S1705" s="110"/>
      <c r="T1705" s="102"/>
      <c r="U1705" s="101"/>
      <c r="V1705" s="103"/>
      <c r="W1705" s="101"/>
    </row>
    <row r="1706" spans="1:23" x14ac:dyDescent="0.25">
      <c r="A1706" s="98"/>
      <c r="H1706" s="101"/>
      <c r="I1706" s="101"/>
      <c r="J1706" s="101"/>
      <c r="K1706" s="101"/>
      <c r="L1706" s="101"/>
      <c r="M1706" s="101"/>
      <c r="N1706" s="101"/>
      <c r="O1706" s="101"/>
      <c r="P1706" s="101"/>
      <c r="Q1706" s="101"/>
      <c r="R1706" s="101"/>
      <c r="S1706" s="110"/>
      <c r="T1706" s="102"/>
      <c r="U1706" s="101"/>
      <c r="V1706" s="103"/>
      <c r="W1706" s="101"/>
    </row>
    <row r="1707" spans="1:23" x14ac:dyDescent="0.25">
      <c r="A1707" s="98"/>
      <c r="H1707" s="101"/>
      <c r="I1707" s="101"/>
      <c r="J1707" s="101"/>
      <c r="K1707" s="101"/>
      <c r="L1707" s="101"/>
      <c r="M1707" s="101"/>
      <c r="N1707" s="101"/>
      <c r="O1707" s="101"/>
      <c r="P1707" s="101"/>
      <c r="Q1707" s="101"/>
      <c r="R1707" s="101"/>
      <c r="S1707" s="110"/>
      <c r="T1707" s="102"/>
      <c r="U1707" s="101"/>
      <c r="V1707" s="103"/>
      <c r="W1707" s="101"/>
    </row>
    <row r="1708" spans="1:23" x14ac:dyDescent="0.25">
      <c r="A1708" s="98"/>
      <c r="H1708" s="101"/>
      <c r="I1708" s="101"/>
      <c r="J1708" s="101"/>
      <c r="K1708" s="101"/>
      <c r="L1708" s="101"/>
      <c r="M1708" s="101"/>
      <c r="N1708" s="101"/>
      <c r="O1708" s="101"/>
      <c r="P1708" s="101"/>
      <c r="Q1708" s="101"/>
      <c r="R1708" s="101"/>
      <c r="S1708" s="110"/>
      <c r="T1708" s="102"/>
      <c r="U1708" s="101"/>
      <c r="V1708" s="103"/>
      <c r="W1708" s="101"/>
    </row>
    <row r="1709" spans="1:23" x14ac:dyDescent="0.25">
      <c r="A1709" s="98"/>
      <c r="H1709" s="101"/>
      <c r="I1709" s="101"/>
      <c r="J1709" s="101"/>
      <c r="K1709" s="101"/>
      <c r="L1709" s="101"/>
      <c r="M1709" s="101"/>
      <c r="N1709" s="101"/>
      <c r="O1709" s="101"/>
      <c r="P1709" s="101"/>
      <c r="Q1709" s="101"/>
      <c r="R1709" s="101"/>
      <c r="S1709" s="110"/>
      <c r="T1709" s="102"/>
      <c r="U1709" s="101"/>
      <c r="V1709" s="103"/>
      <c r="W1709" s="101"/>
    </row>
    <row r="1710" spans="1:23" x14ac:dyDescent="0.25">
      <c r="A1710" s="98"/>
      <c r="H1710" s="101"/>
      <c r="I1710" s="101"/>
      <c r="J1710" s="101"/>
      <c r="K1710" s="101"/>
      <c r="L1710" s="101"/>
      <c r="M1710" s="101"/>
      <c r="N1710" s="101"/>
      <c r="O1710" s="101"/>
      <c r="P1710" s="101"/>
      <c r="Q1710" s="101"/>
      <c r="R1710" s="101"/>
      <c r="S1710" s="110"/>
      <c r="T1710" s="102"/>
      <c r="U1710" s="101"/>
      <c r="V1710" s="103"/>
      <c r="W1710" s="101"/>
    </row>
    <row r="1711" spans="1:23" x14ac:dyDescent="0.25">
      <c r="A1711" s="98"/>
      <c r="H1711" s="101"/>
      <c r="I1711" s="101"/>
      <c r="J1711" s="101"/>
      <c r="K1711" s="101"/>
      <c r="L1711" s="101"/>
      <c r="M1711" s="101"/>
      <c r="N1711" s="101"/>
      <c r="O1711" s="101"/>
      <c r="P1711" s="101"/>
      <c r="Q1711" s="101"/>
      <c r="R1711" s="101"/>
      <c r="S1711" s="110"/>
      <c r="T1711" s="102"/>
      <c r="U1711" s="101"/>
      <c r="V1711" s="103"/>
      <c r="W1711" s="101"/>
    </row>
    <row r="1712" spans="1:23" x14ac:dyDescent="0.25">
      <c r="A1712" s="98"/>
      <c r="H1712" s="101"/>
      <c r="I1712" s="101"/>
      <c r="J1712" s="101"/>
      <c r="K1712" s="101"/>
      <c r="L1712" s="101"/>
      <c r="M1712" s="101"/>
      <c r="N1712" s="101"/>
      <c r="O1712" s="101"/>
      <c r="P1712" s="101"/>
      <c r="Q1712" s="101"/>
      <c r="R1712" s="101"/>
      <c r="S1712" s="110"/>
      <c r="T1712" s="102"/>
      <c r="U1712" s="101"/>
      <c r="V1712" s="103"/>
      <c r="W1712" s="101"/>
    </row>
    <row r="1713" spans="1:23" x14ac:dyDescent="0.25">
      <c r="A1713" s="98"/>
      <c r="H1713" s="101"/>
      <c r="I1713" s="101"/>
      <c r="J1713" s="101"/>
      <c r="K1713" s="101"/>
      <c r="L1713" s="101"/>
      <c r="M1713" s="101"/>
      <c r="N1713" s="101"/>
      <c r="O1713" s="101"/>
      <c r="P1713" s="101"/>
      <c r="Q1713" s="101"/>
      <c r="R1713" s="101"/>
      <c r="S1713" s="110"/>
      <c r="T1713" s="102"/>
      <c r="U1713" s="101"/>
      <c r="V1713" s="103"/>
      <c r="W1713" s="101"/>
    </row>
    <row r="1714" spans="1:23" x14ac:dyDescent="0.25">
      <c r="A1714" s="98"/>
      <c r="H1714" s="101"/>
      <c r="I1714" s="101"/>
      <c r="J1714" s="101"/>
      <c r="K1714" s="101"/>
      <c r="L1714" s="101"/>
      <c r="M1714" s="101"/>
      <c r="N1714" s="101"/>
      <c r="O1714" s="101"/>
      <c r="P1714" s="101"/>
      <c r="Q1714" s="101"/>
      <c r="R1714" s="101"/>
      <c r="S1714" s="110"/>
      <c r="T1714" s="102"/>
      <c r="U1714" s="101"/>
      <c r="V1714" s="103"/>
      <c r="W1714" s="101"/>
    </row>
    <row r="1715" spans="1:23" x14ac:dyDescent="0.25">
      <c r="A1715" s="98"/>
      <c r="H1715" s="101"/>
      <c r="I1715" s="101"/>
      <c r="J1715" s="101"/>
      <c r="K1715" s="101"/>
      <c r="L1715" s="101"/>
      <c r="M1715" s="101"/>
      <c r="N1715" s="101"/>
      <c r="O1715" s="101"/>
      <c r="P1715" s="101"/>
      <c r="Q1715" s="101"/>
      <c r="R1715" s="101"/>
      <c r="S1715" s="110"/>
      <c r="T1715" s="102"/>
      <c r="U1715" s="101"/>
      <c r="V1715" s="103"/>
      <c r="W1715" s="101"/>
    </row>
    <row r="1716" spans="1:23" x14ac:dyDescent="0.25">
      <c r="A1716" s="98"/>
      <c r="H1716" s="101"/>
      <c r="I1716" s="101"/>
      <c r="J1716" s="101"/>
      <c r="K1716" s="101"/>
      <c r="L1716" s="101"/>
      <c r="M1716" s="101"/>
      <c r="N1716" s="101"/>
      <c r="O1716" s="101"/>
      <c r="P1716" s="101"/>
      <c r="Q1716" s="101"/>
      <c r="R1716" s="101"/>
      <c r="S1716" s="110"/>
      <c r="T1716" s="102"/>
      <c r="U1716" s="101"/>
      <c r="V1716" s="103"/>
      <c r="W1716" s="101"/>
    </row>
    <row r="1717" spans="1:23" x14ac:dyDescent="0.25">
      <c r="A1717" s="98"/>
      <c r="H1717" s="101"/>
      <c r="I1717" s="101"/>
      <c r="J1717" s="101"/>
      <c r="K1717" s="101"/>
      <c r="L1717" s="101"/>
      <c r="M1717" s="101"/>
      <c r="N1717" s="101"/>
      <c r="O1717" s="101"/>
      <c r="P1717" s="101"/>
      <c r="Q1717" s="101"/>
      <c r="R1717" s="101"/>
      <c r="S1717" s="110"/>
      <c r="T1717" s="102"/>
      <c r="U1717" s="101"/>
      <c r="V1717" s="103"/>
      <c r="W1717" s="101"/>
    </row>
    <row r="1718" spans="1:23" x14ac:dyDescent="0.25">
      <c r="A1718" s="98"/>
      <c r="H1718" s="101"/>
      <c r="I1718" s="101"/>
      <c r="J1718" s="101"/>
      <c r="K1718" s="101"/>
      <c r="L1718" s="101"/>
      <c r="M1718" s="101"/>
      <c r="N1718" s="101"/>
      <c r="O1718" s="101"/>
      <c r="P1718" s="101"/>
      <c r="Q1718" s="101"/>
      <c r="R1718" s="101"/>
      <c r="S1718" s="110"/>
      <c r="T1718" s="102"/>
      <c r="U1718" s="101"/>
      <c r="V1718" s="103"/>
      <c r="W1718" s="101"/>
    </row>
    <row r="1719" spans="1:23" x14ac:dyDescent="0.25">
      <c r="A1719" s="98"/>
      <c r="H1719" s="101"/>
      <c r="I1719" s="101"/>
      <c r="J1719" s="101"/>
      <c r="K1719" s="101"/>
      <c r="L1719" s="101"/>
      <c r="M1719" s="101"/>
      <c r="N1719" s="101"/>
      <c r="O1719" s="101"/>
      <c r="P1719" s="101"/>
      <c r="Q1719" s="101"/>
      <c r="R1719" s="101"/>
      <c r="S1719" s="110"/>
      <c r="T1719" s="102"/>
      <c r="U1719" s="101"/>
      <c r="V1719" s="103"/>
      <c r="W1719" s="101"/>
    </row>
    <row r="1720" spans="1:23" x14ac:dyDescent="0.25">
      <c r="A1720" s="98"/>
      <c r="H1720" s="101"/>
      <c r="I1720" s="101"/>
      <c r="J1720" s="101"/>
      <c r="K1720" s="101"/>
      <c r="L1720" s="101"/>
      <c r="M1720" s="101"/>
      <c r="N1720" s="101"/>
      <c r="O1720" s="101"/>
      <c r="P1720" s="101"/>
      <c r="Q1720" s="101"/>
      <c r="R1720" s="101"/>
      <c r="S1720" s="110"/>
      <c r="T1720" s="102"/>
      <c r="U1720" s="101"/>
      <c r="V1720" s="103"/>
      <c r="W1720" s="101"/>
    </row>
    <row r="1721" spans="1:23" x14ac:dyDescent="0.25">
      <c r="A1721" s="98"/>
      <c r="H1721" s="101"/>
      <c r="I1721" s="101"/>
      <c r="J1721" s="101"/>
      <c r="K1721" s="101"/>
      <c r="L1721" s="101"/>
      <c r="M1721" s="101"/>
      <c r="N1721" s="101"/>
      <c r="O1721" s="101"/>
      <c r="P1721" s="101"/>
      <c r="Q1721" s="101"/>
      <c r="R1721" s="101"/>
      <c r="S1721" s="110"/>
      <c r="T1721" s="102"/>
      <c r="U1721" s="101"/>
      <c r="V1721" s="103"/>
      <c r="W1721" s="101"/>
    </row>
    <row r="1722" spans="1:23" x14ac:dyDescent="0.25">
      <c r="A1722" s="98"/>
      <c r="H1722" s="101"/>
      <c r="I1722" s="101"/>
      <c r="J1722" s="101"/>
      <c r="K1722" s="101"/>
      <c r="L1722" s="101"/>
      <c r="M1722" s="101"/>
      <c r="N1722" s="101"/>
      <c r="O1722" s="101"/>
      <c r="P1722" s="101"/>
      <c r="Q1722" s="101"/>
      <c r="R1722" s="101"/>
      <c r="S1722" s="110"/>
      <c r="T1722" s="102"/>
      <c r="U1722" s="101"/>
      <c r="V1722" s="103"/>
      <c r="W1722" s="101"/>
    </row>
    <row r="1723" spans="1:23" x14ac:dyDescent="0.25">
      <c r="A1723" s="98"/>
      <c r="H1723" s="101"/>
      <c r="I1723" s="101"/>
      <c r="J1723" s="101"/>
      <c r="K1723" s="101"/>
      <c r="L1723" s="101"/>
      <c r="M1723" s="101"/>
      <c r="N1723" s="101"/>
      <c r="O1723" s="101"/>
      <c r="P1723" s="101"/>
      <c r="Q1723" s="101"/>
      <c r="R1723" s="101"/>
      <c r="S1723" s="110"/>
      <c r="T1723" s="102"/>
      <c r="U1723" s="101"/>
      <c r="V1723" s="103"/>
      <c r="W1723" s="101"/>
    </row>
    <row r="1724" spans="1:23" x14ac:dyDescent="0.25">
      <c r="A1724" s="98"/>
      <c r="H1724" s="101"/>
      <c r="I1724" s="101"/>
      <c r="J1724" s="101"/>
      <c r="K1724" s="101"/>
      <c r="L1724" s="101"/>
      <c r="M1724" s="101"/>
      <c r="N1724" s="101"/>
      <c r="O1724" s="101"/>
      <c r="P1724" s="101"/>
      <c r="Q1724" s="101"/>
      <c r="R1724" s="101"/>
      <c r="S1724" s="110"/>
      <c r="T1724" s="102"/>
      <c r="U1724" s="101"/>
      <c r="V1724" s="103"/>
      <c r="W1724" s="101"/>
    </row>
    <row r="1725" spans="1:23" x14ac:dyDescent="0.25">
      <c r="A1725" s="98"/>
      <c r="H1725" s="101"/>
      <c r="I1725" s="101"/>
      <c r="J1725" s="101"/>
      <c r="K1725" s="101"/>
      <c r="L1725" s="101"/>
      <c r="M1725" s="101"/>
      <c r="N1725" s="101"/>
      <c r="O1725" s="101"/>
      <c r="P1725" s="101"/>
      <c r="Q1725" s="101"/>
      <c r="R1725" s="101"/>
      <c r="S1725" s="110"/>
      <c r="T1725" s="102"/>
      <c r="U1725" s="101"/>
      <c r="V1725" s="103"/>
      <c r="W1725" s="101"/>
    </row>
    <row r="1726" spans="1:23" x14ac:dyDescent="0.25">
      <c r="A1726" s="98"/>
      <c r="H1726" s="101"/>
      <c r="I1726" s="101"/>
      <c r="J1726" s="101"/>
      <c r="K1726" s="101"/>
      <c r="L1726" s="101"/>
      <c r="M1726" s="101"/>
      <c r="N1726" s="101"/>
      <c r="O1726" s="101"/>
      <c r="P1726" s="101"/>
      <c r="Q1726" s="101"/>
      <c r="R1726" s="101"/>
      <c r="S1726" s="110"/>
      <c r="T1726" s="102"/>
      <c r="U1726" s="101"/>
      <c r="V1726" s="103"/>
      <c r="W1726" s="101"/>
    </row>
    <row r="1727" spans="1:23" x14ac:dyDescent="0.25">
      <c r="A1727" s="98"/>
      <c r="H1727" s="101"/>
      <c r="I1727" s="101"/>
      <c r="J1727" s="101"/>
      <c r="K1727" s="101"/>
      <c r="L1727" s="101"/>
      <c r="M1727" s="101"/>
      <c r="N1727" s="101"/>
      <c r="O1727" s="101"/>
      <c r="P1727" s="101"/>
      <c r="Q1727" s="101"/>
      <c r="R1727" s="101"/>
      <c r="S1727" s="110"/>
      <c r="T1727" s="102"/>
      <c r="U1727" s="101"/>
      <c r="V1727" s="103"/>
      <c r="W1727" s="101"/>
    </row>
    <row r="1728" spans="1:23" x14ac:dyDescent="0.25">
      <c r="A1728" s="98"/>
      <c r="H1728" s="101"/>
      <c r="I1728" s="101"/>
      <c r="J1728" s="101"/>
      <c r="K1728" s="101"/>
      <c r="L1728" s="101"/>
      <c r="M1728" s="101"/>
      <c r="N1728" s="101"/>
      <c r="O1728" s="101"/>
      <c r="P1728" s="101"/>
      <c r="Q1728" s="101"/>
      <c r="R1728" s="101"/>
      <c r="S1728" s="110"/>
      <c r="T1728" s="102"/>
      <c r="U1728" s="101"/>
      <c r="V1728" s="103"/>
      <c r="W1728" s="101"/>
    </row>
    <row r="1729" spans="1:23" x14ac:dyDescent="0.25">
      <c r="A1729" s="98"/>
      <c r="H1729" s="101"/>
      <c r="I1729" s="101"/>
      <c r="J1729" s="101"/>
      <c r="K1729" s="101"/>
      <c r="L1729" s="101"/>
      <c r="M1729" s="101"/>
      <c r="N1729" s="101"/>
      <c r="O1729" s="101"/>
      <c r="P1729" s="101"/>
      <c r="Q1729" s="101"/>
      <c r="R1729" s="101"/>
      <c r="S1729" s="110"/>
      <c r="T1729" s="102"/>
      <c r="U1729" s="101"/>
      <c r="V1729" s="103"/>
      <c r="W1729" s="101"/>
    </row>
    <row r="1730" spans="1:23" x14ac:dyDescent="0.25">
      <c r="A1730" s="98"/>
      <c r="H1730" s="101"/>
      <c r="I1730" s="101"/>
      <c r="J1730" s="101"/>
      <c r="K1730" s="101"/>
      <c r="L1730" s="101"/>
      <c r="M1730" s="101"/>
      <c r="N1730" s="101"/>
      <c r="O1730" s="101"/>
      <c r="P1730" s="101"/>
      <c r="Q1730" s="101"/>
      <c r="R1730" s="101"/>
      <c r="S1730" s="110"/>
      <c r="T1730" s="102"/>
      <c r="U1730" s="101"/>
      <c r="V1730" s="103"/>
      <c r="W1730" s="101"/>
    </row>
    <row r="1731" spans="1:23" x14ac:dyDescent="0.25">
      <c r="A1731" s="98"/>
      <c r="H1731" s="101"/>
      <c r="I1731" s="101"/>
      <c r="J1731" s="101"/>
      <c r="K1731" s="101"/>
      <c r="L1731" s="101"/>
      <c r="M1731" s="101"/>
      <c r="N1731" s="101"/>
      <c r="O1731" s="101"/>
      <c r="P1731" s="101"/>
      <c r="Q1731" s="101"/>
      <c r="R1731" s="101"/>
      <c r="S1731" s="110"/>
      <c r="T1731" s="102"/>
      <c r="U1731" s="101"/>
      <c r="V1731" s="103"/>
      <c r="W1731" s="101"/>
    </row>
    <row r="1732" spans="1:23" x14ac:dyDescent="0.25">
      <c r="A1732" s="98"/>
      <c r="H1732" s="101"/>
      <c r="I1732" s="101"/>
      <c r="J1732" s="101"/>
      <c r="K1732" s="101"/>
      <c r="L1732" s="101"/>
      <c r="M1732" s="101"/>
      <c r="N1732" s="101"/>
      <c r="O1732" s="101"/>
      <c r="P1732" s="101"/>
      <c r="Q1732" s="101"/>
      <c r="R1732" s="101"/>
      <c r="S1732" s="110"/>
      <c r="T1732" s="102"/>
      <c r="U1732" s="101"/>
      <c r="V1732" s="103"/>
      <c r="W1732" s="101"/>
    </row>
    <row r="1733" spans="1:23" x14ac:dyDescent="0.25">
      <c r="A1733" s="98"/>
      <c r="H1733" s="101"/>
      <c r="I1733" s="101"/>
      <c r="J1733" s="101"/>
      <c r="K1733" s="101"/>
      <c r="L1733" s="101"/>
      <c r="M1733" s="101"/>
      <c r="N1733" s="101"/>
      <c r="O1733" s="101"/>
      <c r="P1733" s="101"/>
      <c r="Q1733" s="101"/>
      <c r="R1733" s="101"/>
      <c r="S1733" s="110"/>
      <c r="T1733" s="102"/>
      <c r="U1733" s="101"/>
      <c r="V1733" s="103"/>
      <c r="W1733" s="101"/>
    </row>
    <row r="1734" spans="1:23" x14ac:dyDescent="0.25">
      <c r="A1734" s="98"/>
      <c r="H1734" s="101"/>
      <c r="I1734" s="101"/>
      <c r="J1734" s="101"/>
      <c r="K1734" s="101"/>
      <c r="L1734" s="101"/>
      <c r="M1734" s="101"/>
      <c r="N1734" s="101"/>
      <c r="O1734" s="101"/>
      <c r="P1734" s="101"/>
      <c r="Q1734" s="101"/>
      <c r="R1734" s="101"/>
      <c r="S1734" s="110"/>
      <c r="T1734" s="102"/>
      <c r="U1734" s="101"/>
      <c r="V1734" s="103"/>
      <c r="W1734" s="101"/>
    </row>
    <row r="1735" spans="1:23" x14ac:dyDescent="0.25">
      <c r="A1735" s="98"/>
      <c r="H1735" s="101"/>
      <c r="I1735" s="101"/>
      <c r="J1735" s="101"/>
      <c r="K1735" s="101"/>
      <c r="L1735" s="101"/>
      <c r="M1735" s="101"/>
      <c r="N1735" s="101"/>
      <c r="O1735" s="101"/>
      <c r="P1735" s="101"/>
      <c r="Q1735" s="101"/>
      <c r="R1735" s="101"/>
      <c r="S1735" s="110"/>
      <c r="T1735" s="102"/>
      <c r="U1735" s="101"/>
      <c r="V1735" s="103"/>
      <c r="W1735" s="101"/>
    </row>
    <row r="1736" spans="1:23" x14ac:dyDescent="0.25">
      <c r="A1736" s="98"/>
      <c r="H1736" s="101"/>
      <c r="I1736" s="101"/>
      <c r="J1736" s="101"/>
      <c r="K1736" s="101"/>
      <c r="L1736" s="101"/>
      <c r="M1736" s="101"/>
      <c r="N1736" s="101"/>
      <c r="O1736" s="101"/>
      <c r="P1736" s="101"/>
      <c r="Q1736" s="101"/>
      <c r="R1736" s="101"/>
      <c r="S1736" s="110"/>
      <c r="T1736" s="102"/>
      <c r="U1736" s="101"/>
      <c r="V1736" s="103"/>
      <c r="W1736" s="101"/>
    </row>
    <row r="1737" spans="1:23" x14ac:dyDescent="0.25">
      <c r="A1737" s="98"/>
      <c r="H1737" s="101"/>
      <c r="I1737" s="101"/>
      <c r="J1737" s="101"/>
      <c r="K1737" s="101"/>
      <c r="L1737" s="101"/>
      <c r="M1737" s="101"/>
      <c r="N1737" s="101"/>
      <c r="O1737" s="101"/>
      <c r="P1737" s="101"/>
      <c r="Q1737" s="101"/>
      <c r="R1737" s="101"/>
      <c r="S1737" s="110"/>
      <c r="T1737" s="102"/>
      <c r="U1737" s="101"/>
      <c r="V1737" s="103"/>
      <c r="W1737" s="101"/>
    </row>
    <row r="1738" spans="1:23" x14ac:dyDescent="0.25">
      <c r="A1738" s="98"/>
      <c r="H1738" s="101"/>
      <c r="I1738" s="101"/>
      <c r="J1738" s="101"/>
      <c r="K1738" s="101"/>
      <c r="L1738" s="101"/>
      <c r="M1738" s="101"/>
      <c r="N1738" s="101"/>
      <c r="O1738" s="101"/>
      <c r="P1738" s="101"/>
      <c r="Q1738" s="101"/>
      <c r="R1738" s="101"/>
      <c r="S1738" s="110"/>
      <c r="T1738" s="102"/>
      <c r="U1738" s="101"/>
      <c r="V1738" s="103"/>
      <c r="W1738" s="101"/>
    </row>
    <row r="1739" spans="1:23" x14ac:dyDescent="0.25">
      <c r="A1739" s="98"/>
      <c r="H1739" s="101"/>
      <c r="I1739" s="101"/>
      <c r="J1739" s="101"/>
      <c r="K1739" s="101"/>
      <c r="L1739" s="101"/>
      <c r="M1739" s="101"/>
      <c r="N1739" s="101"/>
      <c r="O1739" s="101"/>
      <c r="P1739" s="101"/>
      <c r="Q1739" s="101"/>
      <c r="R1739" s="101"/>
      <c r="S1739" s="110"/>
      <c r="T1739" s="102"/>
      <c r="U1739" s="101"/>
      <c r="V1739" s="103"/>
      <c r="W1739" s="101"/>
    </row>
    <row r="1740" spans="1:23" x14ac:dyDescent="0.25">
      <c r="A1740" s="98"/>
      <c r="H1740" s="101"/>
      <c r="I1740" s="101"/>
      <c r="J1740" s="101"/>
      <c r="K1740" s="101"/>
      <c r="L1740" s="101"/>
      <c r="M1740" s="101"/>
      <c r="N1740" s="101"/>
      <c r="O1740" s="101"/>
      <c r="P1740" s="101"/>
      <c r="Q1740" s="101"/>
      <c r="R1740" s="101"/>
      <c r="S1740" s="110"/>
      <c r="T1740" s="102"/>
      <c r="U1740" s="101"/>
      <c r="V1740" s="103"/>
      <c r="W1740" s="101"/>
    </row>
    <row r="1741" spans="1:23" x14ac:dyDescent="0.25">
      <c r="A1741" s="98"/>
      <c r="H1741" s="101"/>
      <c r="I1741" s="101"/>
      <c r="J1741" s="101"/>
      <c r="K1741" s="101"/>
      <c r="L1741" s="101"/>
      <c r="M1741" s="101"/>
      <c r="N1741" s="101"/>
      <c r="O1741" s="101"/>
      <c r="P1741" s="101"/>
      <c r="Q1741" s="101"/>
      <c r="R1741" s="101"/>
      <c r="S1741" s="110"/>
      <c r="T1741" s="102"/>
      <c r="U1741" s="101"/>
      <c r="V1741" s="103"/>
      <c r="W1741" s="101"/>
    </row>
    <row r="1742" spans="1:23" x14ac:dyDescent="0.25">
      <c r="A1742" s="98"/>
      <c r="H1742" s="101"/>
      <c r="I1742" s="101"/>
      <c r="J1742" s="101"/>
      <c r="K1742" s="101"/>
      <c r="L1742" s="101"/>
      <c r="M1742" s="101"/>
      <c r="N1742" s="101"/>
      <c r="O1742" s="101"/>
      <c r="P1742" s="101"/>
      <c r="Q1742" s="101"/>
      <c r="R1742" s="101"/>
      <c r="S1742" s="110"/>
      <c r="T1742" s="102"/>
      <c r="U1742" s="101"/>
      <c r="V1742" s="103"/>
      <c r="W1742" s="101"/>
    </row>
    <row r="1743" spans="1:23" x14ac:dyDescent="0.25">
      <c r="A1743" s="98"/>
      <c r="H1743" s="101"/>
      <c r="I1743" s="101"/>
      <c r="J1743" s="101"/>
      <c r="K1743" s="101"/>
      <c r="L1743" s="101"/>
      <c r="M1743" s="101"/>
      <c r="N1743" s="101"/>
      <c r="O1743" s="101"/>
      <c r="P1743" s="101"/>
      <c r="Q1743" s="101"/>
      <c r="R1743" s="101"/>
      <c r="S1743" s="110"/>
      <c r="T1743" s="102"/>
      <c r="U1743" s="101"/>
      <c r="V1743" s="103"/>
      <c r="W1743" s="101"/>
    </row>
    <row r="1744" spans="1:23" x14ac:dyDescent="0.25">
      <c r="A1744" s="98"/>
      <c r="H1744" s="101"/>
      <c r="I1744" s="101"/>
      <c r="J1744" s="101"/>
      <c r="K1744" s="101"/>
      <c r="L1744" s="101"/>
      <c r="M1744" s="101"/>
      <c r="N1744" s="101"/>
      <c r="O1744" s="101"/>
      <c r="P1744" s="101"/>
      <c r="Q1744" s="101"/>
      <c r="R1744" s="101"/>
      <c r="S1744" s="110"/>
      <c r="T1744" s="102"/>
      <c r="U1744" s="101"/>
      <c r="V1744" s="103"/>
      <c r="W1744" s="101"/>
    </row>
    <row r="1745" spans="1:23" x14ac:dyDescent="0.25">
      <c r="A1745" s="98"/>
      <c r="H1745" s="101"/>
      <c r="I1745" s="101"/>
      <c r="J1745" s="101"/>
      <c r="K1745" s="101"/>
      <c r="L1745" s="101"/>
      <c r="M1745" s="101"/>
      <c r="N1745" s="101"/>
      <c r="O1745" s="101"/>
      <c r="P1745" s="101"/>
      <c r="Q1745" s="101"/>
      <c r="R1745" s="101"/>
      <c r="S1745" s="110"/>
      <c r="T1745" s="102"/>
      <c r="U1745" s="101"/>
      <c r="V1745" s="103"/>
      <c r="W1745" s="101"/>
    </row>
    <row r="1746" spans="1:23" x14ac:dyDescent="0.25">
      <c r="A1746" s="98"/>
      <c r="H1746" s="101"/>
      <c r="I1746" s="101"/>
      <c r="J1746" s="101"/>
      <c r="K1746" s="101"/>
      <c r="L1746" s="101"/>
      <c r="M1746" s="101"/>
      <c r="N1746" s="101"/>
      <c r="O1746" s="101"/>
      <c r="P1746" s="101"/>
      <c r="Q1746" s="101"/>
      <c r="R1746" s="101"/>
      <c r="S1746" s="110"/>
      <c r="T1746" s="102"/>
      <c r="U1746" s="101"/>
      <c r="V1746" s="103"/>
      <c r="W1746" s="101"/>
    </row>
    <row r="1747" spans="1:23" x14ac:dyDescent="0.25">
      <c r="A1747" s="98"/>
      <c r="H1747" s="101"/>
      <c r="I1747" s="101"/>
      <c r="J1747" s="101"/>
      <c r="K1747" s="101"/>
      <c r="L1747" s="101"/>
      <c r="M1747" s="101"/>
      <c r="N1747" s="101"/>
      <c r="O1747" s="101"/>
      <c r="P1747" s="101"/>
      <c r="Q1747" s="101"/>
      <c r="R1747" s="101"/>
      <c r="S1747" s="110"/>
      <c r="T1747" s="102"/>
      <c r="U1747" s="101"/>
      <c r="V1747" s="103"/>
      <c r="W1747" s="101"/>
    </row>
    <row r="1748" spans="1:23" x14ac:dyDescent="0.25">
      <c r="A1748" s="98"/>
      <c r="H1748" s="101"/>
      <c r="I1748" s="101"/>
      <c r="J1748" s="101"/>
      <c r="K1748" s="101"/>
      <c r="L1748" s="101"/>
      <c r="M1748" s="101"/>
      <c r="N1748" s="101"/>
      <c r="O1748" s="101"/>
      <c r="P1748" s="101"/>
      <c r="Q1748" s="101"/>
      <c r="R1748" s="101"/>
      <c r="S1748" s="110"/>
      <c r="T1748" s="102"/>
      <c r="U1748" s="101"/>
      <c r="V1748" s="103"/>
      <c r="W1748" s="101"/>
    </row>
    <row r="1749" spans="1:23" x14ac:dyDescent="0.25">
      <c r="A1749" s="98"/>
      <c r="H1749" s="101"/>
      <c r="I1749" s="101"/>
      <c r="J1749" s="101"/>
      <c r="K1749" s="101"/>
      <c r="L1749" s="101"/>
      <c r="M1749" s="101"/>
      <c r="N1749" s="101"/>
      <c r="O1749" s="101"/>
      <c r="P1749" s="101"/>
      <c r="Q1749" s="101"/>
      <c r="R1749" s="101"/>
      <c r="S1749" s="110"/>
      <c r="T1749" s="102"/>
      <c r="U1749" s="101"/>
      <c r="V1749" s="103"/>
      <c r="W1749" s="101"/>
    </row>
    <row r="1750" spans="1:23" x14ac:dyDescent="0.25">
      <c r="A1750" s="98"/>
      <c r="H1750" s="101"/>
      <c r="I1750" s="101"/>
      <c r="J1750" s="101"/>
      <c r="K1750" s="101"/>
      <c r="L1750" s="101"/>
      <c r="M1750" s="101"/>
      <c r="N1750" s="101"/>
      <c r="O1750" s="101"/>
      <c r="P1750" s="101"/>
      <c r="Q1750" s="101"/>
      <c r="R1750" s="101"/>
      <c r="S1750" s="110"/>
      <c r="T1750" s="102"/>
      <c r="U1750" s="101"/>
      <c r="V1750" s="103"/>
      <c r="W1750" s="101"/>
    </row>
    <row r="1751" spans="1:23" x14ac:dyDescent="0.25">
      <c r="A1751" s="98"/>
      <c r="H1751" s="101"/>
      <c r="I1751" s="101"/>
      <c r="J1751" s="101"/>
      <c r="K1751" s="101"/>
      <c r="L1751" s="101"/>
      <c r="M1751" s="101"/>
      <c r="N1751" s="101"/>
      <c r="O1751" s="101"/>
      <c r="P1751" s="101"/>
      <c r="Q1751" s="101"/>
      <c r="R1751" s="101"/>
      <c r="S1751" s="110"/>
      <c r="T1751" s="102"/>
      <c r="U1751" s="101"/>
      <c r="V1751" s="103"/>
      <c r="W1751" s="101"/>
    </row>
    <row r="1752" spans="1:23" x14ac:dyDescent="0.25">
      <c r="A1752" s="98"/>
      <c r="H1752" s="101"/>
      <c r="I1752" s="101"/>
      <c r="J1752" s="101"/>
      <c r="K1752" s="101"/>
      <c r="L1752" s="101"/>
      <c r="M1752" s="101"/>
      <c r="N1752" s="101"/>
      <c r="O1752" s="101"/>
      <c r="P1752" s="101"/>
      <c r="Q1752" s="101"/>
      <c r="R1752" s="101"/>
      <c r="S1752" s="110"/>
      <c r="T1752" s="102"/>
      <c r="U1752" s="101"/>
      <c r="V1752" s="103"/>
      <c r="W1752" s="101"/>
    </row>
    <row r="1753" spans="1:23" x14ac:dyDescent="0.25">
      <c r="A1753" s="98"/>
      <c r="H1753" s="101"/>
      <c r="I1753" s="101"/>
      <c r="J1753" s="101"/>
      <c r="K1753" s="101"/>
      <c r="L1753" s="101"/>
      <c r="M1753" s="101"/>
      <c r="N1753" s="101"/>
      <c r="O1753" s="101"/>
      <c r="P1753" s="101"/>
      <c r="Q1753" s="101"/>
      <c r="R1753" s="101"/>
      <c r="S1753" s="110"/>
      <c r="T1753" s="102"/>
      <c r="U1753" s="101"/>
      <c r="V1753" s="103"/>
      <c r="W1753" s="101"/>
    </row>
    <row r="1754" spans="1:23" x14ac:dyDescent="0.25">
      <c r="A1754" s="98"/>
      <c r="H1754" s="101"/>
      <c r="I1754" s="101"/>
      <c r="J1754" s="101"/>
      <c r="K1754" s="101"/>
      <c r="L1754" s="101"/>
      <c r="M1754" s="101"/>
      <c r="N1754" s="101"/>
      <c r="O1754" s="101"/>
      <c r="P1754" s="101"/>
      <c r="Q1754" s="101"/>
      <c r="R1754" s="101"/>
      <c r="S1754" s="110"/>
      <c r="T1754" s="102"/>
      <c r="U1754" s="101"/>
      <c r="V1754" s="103"/>
      <c r="W1754" s="101"/>
    </row>
    <row r="1755" spans="1:23" x14ac:dyDescent="0.25">
      <c r="A1755" s="98"/>
      <c r="H1755" s="101"/>
      <c r="I1755" s="101"/>
      <c r="J1755" s="101"/>
      <c r="K1755" s="101"/>
      <c r="L1755" s="101"/>
      <c r="M1755" s="101"/>
      <c r="N1755" s="101"/>
      <c r="O1755" s="101"/>
      <c r="P1755" s="101"/>
      <c r="Q1755" s="101"/>
      <c r="R1755" s="101"/>
      <c r="S1755" s="110"/>
      <c r="T1755" s="102"/>
      <c r="U1755" s="101"/>
      <c r="V1755" s="103"/>
      <c r="W1755" s="101"/>
    </row>
    <row r="1756" spans="1:23" x14ac:dyDescent="0.25">
      <c r="A1756" s="98"/>
      <c r="H1756" s="101"/>
      <c r="I1756" s="101"/>
      <c r="J1756" s="101"/>
      <c r="K1756" s="101"/>
      <c r="L1756" s="101"/>
      <c r="M1756" s="101"/>
      <c r="N1756" s="101"/>
      <c r="O1756" s="101"/>
      <c r="P1756" s="101"/>
      <c r="Q1756" s="101"/>
      <c r="R1756" s="101"/>
      <c r="S1756" s="110"/>
      <c r="T1756" s="102"/>
      <c r="U1756" s="101"/>
      <c r="V1756" s="103"/>
      <c r="W1756" s="101"/>
    </row>
    <row r="1757" spans="1:23" x14ac:dyDescent="0.25">
      <c r="A1757" s="98"/>
      <c r="H1757" s="101"/>
      <c r="I1757" s="101"/>
      <c r="J1757" s="101"/>
      <c r="K1757" s="101"/>
      <c r="L1757" s="101"/>
      <c r="M1757" s="101"/>
      <c r="N1757" s="101"/>
      <c r="O1757" s="101"/>
      <c r="P1757" s="101"/>
      <c r="Q1757" s="101"/>
      <c r="R1757" s="101"/>
      <c r="S1757" s="110"/>
      <c r="T1757" s="102"/>
      <c r="U1757" s="101"/>
      <c r="V1757" s="103"/>
      <c r="W1757" s="101"/>
    </row>
    <row r="1758" spans="1:23" x14ac:dyDescent="0.25">
      <c r="A1758" s="98"/>
      <c r="H1758" s="101"/>
      <c r="I1758" s="101"/>
      <c r="J1758" s="101"/>
      <c r="K1758" s="101"/>
      <c r="L1758" s="101"/>
      <c r="M1758" s="101"/>
      <c r="N1758" s="101"/>
      <c r="O1758" s="101"/>
      <c r="P1758" s="101"/>
      <c r="Q1758" s="101"/>
      <c r="R1758" s="101"/>
      <c r="S1758" s="110"/>
      <c r="T1758" s="102"/>
      <c r="U1758" s="101"/>
      <c r="V1758" s="103"/>
      <c r="W1758" s="101"/>
    </row>
    <row r="1759" spans="1:23" x14ac:dyDescent="0.25">
      <c r="A1759" s="98"/>
      <c r="H1759" s="101"/>
      <c r="I1759" s="101"/>
      <c r="J1759" s="101"/>
      <c r="K1759" s="101"/>
      <c r="L1759" s="101"/>
      <c r="M1759" s="101"/>
      <c r="N1759" s="101"/>
      <c r="O1759" s="101"/>
      <c r="P1759" s="101"/>
      <c r="Q1759" s="101"/>
      <c r="R1759" s="101"/>
      <c r="S1759" s="110"/>
      <c r="T1759" s="102"/>
      <c r="U1759" s="101"/>
      <c r="V1759" s="103"/>
      <c r="W1759" s="101"/>
    </row>
    <row r="1760" spans="1:23" x14ac:dyDescent="0.25">
      <c r="A1760" s="98"/>
      <c r="H1760" s="101"/>
      <c r="I1760" s="101"/>
      <c r="J1760" s="101"/>
      <c r="K1760" s="101"/>
      <c r="L1760" s="101"/>
      <c r="M1760" s="101"/>
      <c r="N1760" s="101"/>
      <c r="O1760" s="101"/>
      <c r="P1760" s="101"/>
      <c r="Q1760" s="101"/>
      <c r="R1760" s="101"/>
      <c r="S1760" s="110"/>
      <c r="T1760" s="102"/>
      <c r="U1760" s="101"/>
      <c r="V1760" s="103"/>
      <c r="W1760" s="101"/>
    </row>
    <row r="1761" spans="1:23" x14ac:dyDescent="0.25">
      <c r="A1761" s="98"/>
      <c r="H1761" s="101"/>
      <c r="I1761" s="101"/>
      <c r="J1761" s="101"/>
      <c r="K1761" s="101"/>
      <c r="L1761" s="101"/>
      <c r="M1761" s="101"/>
      <c r="N1761" s="101"/>
      <c r="O1761" s="101"/>
      <c r="P1761" s="101"/>
      <c r="Q1761" s="101"/>
      <c r="R1761" s="101"/>
      <c r="S1761" s="110"/>
      <c r="T1761" s="102"/>
      <c r="U1761" s="101"/>
      <c r="V1761" s="103"/>
      <c r="W1761" s="101"/>
    </row>
    <row r="1762" spans="1:23" x14ac:dyDescent="0.25">
      <c r="A1762" s="98"/>
      <c r="H1762" s="101"/>
      <c r="I1762" s="101"/>
      <c r="J1762" s="101"/>
      <c r="K1762" s="101"/>
      <c r="L1762" s="101"/>
      <c r="M1762" s="101"/>
      <c r="N1762" s="101"/>
      <c r="O1762" s="101"/>
      <c r="P1762" s="101"/>
      <c r="Q1762" s="101"/>
      <c r="R1762" s="101"/>
      <c r="S1762" s="110"/>
      <c r="T1762" s="102"/>
      <c r="U1762" s="101"/>
      <c r="V1762" s="103"/>
      <c r="W1762" s="101"/>
    </row>
    <row r="1763" spans="1:23" x14ac:dyDescent="0.25">
      <c r="A1763" s="98"/>
      <c r="H1763" s="101"/>
      <c r="I1763" s="101"/>
      <c r="J1763" s="101"/>
      <c r="K1763" s="101"/>
      <c r="L1763" s="101"/>
      <c r="M1763" s="101"/>
      <c r="N1763" s="101"/>
      <c r="O1763" s="101"/>
      <c r="P1763" s="101"/>
      <c r="Q1763" s="101"/>
      <c r="R1763" s="101"/>
      <c r="S1763" s="110"/>
      <c r="T1763" s="102"/>
      <c r="U1763" s="101"/>
      <c r="V1763" s="103"/>
      <c r="W1763" s="101"/>
    </row>
    <row r="1764" spans="1:23" x14ac:dyDescent="0.25">
      <c r="A1764" s="98"/>
      <c r="H1764" s="101"/>
      <c r="I1764" s="101"/>
      <c r="J1764" s="101"/>
      <c r="K1764" s="101"/>
      <c r="L1764" s="101"/>
      <c r="M1764" s="101"/>
      <c r="N1764" s="101"/>
      <c r="O1764" s="101"/>
      <c r="P1764" s="101"/>
      <c r="Q1764" s="101"/>
      <c r="R1764" s="101"/>
      <c r="S1764" s="110"/>
      <c r="T1764" s="102"/>
      <c r="U1764" s="101"/>
      <c r="V1764" s="103"/>
      <c r="W1764" s="101"/>
    </row>
    <row r="1765" spans="1:23" x14ac:dyDescent="0.25">
      <c r="A1765" s="98"/>
      <c r="H1765" s="101"/>
      <c r="I1765" s="101"/>
      <c r="J1765" s="101"/>
      <c r="K1765" s="101"/>
      <c r="L1765" s="101"/>
      <c r="M1765" s="101"/>
      <c r="N1765" s="101"/>
      <c r="O1765" s="101"/>
      <c r="P1765" s="101"/>
      <c r="Q1765" s="101"/>
      <c r="R1765" s="101"/>
      <c r="S1765" s="110"/>
      <c r="T1765" s="102"/>
      <c r="U1765" s="101"/>
      <c r="V1765" s="103"/>
      <c r="W1765" s="101"/>
    </row>
    <row r="1766" spans="1:23" x14ac:dyDescent="0.25">
      <c r="A1766" s="98"/>
      <c r="H1766" s="101"/>
      <c r="I1766" s="101"/>
      <c r="J1766" s="101"/>
      <c r="K1766" s="101"/>
      <c r="L1766" s="101"/>
      <c r="M1766" s="101"/>
      <c r="N1766" s="101"/>
      <c r="O1766" s="101"/>
      <c r="P1766" s="101"/>
      <c r="Q1766" s="101"/>
      <c r="R1766" s="101"/>
      <c r="S1766" s="110"/>
      <c r="T1766" s="102"/>
      <c r="U1766" s="101"/>
      <c r="V1766" s="103"/>
      <c r="W1766" s="101"/>
    </row>
    <row r="1767" spans="1:23" x14ac:dyDescent="0.25">
      <c r="A1767" s="98"/>
      <c r="H1767" s="101"/>
      <c r="I1767" s="101"/>
      <c r="J1767" s="101"/>
      <c r="K1767" s="101"/>
      <c r="L1767" s="101"/>
      <c r="M1767" s="101"/>
      <c r="N1767" s="101"/>
      <c r="O1767" s="101"/>
      <c r="P1767" s="101"/>
      <c r="Q1767" s="101"/>
      <c r="R1767" s="101"/>
      <c r="S1767" s="110"/>
      <c r="T1767" s="102"/>
      <c r="U1767" s="101"/>
      <c r="V1767" s="103"/>
      <c r="W1767" s="101"/>
    </row>
    <row r="1768" spans="1:23" x14ac:dyDescent="0.25">
      <c r="A1768" s="98"/>
      <c r="H1768" s="101"/>
      <c r="I1768" s="101"/>
      <c r="J1768" s="101"/>
      <c r="K1768" s="101"/>
      <c r="L1768" s="101"/>
      <c r="M1768" s="101"/>
      <c r="N1768" s="101"/>
      <c r="O1768" s="101"/>
      <c r="P1768" s="101"/>
      <c r="Q1768" s="101"/>
      <c r="R1768" s="101"/>
      <c r="S1768" s="110"/>
      <c r="T1768" s="102"/>
      <c r="U1768" s="101"/>
      <c r="V1768" s="103"/>
      <c r="W1768" s="101"/>
    </row>
    <row r="1769" spans="1:23" x14ac:dyDescent="0.25">
      <c r="A1769" s="98"/>
      <c r="H1769" s="101"/>
      <c r="I1769" s="101"/>
      <c r="J1769" s="101"/>
      <c r="K1769" s="101"/>
      <c r="L1769" s="101"/>
      <c r="M1769" s="101"/>
      <c r="N1769" s="101"/>
      <c r="O1769" s="101"/>
      <c r="P1769" s="101"/>
      <c r="Q1769" s="101"/>
      <c r="R1769" s="101"/>
      <c r="S1769" s="110"/>
      <c r="T1769" s="102"/>
      <c r="U1769" s="101"/>
      <c r="V1769" s="103"/>
      <c r="W1769" s="101"/>
    </row>
    <row r="1770" spans="1:23" x14ac:dyDescent="0.25">
      <c r="A1770" s="98"/>
      <c r="H1770" s="101"/>
      <c r="I1770" s="101"/>
      <c r="J1770" s="101"/>
      <c r="K1770" s="101"/>
      <c r="L1770" s="101"/>
      <c r="M1770" s="101"/>
      <c r="N1770" s="101"/>
      <c r="O1770" s="101"/>
      <c r="P1770" s="101"/>
      <c r="Q1770" s="101"/>
      <c r="R1770" s="101"/>
      <c r="S1770" s="110"/>
      <c r="T1770" s="102"/>
      <c r="U1770" s="101"/>
      <c r="V1770" s="103"/>
      <c r="W1770" s="101"/>
    </row>
    <row r="1771" spans="1:23" x14ac:dyDescent="0.25">
      <c r="A1771" s="98"/>
      <c r="H1771" s="101"/>
      <c r="I1771" s="101"/>
      <c r="J1771" s="101"/>
      <c r="K1771" s="101"/>
      <c r="L1771" s="101"/>
      <c r="M1771" s="101"/>
      <c r="N1771" s="101"/>
      <c r="O1771" s="101"/>
      <c r="P1771" s="101"/>
      <c r="Q1771" s="101"/>
      <c r="R1771" s="101"/>
      <c r="S1771" s="110"/>
      <c r="T1771" s="102"/>
      <c r="U1771" s="101"/>
      <c r="V1771" s="103"/>
      <c r="W1771" s="101"/>
    </row>
    <row r="1772" spans="1:23" x14ac:dyDescent="0.25">
      <c r="A1772" s="98"/>
      <c r="H1772" s="101"/>
      <c r="I1772" s="101"/>
      <c r="J1772" s="101"/>
      <c r="K1772" s="101"/>
      <c r="L1772" s="101"/>
      <c r="M1772" s="101"/>
      <c r="N1772" s="101"/>
      <c r="O1772" s="101"/>
      <c r="P1772" s="101"/>
      <c r="Q1772" s="101"/>
      <c r="R1772" s="101"/>
      <c r="S1772" s="110"/>
      <c r="T1772" s="102"/>
      <c r="U1772" s="101"/>
      <c r="V1772" s="103"/>
      <c r="W1772" s="101"/>
    </row>
    <row r="1773" spans="1:23" x14ac:dyDescent="0.25">
      <c r="A1773" s="98"/>
      <c r="H1773" s="101"/>
      <c r="I1773" s="101"/>
      <c r="J1773" s="101"/>
      <c r="K1773" s="101"/>
      <c r="L1773" s="101"/>
      <c r="M1773" s="101"/>
      <c r="N1773" s="101"/>
      <c r="O1773" s="101"/>
      <c r="P1773" s="101"/>
      <c r="Q1773" s="101"/>
      <c r="R1773" s="101"/>
      <c r="S1773" s="110"/>
      <c r="T1773" s="102"/>
      <c r="U1773" s="101"/>
      <c r="V1773" s="103"/>
      <c r="W1773" s="101"/>
    </row>
    <row r="1774" spans="1:23" x14ac:dyDescent="0.25">
      <c r="A1774" s="98"/>
      <c r="H1774" s="101"/>
      <c r="I1774" s="101"/>
      <c r="J1774" s="101"/>
      <c r="K1774" s="101"/>
      <c r="L1774" s="101"/>
      <c r="M1774" s="101"/>
      <c r="N1774" s="101"/>
      <c r="O1774" s="101"/>
      <c r="P1774" s="101"/>
      <c r="Q1774" s="101"/>
      <c r="R1774" s="101"/>
      <c r="S1774" s="110"/>
      <c r="T1774" s="102"/>
      <c r="U1774" s="101"/>
      <c r="V1774" s="103"/>
      <c r="W1774" s="101"/>
    </row>
    <row r="1775" spans="1:23" x14ac:dyDescent="0.25">
      <c r="A1775" s="98"/>
      <c r="H1775" s="101"/>
      <c r="I1775" s="101"/>
      <c r="J1775" s="101"/>
      <c r="K1775" s="101"/>
      <c r="L1775" s="101"/>
      <c r="M1775" s="101"/>
      <c r="N1775" s="101"/>
      <c r="O1775" s="101"/>
      <c r="P1775" s="101"/>
      <c r="Q1775" s="101"/>
      <c r="R1775" s="101"/>
      <c r="S1775" s="110"/>
      <c r="T1775" s="102"/>
      <c r="U1775" s="101"/>
      <c r="V1775" s="103"/>
      <c r="W1775" s="101"/>
    </row>
    <row r="1776" spans="1:23" x14ac:dyDescent="0.25">
      <c r="A1776" s="98"/>
      <c r="H1776" s="101"/>
      <c r="I1776" s="101"/>
      <c r="J1776" s="101"/>
      <c r="K1776" s="101"/>
      <c r="L1776" s="101"/>
      <c r="M1776" s="101"/>
      <c r="N1776" s="101"/>
      <c r="O1776" s="101"/>
      <c r="P1776" s="101"/>
      <c r="Q1776" s="101"/>
      <c r="R1776" s="101"/>
      <c r="S1776" s="110"/>
      <c r="T1776" s="102"/>
      <c r="U1776" s="101"/>
      <c r="V1776" s="103"/>
      <c r="W1776" s="101"/>
    </row>
    <row r="1777" spans="1:23" x14ac:dyDescent="0.25">
      <c r="A1777" s="98"/>
      <c r="H1777" s="101"/>
      <c r="I1777" s="101"/>
      <c r="J1777" s="101"/>
      <c r="K1777" s="101"/>
      <c r="L1777" s="101"/>
      <c r="M1777" s="101"/>
      <c r="N1777" s="101"/>
      <c r="O1777" s="101"/>
      <c r="P1777" s="101"/>
      <c r="Q1777" s="101"/>
      <c r="R1777" s="101"/>
      <c r="S1777" s="110"/>
      <c r="T1777" s="102"/>
      <c r="U1777" s="101"/>
      <c r="V1777" s="103"/>
      <c r="W1777" s="101"/>
    </row>
    <row r="1778" spans="1:23" x14ac:dyDescent="0.25">
      <c r="A1778" s="98"/>
      <c r="H1778" s="101"/>
      <c r="I1778" s="101"/>
      <c r="J1778" s="101"/>
      <c r="K1778" s="101"/>
      <c r="L1778" s="101"/>
      <c r="M1778" s="101"/>
      <c r="N1778" s="101"/>
      <c r="O1778" s="101"/>
      <c r="P1778" s="101"/>
      <c r="Q1778" s="101"/>
      <c r="R1778" s="101"/>
      <c r="S1778" s="110"/>
      <c r="T1778" s="102"/>
      <c r="U1778" s="101"/>
      <c r="V1778" s="103"/>
      <c r="W1778" s="101"/>
    </row>
    <row r="1779" spans="1:23" x14ac:dyDescent="0.25">
      <c r="A1779" s="98"/>
      <c r="H1779" s="101"/>
      <c r="I1779" s="101"/>
      <c r="J1779" s="101"/>
      <c r="K1779" s="101"/>
      <c r="L1779" s="101"/>
      <c r="M1779" s="101"/>
      <c r="N1779" s="101"/>
      <c r="O1779" s="101"/>
      <c r="P1779" s="101"/>
      <c r="Q1779" s="101"/>
      <c r="R1779" s="101"/>
      <c r="S1779" s="110"/>
      <c r="T1779" s="102"/>
      <c r="U1779" s="101"/>
      <c r="V1779" s="103"/>
      <c r="W1779" s="101"/>
    </row>
    <row r="1780" spans="1:23" x14ac:dyDescent="0.25">
      <c r="A1780" s="98"/>
      <c r="H1780" s="101"/>
      <c r="I1780" s="101"/>
      <c r="J1780" s="101"/>
      <c r="K1780" s="101"/>
      <c r="L1780" s="101"/>
      <c r="M1780" s="101"/>
      <c r="N1780" s="101"/>
      <c r="O1780" s="101"/>
      <c r="P1780" s="101"/>
      <c r="Q1780" s="101"/>
      <c r="R1780" s="101"/>
      <c r="S1780" s="110"/>
      <c r="T1780" s="102"/>
      <c r="U1780" s="101"/>
      <c r="V1780" s="103"/>
      <c r="W1780" s="101"/>
    </row>
    <row r="1781" spans="1:23" x14ac:dyDescent="0.25">
      <c r="A1781" s="98"/>
      <c r="H1781" s="101"/>
      <c r="I1781" s="101"/>
      <c r="J1781" s="101"/>
      <c r="K1781" s="101"/>
      <c r="L1781" s="101"/>
      <c r="M1781" s="101"/>
      <c r="N1781" s="101"/>
      <c r="O1781" s="101"/>
      <c r="P1781" s="101"/>
      <c r="Q1781" s="101"/>
      <c r="R1781" s="101"/>
      <c r="S1781" s="110"/>
      <c r="T1781" s="102"/>
      <c r="U1781" s="101"/>
      <c r="V1781" s="103"/>
      <c r="W1781" s="101"/>
    </row>
    <row r="1782" spans="1:23" x14ac:dyDescent="0.25">
      <c r="A1782" s="98"/>
      <c r="H1782" s="101"/>
      <c r="I1782" s="101"/>
      <c r="J1782" s="101"/>
      <c r="K1782" s="101"/>
      <c r="L1782" s="101"/>
      <c r="M1782" s="101"/>
      <c r="N1782" s="101"/>
      <c r="O1782" s="101"/>
      <c r="P1782" s="101"/>
      <c r="Q1782" s="101"/>
      <c r="R1782" s="101"/>
      <c r="S1782" s="110"/>
      <c r="T1782" s="102"/>
      <c r="U1782" s="101"/>
      <c r="V1782" s="103"/>
      <c r="W1782" s="101"/>
    </row>
    <row r="1783" spans="1:23" x14ac:dyDescent="0.25">
      <c r="A1783" s="98"/>
      <c r="H1783" s="101"/>
      <c r="I1783" s="101"/>
      <c r="J1783" s="101"/>
      <c r="K1783" s="101"/>
      <c r="L1783" s="101"/>
      <c r="M1783" s="101"/>
      <c r="N1783" s="101"/>
      <c r="O1783" s="101"/>
      <c r="P1783" s="101"/>
      <c r="Q1783" s="101"/>
      <c r="R1783" s="101"/>
      <c r="S1783" s="110"/>
      <c r="T1783" s="102"/>
      <c r="U1783" s="101"/>
      <c r="V1783" s="103"/>
      <c r="W1783" s="101"/>
    </row>
    <row r="1784" spans="1:23" x14ac:dyDescent="0.25">
      <c r="A1784" s="98"/>
      <c r="H1784" s="101"/>
      <c r="I1784" s="101"/>
      <c r="J1784" s="101"/>
      <c r="K1784" s="101"/>
      <c r="L1784" s="101"/>
      <c r="M1784" s="101"/>
      <c r="N1784" s="101"/>
      <c r="O1784" s="101"/>
      <c r="P1784" s="101"/>
      <c r="Q1784" s="101"/>
      <c r="R1784" s="101"/>
      <c r="S1784" s="110"/>
      <c r="T1784" s="102"/>
      <c r="U1784" s="101"/>
      <c r="V1784" s="103"/>
      <c r="W1784" s="101"/>
    </row>
    <row r="1785" spans="1:23" x14ac:dyDescent="0.25">
      <c r="A1785" s="98"/>
      <c r="H1785" s="101"/>
      <c r="I1785" s="101"/>
      <c r="J1785" s="101"/>
      <c r="K1785" s="101"/>
      <c r="L1785" s="101"/>
      <c r="M1785" s="101"/>
      <c r="N1785" s="101"/>
      <c r="O1785" s="101"/>
      <c r="P1785" s="101"/>
      <c r="Q1785" s="101"/>
      <c r="R1785" s="101"/>
      <c r="S1785" s="110"/>
      <c r="T1785" s="102"/>
      <c r="U1785" s="101"/>
      <c r="V1785" s="103"/>
      <c r="W1785" s="101"/>
    </row>
    <row r="1786" spans="1:23" x14ac:dyDescent="0.25">
      <c r="A1786" s="98"/>
      <c r="H1786" s="101"/>
      <c r="I1786" s="101"/>
      <c r="J1786" s="101"/>
      <c r="K1786" s="101"/>
      <c r="L1786" s="101"/>
      <c r="M1786" s="101"/>
      <c r="N1786" s="101"/>
      <c r="O1786" s="101"/>
      <c r="P1786" s="101"/>
      <c r="Q1786" s="101"/>
      <c r="R1786" s="101"/>
      <c r="S1786" s="110"/>
      <c r="T1786" s="102"/>
      <c r="U1786" s="101"/>
      <c r="V1786" s="103"/>
      <c r="W1786" s="101"/>
    </row>
    <row r="1787" spans="1:23" x14ac:dyDescent="0.25">
      <c r="A1787" s="98"/>
      <c r="H1787" s="101"/>
      <c r="I1787" s="101"/>
      <c r="J1787" s="101"/>
      <c r="K1787" s="101"/>
      <c r="L1787" s="101"/>
      <c r="M1787" s="101"/>
      <c r="N1787" s="101"/>
      <c r="O1787" s="101"/>
      <c r="P1787" s="101"/>
      <c r="Q1787" s="101"/>
      <c r="R1787" s="101"/>
      <c r="S1787" s="110"/>
      <c r="T1787" s="102"/>
      <c r="U1787" s="101"/>
      <c r="V1787" s="103"/>
      <c r="W1787" s="101"/>
    </row>
    <row r="1788" spans="1:23" x14ac:dyDescent="0.25">
      <c r="A1788" s="98"/>
      <c r="H1788" s="101"/>
      <c r="I1788" s="101"/>
      <c r="J1788" s="101"/>
      <c r="K1788" s="101"/>
      <c r="L1788" s="101"/>
      <c r="M1788" s="101"/>
      <c r="N1788" s="101"/>
      <c r="O1788" s="101"/>
      <c r="P1788" s="101"/>
      <c r="Q1788" s="101"/>
      <c r="R1788" s="101"/>
      <c r="S1788" s="110"/>
      <c r="T1788" s="102"/>
      <c r="U1788" s="101"/>
      <c r="V1788" s="103"/>
      <c r="W1788" s="101"/>
    </row>
    <row r="1789" spans="1:23" x14ac:dyDescent="0.25">
      <c r="A1789" s="98"/>
      <c r="H1789" s="101"/>
      <c r="I1789" s="101"/>
      <c r="J1789" s="101"/>
      <c r="K1789" s="101"/>
      <c r="L1789" s="101"/>
      <c r="M1789" s="101"/>
      <c r="N1789" s="101"/>
      <c r="O1789" s="101"/>
      <c r="P1789" s="101"/>
      <c r="Q1789" s="101"/>
      <c r="R1789" s="101"/>
      <c r="S1789" s="110"/>
      <c r="T1789" s="102"/>
      <c r="U1789" s="101"/>
      <c r="V1789" s="103"/>
      <c r="W1789" s="101"/>
    </row>
    <row r="1790" spans="1:23" x14ac:dyDescent="0.25">
      <c r="A1790" s="98"/>
      <c r="H1790" s="101"/>
      <c r="I1790" s="101"/>
      <c r="J1790" s="101"/>
      <c r="K1790" s="101"/>
      <c r="L1790" s="101"/>
      <c r="M1790" s="101"/>
      <c r="N1790" s="101"/>
      <c r="O1790" s="101"/>
      <c r="P1790" s="101"/>
      <c r="Q1790" s="101"/>
      <c r="R1790" s="101"/>
      <c r="S1790" s="110"/>
      <c r="T1790" s="102"/>
      <c r="U1790" s="101"/>
      <c r="V1790" s="103"/>
      <c r="W1790" s="101"/>
    </row>
    <row r="1791" spans="1:23" x14ac:dyDescent="0.25">
      <c r="A1791" s="98"/>
      <c r="H1791" s="101"/>
      <c r="I1791" s="101"/>
      <c r="J1791" s="101"/>
      <c r="K1791" s="101"/>
      <c r="L1791" s="101"/>
      <c r="M1791" s="101"/>
      <c r="N1791" s="101"/>
      <c r="O1791" s="101"/>
      <c r="P1791" s="101"/>
      <c r="Q1791" s="101"/>
      <c r="R1791" s="101"/>
      <c r="S1791" s="110"/>
      <c r="T1791" s="102"/>
      <c r="U1791" s="101"/>
      <c r="V1791" s="103"/>
      <c r="W1791" s="101"/>
    </row>
    <row r="1792" spans="1:23" x14ac:dyDescent="0.25">
      <c r="A1792" s="98"/>
      <c r="H1792" s="101"/>
      <c r="I1792" s="101"/>
      <c r="J1792" s="101"/>
      <c r="K1792" s="101"/>
      <c r="L1792" s="101"/>
      <c r="M1792" s="101"/>
      <c r="N1792" s="101"/>
      <c r="O1792" s="101"/>
      <c r="P1792" s="101"/>
      <c r="Q1792" s="101"/>
      <c r="R1792" s="101"/>
      <c r="S1792" s="110"/>
      <c r="T1792" s="102"/>
      <c r="U1792" s="101"/>
      <c r="V1792" s="103"/>
      <c r="W1792" s="101"/>
    </row>
    <row r="1793" spans="1:23" x14ac:dyDescent="0.25">
      <c r="A1793" s="98"/>
      <c r="H1793" s="101"/>
      <c r="I1793" s="101"/>
      <c r="J1793" s="101"/>
      <c r="K1793" s="101"/>
      <c r="L1793" s="101"/>
      <c r="M1793" s="101"/>
      <c r="N1793" s="101"/>
      <c r="O1793" s="101"/>
      <c r="P1793" s="101"/>
      <c r="Q1793" s="101"/>
      <c r="R1793" s="101"/>
      <c r="S1793" s="110"/>
      <c r="T1793" s="102"/>
      <c r="U1793" s="101"/>
      <c r="V1793" s="103"/>
      <c r="W1793" s="101"/>
    </row>
    <row r="1794" spans="1:23" x14ac:dyDescent="0.25">
      <c r="A1794" s="98"/>
      <c r="H1794" s="101"/>
      <c r="I1794" s="101"/>
      <c r="J1794" s="101"/>
      <c r="K1794" s="101"/>
      <c r="L1794" s="101"/>
      <c r="M1794" s="101"/>
      <c r="N1794" s="101"/>
      <c r="O1794" s="101"/>
      <c r="P1794" s="101"/>
      <c r="Q1794" s="101"/>
      <c r="R1794" s="101"/>
      <c r="S1794" s="110"/>
      <c r="T1794" s="102"/>
      <c r="U1794" s="101"/>
      <c r="V1794" s="103"/>
      <c r="W1794" s="101"/>
    </row>
    <row r="1795" spans="1:23" x14ac:dyDescent="0.25">
      <c r="A1795" s="98"/>
      <c r="H1795" s="101"/>
      <c r="I1795" s="101"/>
      <c r="J1795" s="101"/>
      <c r="K1795" s="101"/>
      <c r="L1795" s="101"/>
      <c r="M1795" s="101"/>
      <c r="N1795" s="101"/>
      <c r="O1795" s="101"/>
      <c r="P1795" s="101"/>
      <c r="Q1795" s="101"/>
      <c r="R1795" s="101"/>
      <c r="S1795" s="110"/>
      <c r="T1795" s="102"/>
      <c r="U1795" s="101"/>
      <c r="V1795" s="103"/>
      <c r="W1795" s="101"/>
    </row>
    <row r="1796" spans="1:23" x14ac:dyDescent="0.25">
      <c r="A1796" s="98"/>
      <c r="H1796" s="101"/>
      <c r="I1796" s="101"/>
      <c r="J1796" s="101"/>
      <c r="K1796" s="101"/>
      <c r="L1796" s="101"/>
      <c r="M1796" s="101"/>
      <c r="N1796" s="101"/>
      <c r="O1796" s="101"/>
      <c r="P1796" s="101"/>
      <c r="Q1796" s="101"/>
      <c r="R1796" s="101"/>
      <c r="S1796" s="110"/>
      <c r="T1796" s="102"/>
      <c r="U1796" s="101"/>
      <c r="V1796" s="103"/>
      <c r="W1796" s="101"/>
    </row>
    <row r="1797" spans="1:23" x14ac:dyDescent="0.25">
      <c r="A1797" s="98"/>
      <c r="H1797" s="101"/>
      <c r="I1797" s="101"/>
      <c r="J1797" s="101"/>
      <c r="K1797" s="101"/>
      <c r="L1797" s="101"/>
      <c r="M1797" s="101"/>
      <c r="N1797" s="101"/>
      <c r="O1797" s="101"/>
      <c r="P1797" s="101"/>
      <c r="Q1797" s="101"/>
      <c r="R1797" s="101"/>
      <c r="S1797" s="110"/>
      <c r="T1797" s="102"/>
      <c r="U1797" s="101"/>
      <c r="V1797" s="103"/>
      <c r="W1797" s="101"/>
    </row>
    <row r="1798" spans="1:23" x14ac:dyDescent="0.25">
      <c r="A1798" s="98"/>
      <c r="H1798" s="101"/>
      <c r="I1798" s="101"/>
      <c r="J1798" s="101"/>
      <c r="K1798" s="101"/>
      <c r="L1798" s="101"/>
      <c r="M1798" s="101"/>
      <c r="N1798" s="101"/>
      <c r="O1798" s="101"/>
      <c r="P1798" s="101"/>
      <c r="Q1798" s="101"/>
      <c r="R1798" s="101"/>
      <c r="S1798" s="110"/>
      <c r="T1798" s="102"/>
      <c r="U1798" s="101"/>
      <c r="V1798" s="103"/>
      <c r="W1798" s="101"/>
    </row>
    <row r="1799" spans="1:23" x14ac:dyDescent="0.25">
      <c r="A1799" s="98"/>
      <c r="H1799" s="101"/>
      <c r="I1799" s="101"/>
      <c r="J1799" s="101"/>
      <c r="K1799" s="101"/>
      <c r="L1799" s="101"/>
      <c r="M1799" s="101"/>
      <c r="N1799" s="101"/>
      <c r="O1799" s="101"/>
      <c r="P1799" s="101"/>
      <c r="Q1799" s="101"/>
      <c r="R1799" s="101"/>
      <c r="S1799" s="110"/>
      <c r="T1799" s="102"/>
      <c r="U1799" s="101"/>
      <c r="V1799" s="103"/>
      <c r="W1799" s="101"/>
    </row>
    <row r="1800" spans="1:23" x14ac:dyDescent="0.25">
      <c r="A1800" s="98"/>
      <c r="H1800" s="101"/>
      <c r="I1800" s="101"/>
      <c r="J1800" s="101"/>
      <c r="K1800" s="101"/>
      <c r="L1800" s="101"/>
      <c r="M1800" s="101"/>
      <c r="N1800" s="101"/>
      <c r="O1800" s="101"/>
      <c r="P1800" s="101"/>
      <c r="Q1800" s="101"/>
      <c r="R1800" s="101"/>
      <c r="S1800" s="110"/>
      <c r="T1800" s="102"/>
      <c r="U1800" s="101"/>
      <c r="V1800" s="103"/>
      <c r="W1800" s="101"/>
    </row>
    <row r="1801" spans="1:23" x14ac:dyDescent="0.25">
      <c r="A1801" s="98"/>
      <c r="H1801" s="101"/>
      <c r="I1801" s="101"/>
      <c r="J1801" s="101"/>
      <c r="K1801" s="101"/>
      <c r="L1801" s="101"/>
      <c r="M1801" s="101"/>
      <c r="N1801" s="101"/>
      <c r="O1801" s="101"/>
      <c r="P1801" s="101"/>
      <c r="Q1801" s="101"/>
      <c r="R1801" s="101"/>
      <c r="S1801" s="110"/>
      <c r="T1801" s="102"/>
      <c r="U1801" s="101"/>
      <c r="V1801" s="103"/>
      <c r="W1801" s="101"/>
    </row>
    <row r="1802" spans="1:23" x14ac:dyDescent="0.25">
      <c r="A1802" s="98"/>
      <c r="H1802" s="101"/>
      <c r="I1802" s="101"/>
      <c r="J1802" s="101"/>
      <c r="K1802" s="101"/>
      <c r="L1802" s="101"/>
      <c r="M1802" s="101"/>
      <c r="N1802" s="101"/>
      <c r="O1802" s="101"/>
      <c r="P1802" s="101"/>
      <c r="Q1802" s="101"/>
      <c r="R1802" s="101"/>
      <c r="S1802" s="110"/>
      <c r="T1802" s="102"/>
      <c r="U1802" s="101"/>
      <c r="V1802" s="103"/>
      <c r="W1802" s="101"/>
    </row>
    <row r="1803" spans="1:23" x14ac:dyDescent="0.25">
      <c r="A1803" s="98"/>
      <c r="H1803" s="101"/>
      <c r="I1803" s="101"/>
      <c r="J1803" s="101"/>
      <c r="K1803" s="101"/>
      <c r="L1803" s="101"/>
      <c r="M1803" s="101"/>
      <c r="N1803" s="101"/>
      <c r="O1803" s="101"/>
      <c r="P1803" s="101"/>
      <c r="Q1803" s="101"/>
      <c r="R1803" s="101"/>
      <c r="S1803" s="110"/>
      <c r="T1803" s="102"/>
      <c r="U1803" s="101"/>
      <c r="V1803" s="103"/>
      <c r="W1803" s="101"/>
    </row>
    <row r="1804" spans="1:23" x14ac:dyDescent="0.25">
      <c r="A1804" s="98"/>
      <c r="H1804" s="101"/>
      <c r="I1804" s="101"/>
      <c r="J1804" s="101"/>
      <c r="K1804" s="101"/>
      <c r="L1804" s="101"/>
      <c r="M1804" s="101"/>
      <c r="N1804" s="101"/>
      <c r="O1804" s="101"/>
      <c r="P1804" s="101"/>
      <c r="Q1804" s="101"/>
      <c r="R1804" s="101"/>
      <c r="S1804" s="110"/>
      <c r="T1804" s="102"/>
      <c r="U1804" s="101"/>
      <c r="V1804" s="103"/>
      <c r="W1804" s="101"/>
    </row>
    <row r="1805" spans="1:23" x14ac:dyDescent="0.25">
      <c r="A1805" s="98"/>
      <c r="H1805" s="101"/>
      <c r="I1805" s="101"/>
      <c r="J1805" s="101"/>
      <c r="K1805" s="101"/>
      <c r="L1805" s="101"/>
      <c r="M1805" s="101"/>
      <c r="N1805" s="101"/>
      <c r="O1805" s="101"/>
      <c r="P1805" s="101"/>
      <c r="Q1805" s="101"/>
      <c r="R1805" s="101"/>
      <c r="S1805" s="110"/>
      <c r="T1805" s="102"/>
      <c r="U1805" s="101"/>
      <c r="V1805" s="103"/>
      <c r="W1805" s="101"/>
    </row>
    <row r="1806" spans="1:23" x14ac:dyDescent="0.25">
      <c r="A1806" s="98"/>
      <c r="H1806" s="101"/>
      <c r="I1806" s="101"/>
      <c r="J1806" s="101"/>
      <c r="K1806" s="101"/>
      <c r="L1806" s="101"/>
      <c r="M1806" s="101"/>
      <c r="N1806" s="101"/>
      <c r="O1806" s="101"/>
      <c r="P1806" s="101"/>
      <c r="Q1806" s="101"/>
      <c r="R1806" s="101"/>
      <c r="S1806" s="110"/>
      <c r="T1806" s="102"/>
      <c r="U1806" s="101"/>
      <c r="V1806" s="103"/>
      <c r="W1806" s="101"/>
    </row>
    <row r="1807" spans="1:23" x14ac:dyDescent="0.25">
      <c r="A1807" s="98"/>
      <c r="H1807" s="101"/>
      <c r="I1807" s="101"/>
      <c r="J1807" s="101"/>
      <c r="K1807" s="101"/>
      <c r="L1807" s="101"/>
      <c r="M1807" s="101"/>
      <c r="N1807" s="101"/>
      <c r="O1807" s="101"/>
      <c r="P1807" s="101"/>
      <c r="Q1807" s="101"/>
      <c r="R1807" s="101"/>
      <c r="S1807" s="110"/>
      <c r="T1807" s="102"/>
      <c r="U1807" s="101"/>
      <c r="V1807" s="103"/>
      <c r="W1807" s="101"/>
    </row>
    <row r="1808" spans="1:23" x14ac:dyDescent="0.25">
      <c r="A1808" s="98"/>
      <c r="H1808" s="101"/>
      <c r="I1808" s="101"/>
      <c r="J1808" s="101"/>
      <c r="K1808" s="101"/>
      <c r="L1808" s="101"/>
      <c r="M1808" s="101"/>
      <c r="N1808" s="101"/>
      <c r="O1808" s="101"/>
      <c r="P1808" s="101"/>
      <c r="Q1808" s="101"/>
      <c r="R1808" s="101"/>
      <c r="S1808" s="110"/>
      <c r="T1808" s="102"/>
      <c r="U1808" s="101"/>
      <c r="V1808" s="103"/>
      <c r="W1808" s="101"/>
    </row>
    <row r="1809" spans="1:23" x14ac:dyDescent="0.25">
      <c r="A1809" s="98"/>
      <c r="H1809" s="101"/>
      <c r="I1809" s="101"/>
      <c r="J1809" s="101"/>
      <c r="K1809" s="101"/>
      <c r="L1809" s="101"/>
      <c r="M1809" s="101"/>
      <c r="N1809" s="101"/>
      <c r="O1809" s="101"/>
      <c r="P1809" s="101"/>
      <c r="Q1809" s="101"/>
      <c r="R1809" s="101"/>
      <c r="S1809" s="110"/>
      <c r="T1809" s="102"/>
      <c r="U1809" s="101"/>
      <c r="V1809" s="103"/>
      <c r="W1809" s="101"/>
    </row>
    <row r="1810" spans="1:23" x14ac:dyDescent="0.25">
      <c r="A1810" s="98"/>
      <c r="H1810" s="101"/>
      <c r="I1810" s="101"/>
      <c r="J1810" s="101"/>
      <c r="K1810" s="101"/>
      <c r="L1810" s="101"/>
      <c r="M1810" s="101"/>
      <c r="N1810" s="101"/>
      <c r="O1810" s="101"/>
      <c r="P1810" s="101"/>
      <c r="Q1810" s="101"/>
      <c r="R1810" s="101"/>
      <c r="S1810" s="110"/>
      <c r="T1810" s="102"/>
      <c r="U1810" s="101"/>
      <c r="V1810" s="103"/>
      <c r="W1810" s="101"/>
    </row>
    <row r="1811" spans="1:23" x14ac:dyDescent="0.25">
      <c r="A1811" s="98"/>
      <c r="H1811" s="101"/>
      <c r="I1811" s="101"/>
      <c r="J1811" s="101"/>
      <c r="K1811" s="101"/>
      <c r="L1811" s="101"/>
      <c r="M1811" s="101"/>
      <c r="N1811" s="101"/>
      <c r="O1811" s="101"/>
      <c r="P1811" s="101"/>
      <c r="Q1811" s="101"/>
      <c r="R1811" s="101"/>
      <c r="S1811" s="110"/>
      <c r="T1811" s="102"/>
      <c r="U1811" s="101"/>
      <c r="V1811" s="103"/>
      <c r="W1811" s="101"/>
    </row>
    <row r="1812" spans="1:23" x14ac:dyDescent="0.25">
      <c r="A1812" s="98"/>
      <c r="H1812" s="101"/>
      <c r="I1812" s="101"/>
      <c r="J1812" s="101"/>
      <c r="K1812" s="101"/>
      <c r="L1812" s="101"/>
      <c r="M1812" s="101"/>
      <c r="N1812" s="101"/>
      <c r="O1812" s="101"/>
      <c r="P1812" s="101"/>
      <c r="Q1812" s="101"/>
      <c r="R1812" s="101"/>
      <c r="S1812" s="110"/>
      <c r="T1812" s="102"/>
      <c r="U1812" s="101"/>
      <c r="V1812" s="103"/>
      <c r="W1812" s="101"/>
    </row>
    <row r="1813" spans="1:23" x14ac:dyDescent="0.25">
      <c r="A1813" s="98"/>
      <c r="H1813" s="101"/>
      <c r="I1813" s="101"/>
      <c r="J1813" s="101"/>
      <c r="K1813" s="101"/>
      <c r="L1813" s="101"/>
      <c r="M1813" s="101"/>
      <c r="N1813" s="101"/>
      <c r="O1813" s="101"/>
      <c r="P1813" s="101"/>
      <c r="Q1813" s="101"/>
      <c r="R1813" s="101"/>
      <c r="S1813" s="110"/>
      <c r="T1813" s="102"/>
      <c r="U1813" s="101"/>
      <c r="V1813" s="103"/>
      <c r="W1813" s="101"/>
    </row>
    <row r="1814" spans="1:23" x14ac:dyDescent="0.25">
      <c r="A1814" s="98"/>
      <c r="H1814" s="101"/>
      <c r="I1814" s="101"/>
      <c r="J1814" s="101"/>
      <c r="K1814" s="101"/>
      <c r="L1814" s="101"/>
      <c r="M1814" s="101"/>
      <c r="N1814" s="101"/>
      <c r="O1814" s="101"/>
      <c r="P1814" s="101"/>
      <c r="Q1814" s="101"/>
      <c r="R1814" s="101"/>
      <c r="S1814" s="110"/>
      <c r="T1814" s="102"/>
      <c r="U1814" s="101"/>
      <c r="V1814" s="103"/>
      <c r="W1814" s="101"/>
    </row>
    <row r="1815" spans="1:23" x14ac:dyDescent="0.25">
      <c r="A1815" s="98"/>
      <c r="H1815" s="101"/>
      <c r="I1815" s="101"/>
      <c r="J1815" s="101"/>
      <c r="K1815" s="101"/>
      <c r="L1815" s="101"/>
      <c r="M1815" s="101"/>
      <c r="N1815" s="101"/>
      <c r="O1815" s="101"/>
      <c r="P1815" s="101"/>
      <c r="Q1815" s="101"/>
      <c r="R1815" s="101"/>
      <c r="S1815" s="110"/>
      <c r="T1815" s="102"/>
      <c r="U1815" s="101"/>
      <c r="V1815" s="103"/>
      <c r="W1815" s="101"/>
    </row>
    <row r="1816" spans="1:23" x14ac:dyDescent="0.25">
      <c r="A1816" s="98"/>
      <c r="H1816" s="101"/>
      <c r="I1816" s="101"/>
      <c r="J1816" s="101"/>
      <c r="K1816" s="101"/>
      <c r="L1816" s="101"/>
      <c r="M1816" s="101"/>
      <c r="N1816" s="101"/>
      <c r="O1816" s="101"/>
      <c r="P1816" s="101"/>
      <c r="Q1816" s="101"/>
      <c r="R1816" s="101"/>
      <c r="S1816" s="110"/>
      <c r="T1816" s="102"/>
      <c r="U1816" s="101"/>
      <c r="V1816" s="103"/>
      <c r="W1816" s="101"/>
    </row>
    <row r="1817" spans="1:23" x14ac:dyDescent="0.25">
      <c r="A1817" s="98"/>
      <c r="H1817" s="101"/>
      <c r="I1817" s="101"/>
      <c r="J1817" s="101"/>
      <c r="K1817" s="101"/>
      <c r="L1817" s="101"/>
      <c r="M1817" s="101"/>
      <c r="N1817" s="101"/>
      <c r="O1817" s="101"/>
      <c r="P1817" s="101"/>
      <c r="Q1817" s="101"/>
      <c r="R1817" s="101"/>
      <c r="S1817" s="110"/>
      <c r="T1817" s="102"/>
      <c r="U1817" s="101"/>
      <c r="V1817" s="103"/>
      <c r="W1817" s="101"/>
    </row>
    <row r="1818" spans="1:23" x14ac:dyDescent="0.25">
      <c r="A1818" s="98"/>
      <c r="H1818" s="101"/>
      <c r="I1818" s="101"/>
      <c r="J1818" s="101"/>
      <c r="K1818" s="101"/>
      <c r="L1818" s="101"/>
      <c r="M1818" s="101"/>
      <c r="N1818" s="101"/>
      <c r="O1818" s="101"/>
      <c r="P1818" s="101"/>
      <c r="Q1818" s="101"/>
      <c r="R1818" s="101"/>
      <c r="S1818" s="110"/>
      <c r="T1818" s="102"/>
      <c r="U1818" s="101"/>
      <c r="V1818" s="103"/>
      <c r="W1818" s="101"/>
    </row>
    <row r="1819" spans="1:23" x14ac:dyDescent="0.25">
      <c r="A1819" s="98"/>
      <c r="H1819" s="101"/>
      <c r="I1819" s="101"/>
      <c r="J1819" s="101"/>
      <c r="K1819" s="101"/>
      <c r="L1819" s="101"/>
      <c r="M1819" s="101"/>
      <c r="N1819" s="101"/>
      <c r="O1819" s="101"/>
      <c r="P1819" s="101"/>
      <c r="Q1819" s="101"/>
      <c r="R1819" s="101"/>
      <c r="S1819" s="110"/>
      <c r="T1819" s="102"/>
      <c r="U1819" s="101"/>
      <c r="V1819" s="103"/>
      <c r="W1819" s="101"/>
    </row>
    <row r="1820" spans="1:23" x14ac:dyDescent="0.25">
      <c r="A1820" s="98"/>
      <c r="H1820" s="101"/>
      <c r="I1820" s="101"/>
      <c r="J1820" s="101"/>
      <c r="K1820" s="101"/>
      <c r="L1820" s="101"/>
      <c r="M1820" s="101"/>
      <c r="N1820" s="101"/>
      <c r="O1820" s="101"/>
      <c r="P1820" s="101"/>
      <c r="Q1820" s="101"/>
      <c r="R1820" s="101"/>
      <c r="S1820" s="110"/>
      <c r="T1820" s="102"/>
      <c r="U1820" s="101"/>
      <c r="V1820" s="103"/>
      <c r="W1820" s="101"/>
    </row>
    <row r="1821" spans="1:23" x14ac:dyDescent="0.25">
      <c r="A1821" s="98"/>
      <c r="H1821" s="101"/>
      <c r="I1821" s="101"/>
      <c r="J1821" s="101"/>
      <c r="K1821" s="101"/>
      <c r="L1821" s="101"/>
      <c r="M1821" s="101"/>
      <c r="N1821" s="101"/>
      <c r="O1821" s="101"/>
      <c r="P1821" s="101"/>
      <c r="Q1821" s="101"/>
      <c r="R1821" s="101"/>
      <c r="S1821" s="110"/>
      <c r="T1821" s="102"/>
      <c r="U1821" s="101"/>
      <c r="V1821" s="103"/>
      <c r="W1821" s="101"/>
    </row>
    <row r="1822" spans="1:23" x14ac:dyDescent="0.25">
      <c r="A1822" s="98"/>
      <c r="H1822" s="101"/>
      <c r="I1822" s="101"/>
      <c r="J1822" s="101"/>
      <c r="K1822" s="101"/>
      <c r="L1822" s="101"/>
      <c r="M1822" s="101"/>
      <c r="N1822" s="101"/>
      <c r="O1822" s="101"/>
      <c r="P1822" s="101"/>
      <c r="Q1822" s="101"/>
      <c r="R1822" s="101"/>
      <c r="S1822" s="110"/>
      <c r="T1822" s="102"/>
      <c r="U1822" s="101"/>
      <c r="V1822" s="103"/>
      <c r="W1822" s="101"/>
    </row>
    <row r="1823" spans="1:23" x14ac:dyDescent="0.25">
      <c r="A1823" s="98"/>
      <c r="H1823" s="101"/>
      <c r="I1823" s="101"/>
      <c r="J1823" s="101"/>
      <c r="K1823" s="101"/>
      <c r="L1823" s="101"/>
      <c r="M1823" s="101"/>
      <c r="N1823" s="101"/>
      <c r="O1823" s="101"/>
      <c r="P1823" s="101"/>
      <c r="Q1823" s="101"/>
      <c r="R1823" s="101"/>
      <c r="S1823" s="110"/>
      <c r="T1823" s="102"/>
      <c r="U1823" s="101"/>
      <c r="V1823" s="103"/>
      <c r="W1823" s="101"/>
    </row>
    <row r="1824" spans="1:23" x14ac:dyDescent="0.25">
      <c r="A1824" s="98"/>
      <c r="H1824" s="101"/>
      <c r="I1824" s="101"/>
      <c r="J1824" s="101"/>
      <c r="K1824" s="101"/>
      <c r="L1824" s="101"/>
      <c r="M1824" s="101"/>
      <c r="N1824" s="101"/>
      <c r="O1824" s="101"/>
      <c r="P1824" s="101"/>
      <c r="Q1824" s="101"/>
      <c r="R1824" s="101"/>
      <c r="S1824" s="110"/>
      <c r="T1824" s="102"/>
      <c r="U1824" s="101"/>
      <c r="V1824" s="103"/>
      <c r="W1824" s="101"/>
    </row>
    <row r="1825" spans="1:23" x14ac:dyDescent="0.25">
      <c r="A1825" s="98"/>
      <c r="H1825" s="101"/>
      <c r="I1825" s="101"/>
      <c r="J1825" s="101"/>
      <c r="K1825" s="101"/>
      <c r="L1825" s="101"/>
      <c r="M1825" s="101"/>
      <c r="N1825" s="101"/>
      <c r="O1825" s="101"/>
      <c r="P1825" s="101"/>
      <c r="Q1825" s="101"/>
      <c r="R1825" s="101"/>
      <c r="S1825" s="110"/>
      <c r="T1825" s="102"/>
      <c r="U1825" s="101"/>
      <c r="V1825" s="103"/>
      <c r="W1825" s="101"/>
    </row>
    <row r="1826" spans="1:23" x14ac:dyDescent="0.25">
      <c r="A1826" s="98"/>
      <c r="H1826" s="101"/>
      <c r="I1826" s="101"/>
      <c r="J1826" s="101"/>
      <c r="K1826" s="101"/>
      <c r="L1826" s="101"/>
      <c r="M1826" s="101"/>
      <c r="N1826" s="101"/>
      <c r="O1826" s="101"/>
      <c r="P1826" s="101"/>
      <c r="Q1826" s="101"/>
      <c r="R1826" s="101"/>
      <c r="S1826" s="110"/>
      <c r="T1826" s="102"/>
      <c r="U1826" s="101"/>
      <c r="V1826" s="103"/>
      <c r="W1826" s="101"/>
    </row>
    <row r="1827" spans="1:23" x14ac:dyDescent="0.25">
      <c r="A1827" s="98"/>
      <c r="H1827" s="101"/>
      <c r="I1827" s="101"/>
      <c r="J1827" s="101"/>
      <c r="K1827" s="101"/>
      <c r="L1827" s="101"/>
      <c r="M1827" s="101"/>
      <c r="N1827" s="101"/>
      <c r="O1827" s="101"/>
      <c r="P1827" s="101"/>
      <c r="Q1827" s="101"/>
      <c r="R1827" s="101"/>
      <c r="S1827" s="110"/>
      <c r="T1827" s="102"/>
      <c r="U1827" s="101"/>
      <c r="V1827" s="103"/>
      <c r="W1827" s="101"/>
    </row>
    <row r="1828" spans="1:23" x14ac:dyDescent="0.25">
      <c r="A1828" s="98"/>
      <c r="H1828" s="101"/>
      <c r="I1828" s="101"/>
      <c r="J1828" s="101"/>
      <c r="K1828" s="101"/>
      <c r="L1828" s="101"/>
      <c r="M1828" s="101"/>
      <c r="N1828" s="101"/>
      <c r="O1828" s="101"/>
      <c r="P1828" s="101"/>
      <c r="Q1828" s="101"/>
      <c r="R1828" s="101"/>
      <c r="S1828" s="110"/>
      <c r="T1828" s="102"/>
      <c r="U1828" s="101"/>
      <c r="V1828" s="103"/>
      <c r="W1828" s="101"/>
    </row>
    <row r="1829" spans="1:23" x14ac:dyDescent="0.25">
      <c r="A1829" s="98"/>
      <c r="H1829" s="101"/>
      <c r="I1829" s="101"/>
      <c r="J1829" s="101"/>
      <c r="K1829" s="101"/>
      <c r="L1829" s="101"/>
      <c r="M1829" s="101"/>
      <c r="N1829" s="101"/>
      <c r="O1829" s="101"/>
      <c r="P1829" s="101"/>
      <c r="Q1829" s="101"/>
      <c r="R1829" s="101"/>
      <c r="S1829" s="110"/>
      <c r="T1829" s="102"/>
      <c r="U1829" s="101"/>
      <c r="V1829" s="103"/>
      <c r="W1829" s="101"/>
    </row>
    <row r="1830" spans="1:23" x14ac:dyDescent="0.25">
      <c r="A1830" s="98"/>
      <c r="H1830" s="101"/>
      <c r="I1830" s="101"/>
      <c r="J1830" s="101"/>
      <c r="K1830" s="101"/>
      <c r="L1830" s="101"/>
      <c r="M1830" s="101"/>
      <c r="N1830" s="101"/>
      <c r="O1830" s="101"/>
      <c r="P1830" s="101"/>
      <c r="Q1830" s="101"/>
      <c r="R1830" s="101"/>
      <c r="S1830" s="110"/>
      <c r="T1830" s="102"/>
      <c r="U1830" s="101"/>
      <c r="V1830" s="103"/>
      <c r="W1830" s="101"/>
    </row>
    <row r="1831" spans="1:23" x14ac:dyDescent="0.25">
      <c r="A1831" s="98"/>
      <c r="H1831" s="101"/>
      <c r="I1831" s="101"/>
      <c r="J1831" s="101"/>
      <c r="K1831" s="101"/>
      <c r="L1831" s="101"/>
      <c r="M1831" s="101"/>
      <c r="N1831" s="101"/>
      <c r="O1831" s="101"/>
      <c r="P1831" s="101"/>
      <c r="Q1831" s="101"/>
      <c r="R1831" s="101"/>
      <c r="S1831" s="110"/>
      <c r="T1831" s="102"/>
      <c r="U1831" s="101"/>
      <c r="V1831" s="103"/>
      <c r="W1831" s="101"/>
    </row>
    <row r="1832" spans="1:23" x14ac:dyDescent="0.25">
      <c r="A1832" s="98"/>
      <c r="H1832" s="101"/>
      <c r="I1832" s="101"/>
      <c r="J1832" s="101"/>
      <c r="K1832" s="101"/>
      <c r="L1832" s="101"/>
      <c r="M1832" s="101"/>
      <c r="N1832" s="101"/>
      <c r="O1832" s="101"/>
      <c r="P1832" s="101"/>
      <c r="Q1832" s="101"/>
      <c r="R1832" s="101"/>
      <c r="S1832" s="110"/>
      <c r="T1832" s="102"/>
      <c r="U1832" s="101"/>
      <c r="V1832" s="103"/>
      <c r="W1832" s="101"/>
    </row>
    <row r="1833" spans="1:23" x14ac:dyDescent="0.25">
      <c r="A1833" s="98"/>
      <c r="H1833" s="101"/>
      <c r="I1833" s="101"/>
      <c r="J1833" s="101"/>
      <c r="K1833" s="101"/>
      <c r="L1833" s="101"/>
      <c r="M1833" s="101"/>
      <c r="N1833" s="101"/>
      <c r="O1833" s="101"/>
      <c r="P1833" s="101"/>
      <c r="Q1833" s="101"/>
      <c r="R1833" s="101"/>
      <c r="S1833" s="110"/>
      <c r="T1833" s="102"/>
      <c r="U1833" s="101"/>
      <c r="V1833" s="103"/>
      <c r="W1833" s="101"/>
    </row>
    <row r="1834" spans="1:23" x14ac:dyDescent="0.25">
      <c r="A1834" s="98"/>
      <c r="H1834" s="101"/>
      <c r="I1834" s="101"/>
      <c r="J1834" s="101"/>
      <c r="K1834" s="101"/>
      <c r="L1834" s="101"/>
      <c r="M1834" s="101"/>
      <c r="N1834" s="101"/>
      <c r="O1834" s="101"/>
      <c r="P1834" s="101"/>
      <c r="Q1834" s="101"/>
      <c r="R1834" s="101"/>
      <c r="S1834" s="110"/>
      <c r="T1834" s="102"/>
      <c r="U1834" s="101"/>
      <c r="V1834" s="103"/>
      <c r="W1834" s="101"/>
    </row>
    <row r="1835" spans="1:23" x14ac:dyDescent="0.25">
      <c r="A1835" s="98"/>
      <c r="H1835" s="101"/>
      <c r="I1835" s="101"/>
      <c r="J1835" s="101"/>
      <c r="K1835" s="101"/>
      <c r="L1835" s="101"/>
      <c r="M1835" s="101"/>
      <c r="N1835" s="101"/>
      <c r="O1835" s="101"/>
      <c r="P1835" s="101"/>
      <c r="Q1835" s="101"/>
      <c r="R1835" s="101"/>
      <c r="S1835" s="110"/>
      <c r="T1835" s="102"/>
      <c r="U1835" s="101"/>
      <c r="V1835" s="103"/>
      <c r="W1835" s="101"/>
    </row>
    <row r="1836" spans="1:23" x14ac:dyDescent="0.25">
      <c r="A1836" s="98"/>
      <c r="H1836" s="101"/>
      <c r="I1836" s="101"/>
      <c r="J1836" s="101"/>
      <c r="K1836" s="101"/>
      <c r="L1836" s="101"/>
      <c r="M1836" s="101"/>
      <c r="N1836" s="101"/>
      <c r="O1836" s="101"/>
      <c r="P1836" s="101"/>
      <c r="Q1836" s="101"/>
      <c r="R1836" s="101"/>
      <c r="S1836" s="110"/>
      <c r="T1836" s="102"/>
      <c r="U1836" s="101"/>
      <c r="V1836" s="103"/>
      <c r="W1836" s="101"/>
    </row>
    <row r="1837" spans="1:23" x14ac:dyDescent="0.25">
      <c r="A1837" s="98"/>
      <c r="H1837" s="101"/>
      <c r="I1837" s="101"/>
      <c r="J1837" s="101"/>
      <c r="K1837" s="101"/>
      <c r="L1837" s="101"/>
      <c r="M1837" s="101"/>
      <c r="N1837" s="101"/>
      <c r="O1837" s="101"/>
      <c r="P1837" s="101"/>
      <c r="Q1837" s="101"/>
      <c r="R1837" s="101"/>
      <c r="S1837" s="110"/>
      <c r="T1837" s="102"/>
      <c r="U1837" s="101"/>
      <c r="V1837" s="103"/>
      <c r="W1837" s="101"/>
    </row>
    <row r="1838" spans="1:23" x14ac:dyDescent="0.25">
      <c r="A1838" s="98"/>
      <c r="H1838" s="101"/>
      <c r="I1838" s="101"/>
      <c r="J1838" s="101"/>
      <c r="K1838" s="101"/>
      <c r="L1838" s="101"/>
      <c r="M1838" s="101"/>
      <c r="N1838" s="101"/>
      <c r="O1838" s="101"/>
      <c r="P1838" s="101"/>
      <c r="Q1838" s="101"/>
      <c r="R1838" s="101"/>
      <c r="S1838" s="110"/>
      <c r="T1838" s="102"/>
      <c r="U1838" s="101"/>
      <c r="V1838" s="103"/>
      <c r="W1838" s="101"/>
    </row>
    <row r="1839" spans="1:23" x14ac:dyDescent="0.25">
      <c r="A1839" s="98"/>
      <c r="H1839" s="101"/>
      <c r="I1839" s="101"/>
      <c r="J1839" s="101"/>
      <c r="K1839" s="101"/>
      <c r="L1839" s="101"/>
      <c r="M1839" s="101"/>
      <c r="N1839" s="101"/>
      <c r="O1839" s="101"/>
      <c r="P1839" s="101"/>
      <c r="Q1839" s="101"/>
      <c r="R1839" s="101"/>
      <c r="S1839" s="110"/>
      <c r="T1839" s="102"/>
      <c r="U1839" s="101"/>
      <c r="V1839" s="103"/>
      <c r="W1839" s="101"/>
    </row>
    <row r="1840" spans="1:23" x14ac:dyDescent="0.25">
      <c r="A1840" s="98"/>
      <c r="H1840" s="101"/>
      <c r="I1840" s="101"/>
      <c r="J1840" s="101"/>
      <c r="K1840" s="101"/>
      <c r="L1840" s="101"/>
      <c r="M1840" s="101"/>
      <c r="N1840" s="101"/>
      <c r="O1840" s="101"/>
      <c r="P1840" s="101"/>
      <c r="Q1840" s="101"/>
      <c r="R1840" s="101"/>
      <c r="S1840" s="110"/>
      <c r="T1840" s="102"/>
      <c r="U1840" s="101"/>
      <c r="V1840" s="103"/>
      <c r="W1840" s="101"/>
    </row>
    <row r="1841" spans="1:23" x14ac:dyDescent="0.25">
      <c r="A1841" s="98"/>
      <c r="H1841" s="101"/>
      <c r="I1841" s="101"/>
      <c r="J1841" s="101"/>
      <c r="K1841" s="101"/>
      <c r="L1841" s="101"/>
      <c r="M1841" s="101"/>
      <c r="N1841" s="101"/>
      <c r="O1841" s="101"/>
      <c r="P1841" s="101"/>
      <c r="Q1841" s="101"/>
      <c r="R1841" s="101"/>
      <c r="S1841" s="110"/>
      <c r="T1841" s="102"/>
      <c r="U1841" s="101"/>
      <c r="V1841" s="103"/>
      <c r="W1841" s="101"/>
    </row>
    <row r="1842" spans="1:23" x14ac:dyDescent="0.25">
      <c r="A1842" s="98"/>
      <c r="H1842" s="101"/>
      <c r="I1842" s="101"/>
      <c r="J1842" s="101"/>
      <c r="K1842" s="101"/>
      <c r="L1842" s="101"/>
      <c r="M1842" s="101"/>
      <c r="N1842" s="101"/>
      <c r="O1842" s="101"/>
      <c r="P1842" s="101"/>
      <c r="Q1842" s="101"/>
      <c r="R1842" s="101"/>
      <c r="S1842" s="110"/>
      <c r="T1842" s="102"/>
      <c r="U1842" s="101"/>
      <c r="V1842" s="103"/>
      <c r="W1842" s="101"/>
    </row>
    <row r="1843" spans="1:23" x14ac:dyDescent="0.25">
      <c r="A1843" s="98"/>
      <c r="H1843" s="101"/>
      <c r="I1843" s="101"/>
      <c r="J1843" s="101"/>
      <c r="K1843" s="101"/>
      <c r="L1843" s="101"/>
      <c r="M1843" s="101"/>
      <c r="N1843" s="101"/>
      <c r="O1843" s="101"/>
      <c r="P1843" s="101"/>
      <c r="Q1843" s="101"/>
      <c r="R1843" s="101"/>
      <c r="S1843" s="110"/>
      <c r="T1843" s="102"/>
      <c r="U1843" s="101"/>
      <c r="V1843" s="103"/>
      <c r="W1843" s="101"/>
    </row>
    <row r="1844" spans="1:23" x14ac:dyDescent="0.25">
      <c r="A1844" s="98"/>
      <c r="H1844" s="101"/>
      <c r="I1844" s="101"/>
      <c r="J1844" s="101"/>
      <c r="K1844" s="101"/>
      <c r="L1844" s="101"/>
      <c r="M1844" s="101"/>
      <c r="N1844" s="101"/>
      <c r="O1844" s="101"/>
      <c r="P1844" s="101"/>
      <c r="Q1844" s="101"/>
      <c r="R1844" s="101"/>
      <c r="S1844" s="110"/>
      <c r="T1844" s="102"/>
      <c r="U1844" s="101"/>
      <c r="V1844" s="103"/>
      <c r="W1844" s="101"/>
    </row>
    <row r="1845" spans="1:23" x14ac:dyDescent="0.25">
      <c r="A1845" s="98"/>
      <c r="H1845" s="101"/>
      <c r="I1845" s="101"/>
      <c r="J1845" s="101"/>
      <c r="K1845" s="101"/>
      <c r="L1845" s="101"/>
      <c r="M1845" s="101"/>
      <c r="N1845" s="101"/>
      <c r="O1845" s="101"/>
      <c r="P1845" s="101"/>
      <c r="Q1845" s="101"/>
      <c r="R1845" s="101"/>
      <c r="S1845" s="110"/>
      <c r="T1845" s="102"/>
      <c r="U1845" s="101"/>
      <c r="V1845" s="103"/>
      <c r="W1845" s="101"/>
    </row>
    <row r="1846" spans="1:23" x14ac:dyDescent="0.25">
      <c r="A1846" s="98"/>
      <c r="H1846" s="101"/>
      <c r="I1846" s="101"/>
      <c r="J1846" s="101"/>
      <c r="K1846" s="101"/>
      <c r="L1846" s="101"/>
      <c r="M1846" s="101"/>
      <c r="N1846" s="101"/>
      <c r="O1846" s="101"/>
      <c r="P1846" s="101"/>
      <c r="Q1846" s="101"/>
      <c r="R1846" s="101"/>
      <c r="S1846" s="110"/>
      <c r="T1846" s="102"/>
      <c r="U1846" s="101"/>
      <c r="V1846" s="103"/>
      <c r="W1846" s="101"/>
    </row>
    <row r="1847" spans="1:23" x14ac:dyDescent="0.25">
      <c r="A1847" s="98"/>
      <c r="H1847" s="101"/>
      <c r="I1847" s="101"/>
      <c r="J1847" s="101"/>
      <c r="K1847" s="101"/>
      <c r="L1847" s="101"/>
      <c r="M1847" s="101"/>
      <c r="N1847" s="101"/>
      <c r="O1847" s="101"/>
      <c r="P1847" s="101"/>
      <c r="Q1847" s="101"/>
      <c r="R1847" s="101"/>
      <c r="S1847" s="110"/>
      <c r="T1847" s="102"/>
      <c r="U1847" s="101"/>
      <c r="V1847" s="103"/>
      <c r="W1847" s="101"/>
    </row>
    <row r="1848" spans="1:23" x14ac:dyDescent="0.25">
      <c r="A1848" s="98"/>
      <c r="H1848" s="101"/>
      <c r="I1848" s="101"/>
      <c r="J1848" s="101"/>
      <c r="K1848" s="101"/>
      <c r="L1848" s="101"/>
      <c r="M1848" s="101"/>
      <c r="N1848" s="101"/>
      <c r="O1848" s="101"/>
      <c r="P1848" s="101"/>
      <c r="Q1848" s="101"/>
      <c r="R1848" s="101"/>
      <c r="S1848" s="110"/>
      <c r="T1848" s="102"/>
      <c r="U1848" s="101"/>
      <c r="V1848" s="103"/>
      <c r="W1848" s="101"/>
    </row>
    <row r="1849" spans="1:23" x14ac:dyDescent="0.25">
      <c r="A1849" s="98"/>
      <c r="H1849" s="101"/>
      <c r="I1849" s="101"/>
      <c r="J1849" s="101"/>
      <c r="K1849" s="101"/>
      <c r="L1849" s="101"/>
      <c r="M1849" s="101"/>
      <c r="N1849" s="101"/>
      <c r="O1849" s="101"/>
      <c r="P1849" s="101"/>
      <c r="Q1849" s="101"/>
      <c r="R1849" s="101"/>
      <c r="S1849" s="110"/>
      <c r="T1849" s="102"/>
      <c r="U1849" s="101"/>
      <c r="V1849" s="103"/>
      <c r="W1849" s="101"/>
    </row>
    <row r="1850" spans="1:23" x14ac:dyDescent="0.25">
      <c r="A1850" s="98"/>
      <c r="H1850" s="101"/>
      <c r="I1850" s="101"/>
      <c r="J1850" s="101"/>
      <c r="K1850" s="101"/>
      <c r="L1850" s="101"/>
      <c r="M1850" s="101"/>
      <c r="N1850" s="101"/>
      <c r="O1850" s="101"/>
      <c r="P1850" s="101"/>
      <c r="Q1850" s="101"/>
      <c r="R1850" s="101"/>
      <c r="S1850" s="110"/>
      <c r="T1850" s="102"/>
      <c r="U1850" s="101"/>
      <c r="V1850" s="103"/>
      <c r="W1850" s="101"/>
    </row>
    <row r="1851" spans="1:23" x14ac:dyDescent="0.25">
      <c r="A1851" s="98"/>
      <c r="H1851" s="101"/>
      <c r="I1851" s="101"/>
      <c r="J1851" s="101"/>
      <c r="K1851" s="101"/>
      <c r="L1851" s="101"/>
      <c r="M1851" s="101"/>
      <c r="N1851" s="101"/>
      <c r="O1851" s="101"/>
      <c r="P1851" s="101"/>
      <c r="Q1851" s="101"/>
      <c r="R1851" s="101"/>
      <c r="S1851" s="110"/>
      <c r="T1851" s="102"/>
      <c r="U1851" s="101"/>
      <c r="V1851" s="103"/>
      <c r="W1851" s="101"/>
    </row>
    <row r="1852" spans="1:23" x14ac:dyDescent="0.25">
      <c r="A1852" s="98"/>
      <c r="H1852" s="101"/>
      <c r="I1852" s="101"/>
      <c r="J1852" s="101"/>
      <c r="K1852" s="101"/>
      <c r="L1852" s="101"/>
      <c r="M1852" s="101"/>
      <c r="N1852" s="101"/>
      <c r="O1852" s="101"/>
      <c r="P1852" s="101"/>
      <c r="Q1852" s="101"/>
      <c r="R1852" s="101"/>
      <c r="S1852" s="110"/>
      <c r="T1852" s="102"/>
      <c r="U1852" s="101"/>
      <c r="V1852" s="103"/>
      <c r="W1852" s="101"/>
    </row>
    <row r="1853" spans="1:23" x14ac:dyDescent="0.25">
      <c r="A1853" s="98"/>
      <c r="H1853" s="101"/>
      <c r="I1853" s="101"/>
      <c r="J1853" s="101"/>
      <c r="K1853" s="101"/>
      <c r="L1853" s="101"/>
      <c r="M1853" s="101"/>
      <c r="N1853" s="101"/>
      <c r="O1853" s="101"/>
      <c r="P1853" s="101"/>
      <c r="Q1853" s="101"/>
      <c r="R1853" s="101"/>
      <c r="S1853" s="110"/>
      <c r="T1853" s="102"/>
      <c r="U1853" s="101"/>
      <c r="V1853" s="103"/>
      <c r="W1853" s="101"/>
    </row>
    <row r="1854" spans="1:23" x14ac:dyDescent="0.25">
      <c r="A1854" s="98"/>
      <c r="H1854" s="101"/>
      <c r="I1854" s="101"/>
      <c r="J1854" s="101"/>
      <c r="K1854" s="101"/>
      <c r="L1854" s="101"/>
      <c r="M1854" s="101"/>
      <c r="N1854" s="101"/>
      <c r="O1854" s="101"/>
      <c r="P1854" s="101"/>
      <c r="Q1854" s="101"/>
      <c r="R1854" s="101"/>
      <c r="S1854" s="110"/>
      <c r="T1854" s="102"/>
      <c r="U1854" s="101"/>
      <c r="V1854" s="103"/>
      <c r="W1854" s="101"/>
    </row>
    <row r="1855" spans="1:23" x14ac:dyDescent="0.25">
      <c r="A1855" s="98"/>
      <c r="H1855" s="101"/>
      <c r="I1855" s="101"/>
      <c r="J1855" s="101"/>
      <c r="K1855" s="101"/>
      <c r="L1855" s="101"/>
      <c r="M1855" s="101"/>
      <c r="N1855" s="101"/>
      <c r="O1855" s="101"/>
      <c r="P1855" s="101"/>
      <c r="Q1855" s="101"/>
      <c r="R1855" s="101"/>
      <c r="S1855" s="110"/>
      <c r="T1855" s="102"/>
      <c r="U1855" s="101"/>
      <c r="V1855" s="103"/>
      <c r="W1855" s="101"/>
    </row>
    <row r="1856" spans="1:23" x14ac:dyDescent="0.25">
      <c r="A1856" s="98"/>
      <c r="H1856" s="101"/>
      <c r="I1856" s="101"/>
      <c r="J1856" s="101"/>
      <c r="K1856" s="101"/>
      <c r="L1856" s="101"/>
      <c r="M1856" s="101"/>
      <c r="N1856" s="101"/>
      <c r="O1856" s="101"/>
      <c r="P1856" s="101"/>
      <c r="Q1856" s="101"/>
      <c r="R1856" s="101"/>
      <c r="S1856" s="110"/>
      <c r="T1856" s="102"/>
      <c r="U1856" s="101"/>
      <c r="V1856" s="103"/>
      <c r="W1856" s="101"/>
    </row>
    <row r="1857" spans="1:23" x14ac:dyDescent="0.25">
      <c r="A1857" s="98"/>
      <c r="H1857" s="101"/>
      <c r="I1857" s="101"/>
      <c r="J1857" s="101"/>
      <c r="K1857" s="101"/>
      <c r="L1857" s="101"/>
      <c r="M1857" s="101"/>
      <c r="N1857" s="101"/>
      <c r="O1857" s="101"/>
      <c r="P1857" s="101"/>
      <c r="Q1857" s="101"/>
      <c r="R1857" s="101"/>
      <c r="S1857" s="110"/>
      <c r="T1857" s="102"/>
      <c r="U1857" s="101"/>
      <c r="V1857" s="103"/>
      <c r="W1857" s="101"/>
    </row>
    <row r="1858" spans="1:23" x14ac:dyDescent="0.25">
      <c r="A1858" s="98"/>
      <c r="H1858" s="101"/>
      <c r="I1858" s="101"/>
      <c r="J1858" s="101"/>
      <c r="K1858" s="101"/>
      <c r="L1858" s="101"/>
      <c r="M1858" s="101"/>
      <c r="N1858" s="101"/>
      <c r="O1858" s="101"/>
      <c r="P1858" s="101"/>
      <c r="Q1858" s="101"/>
      <c r="R1858" s="101"/>
      <c r="S1858" s="110"/>
      <c r="T1858" s="102"/>
      <c r="U1858" s="101"/>
      <c r="V1858" s="103"/>
      <c r="W1858" s="101"/>
    </row>
    <row r="1859" spans="1:23" x14ac:dyDescent="0.25">
      <c r="A1859" s="98"/>
      <c r="H1859" s="101"/>
      <c r="I1859" s="101"/>
      <c r="J1859" s="101"/>
      <c r="K1859" s="101"/>
      <c r="L1859" s="101"/>
      <c r="M1859" s="101"/>
      <c r="N1859" s="101"/>
      <c r="O1859" s="101"/>
      <c r="P1859" s="101"/>
      <c r="Q1859" s="101"/>
      <c r="R1859" s="101"/>
      <c r="S1859" s="110"/>
      <c r="T1859" s="102"/>
      <c r="U1859" s="101"/>
      <c r="V1859" s="103"/>
      <c r="W1859" s="101"/>
    </row>
    <row r="1860" spans="1:23" x14ac:dyDescent="0.25">
      <c r="A1860" s="98"/>
      <c r="H1860" s="101"/>
      <c r="I1860" s="101"/>
      <c r="J1860" s="101"/>
      <c r="K1860" s="101"/>
      <c r="L1860" s="101"/>
      <c r="M1860" s="101"/>
      <c r="N1860" s="101"/>
      <c r="O1860" s="101"/>
      <c r="P1860" s="101"/>
      <c r="Q1860" s="101"/>
      <c r="R1860" s="101"/>
      <c r="S1860" s="110"/>
      <c r="T1860" s="102"/>
      <c r="U1860" s="101"/>
      <c r="V1860" s="103"/>
      <c r="W1860" s="101"/>
    </row>
    <row r="1861" spans="1:23" x14ac:dyDescent="0.25">
      <c r="A1861" s="98"/>
      <c r="H1861" s="101"/>
      <c r="I1861" s="101"/>
      <c r="J1861" s="101"/>
      <c r="K1861" s="101"/>
      <c r="L1861" s="101"/>
      <c r="M1861" s="101"/>
      <c r="N1861" s="101"/>
      <c r="O1861" s="101"/>
      <c r="P1861" s="101"/>
      <c r="Q1861" s="101"/>
      <c r="R1861" s="101"/>
      <c r="S1861" s="110"/>
      <c r="T1861" s="102"/>
      <c r="U1861" s="101"/>
      <c r="V1861" s="103"/>
      <c r="W1861" s="101"/>
    </row>
    <row r="1862" spans="1:23" x14ac:dyDescent="0.25">
      <c r="A1862" s="98"/>
      <c r="H1862" s="101"/>
      <c r="I1862" s="101"/>
      <c r="J1862" s="101"/>
      <c r="K1862" s="101"/>
      <c r="L1862" s="101"/>
      <c r="M1862" s="101"/>
      <c r="N1862" s="101"/>
      <c r="O1862" s="101"/>
      <c r="P1862" s="101"/>
      <c r="Q1862" s="101"/>
      <c r="R1862" s="101"/>
      <c r="S1862" s="110"/>
      <c r="T1862" s="102"/>
      <c r="U1862" s="101"/>
      <c r="V1862" s="103"/>
      <c r="W1862" s="101"/>
    </row>
    <row r="1863" spans="1:23" x14ac:dyDescent="0.25">
      <c r="A1863" s="98"/>
      <c r="H1863" s="101"/>
      <c r="I1863" s="101"/>
      <c r="J1863" s="101"/>
      <c r="K1863" s="101"/>
      <c r="L1863" s="101"/>
      <c r="M1863" s="101"/>
      <c r="N1863" s="101"/>
      <c r="O1863" s="101"/>
      <c r="P1863" s="101"/>
      <c r="Q1863" s="101"/>
      <c r="R1863" s="101"/>
      <c r="S1863" s="110"/>
      <c r="T1863" s="102"/>
      <c r="U1863" s="101"/>
      <c r="V1863" s="103"/>
      <c r="W1863" s="101"/>
    </row>
    <row r="1864" spans="1:23" x14ac:dyDescent="0.25">
      <c r="A1864" s="98"/>
      <c r="H1864" s="101"/>
      <c r="I1864" s="101"/>
      <c r="J1864" s="101"/>
      <c r="K1864" s="101"/>
      <c r="L1864" s="101"/>
      <c r="M1864" s="101"/>
      <c r="N1864" s="101"/>
      <c r="O1864" s="101"/>
      <c r="P1864" s="101"/>
      <c r="Q1864" s="101"/>
      <c r="R1864" s="101"/>
      <c r="S1864" s="110"/>
      <c r="T1864" s="102"/>
      <c r="U1864" s="101"/>
      <c r="V1864" s="103"/>
      <c r="W1864" s="101"/>
    </row>
    <row r="1865" spans="1:23" x14ac:dyDescent="0.25">
      <c r="A1865" s="98"/>
      <c r="H1865" s="101"/>
      <c r="I1865" s="101"/>
      <c r="J1865" s="101"/>
      <c r="K1865" s="101"/>
      <c r="L1865" s="101"/>
      <c r="M1865" s="101"/>
      <c r="N1865" s="101"/>
      <c r="O1865" s="101"/>
      <c r="P1865" s="101"/>
      <c r="Q1865" s="101"/>
      <c r="R1865" s="101"/>
      <c r="S1865" s="110"/>
      <c r="T1865" s="102"/>
      <c r="U1865" s="101"/>
      <c r="V1865" s="103"/>
      <c r="W1865" s="101"/>
    </row>
    <row r="1866" spans="1:23" x14ac:dyDescent="0.25">
      <c r="A1866" s="98"/>
      <c r="H1866" s="101"/>
      <c r="I1866" s="101"/>
      <c r="J1866" s="101"/>
      <c r="K1866" s="101"/>
      <c r="L1866" s="101"/>
      <c r="M1866" s="101"/>
      <c r="N1866" s="101"/>
      <c r="O1866" s="101"/>
      <c r="P1866" s="101"/>
      <c r="Q1866" s="101"/>
      <c r="R1866" s="101"/>
      <c r="S1866" s="110"/>
      <c r="T1866" s="102"/>
      <c r="U1866" s="101"/>
      <c r="V1866" s="103"/>
      <c r="W1866" s="101"/>
    </row>
    <row r="1867" spans="1:23" x14ac:dyDescent="0.25">
      <c r="A1867" s="98"/>
      <c r="H1867" s="101"/>
      <c r="I1867" s="101"/>
      <c r="J1867" s="101"/>
      <c r="K1867" s="101"/>
      <c r="L1867" s="101"/>
      <c r="M1867" s="101"/>
      <c r="N1867" s="101"/>
      <c r="O1867" s="101"/>
      <c r="P1867" s="101"/>
      <c r="Q1867" s="101"/>
      <c r="R1867" s="101"/>
      <c r="S1867" s="110"/>
      <c r="T1867" s="102"/>
      <c r="U1867" s="101"/>
      <c r="V1867" s="103"/>
      <c r="W1867" s="101"/>
    </row>
    <row r="1868" spans="1:23" x14ac:dyDescent="0.25">
      <c r="A1868" s="98"/>
      <c r="H1868" s="101"/>
      <c r="I1868" s="101"/>
      <c r="J1868" s="101"/>
      <c r="K1868" s="101"/>
      <c r="L1868" s="101"/>
      <c r="M1868" s="101"/>
      <c r="N1868" s="101"/>
      <c r="O1868" s="101"/>
      <c r="P1868" s="101"/>
      <c r="Q1868" s="101"/>
      <c r="R1868" s="101"/>
      <c r="S1868" s="110"/>
      <c r="T1868" s="102"/>
      <c r="U1868" s="101"/>
      <c r="V1868" s="103"/>
      <c r="W1868" s="101"/>
    </row>
    <row r="1869" spans="1:23" x14ac:dyDescent="0.25">
      <c r="A1869" s="98"/>
      <c r="H1869" s="101"/>
      <c r="I1869" s="101"/>
      <c r="J1869" s="101"/>
      <c r="K1869" s="101"/>
      <c r="L1869" s="101"/>
      <c r="M1869" s="101"/>
      <c r="N1869" s="101"/>
      <c r="O1869" s="101"/>
      <c r="P1869" s="101"/>
      <c r="Q1869" s="101"/>
      <c r="R1869" s="101"/>
      <c r="S1869" s="110"/>
      <c r="T1869" s="102"/>
      <c r="U1869" s="101"/>
      <c r="V1869" s="103"/>
      <c r="W1869" s="101"/>
    </row>
    <row r="1870" spans="1:23" x14ac:dyDescent="0.25">
      <c r="A1870" s="98"/>
      <c r="H1870" s="101"/>
      <c r="I1870" s="101"/>
      <c r="J1870" s="101"/>
      <c r="K1870" s="101"/>
      <c r="L1870" s="101"/>
      <c r="M1870" s="101"/>
      <c r="N1870" s="101"/>
      <c r="O1870" s="101"/>
      <c r="P1870" s="101"/>
      <c r="Q1870" s="101"/>
      <c r="R1870" s="101"/>
      <c r="S1870" s="110"/>
      <c r="T1870" s="102"/>
      <c r="U1870" s="101"/>
      <c r="V1870" s="103"/>
      <c r="W1870" s="101"/>
    </row>
    <row r="1871" spans="1:23" x14ac:dyDescent="0.25">
      <c r="A1871" s="98"/>
      <c r="H1871" s="101"/>
      <c r="I1871" s="101"/>
      <c r="J1871" s="101"/>
      <c r="K1871" s="101"/>
      <c r="L1871" s="101"/>
      <c r="M1871" s="101"/>
      <c r="N1871" s="101"/>
      <c r="O1871" s="101"/>
      <c r="P1871" s="101"/>
      <c r="Q1871" s="101"/>
      <c r="R1871" s="101"/>
      <c r="S1871" s="110"/>
      <c r="T1871" s="102"/>
      <c r="U1871" s="101"/>
      <c r="V1871" s="103"/>
      <c r="W1871" s="101"/>
    </row>
    <row r="1872" spans="1:23" x14ac:dyDescent="0.25">
      <c r="A1872" s="98"/>
      <c r="H1872" s="101"/>
      <c r="I1872" s="101"/>
      <c r="J1872" s="101"/>
      <c r="K1872" s="101"/>
      <c r="L1872" s="101"/>
      <c r="M1872" s="101"/>
      <c r="N1872" s="101"/>
      <c r="O1872" s="101"/>
      <c r="P1872" s="101"/>
      <c r="Q1872" s="101"/>
      <c r="R1872" s="101"/>
      <c r="S1872" s="110"/>
      <c r="T1872" s="102"/>
      <c r="U1872" s="101"/>
      <c r="V1872" s="103"/>
      <c r="W1872" s="101"/>
    </row>
    <row r="1873" spans="1:23" x14ac:dyDescent="0.25">
      <c r="A1873" s="98"/>
      <c r="H1873" s="101"/>
      <c r="I1873" s="101"/>
      <c r="J1873" s="101"/>
      <c r="K1873" s="101"/>
      <c r="L1873" s="101"/>
      <c r="M1873" s="101"/>
      <c r="N1873" s="101"/>
      <c r="O1873" s="101"/>
      <c r="P1873" s="101"/>
      <c r="Q1873" s="101"/>
      <c r="R1873" s="101"/>
      <c r="S1873" s="110"/>
      <c r="T1873" s="102"/>
      <c r="U1873" s="101"/>
      <c r="V1873" s="103"/>
      <c r="W1873" s="101"/>
    </row>
    <row r="1874" spans="1:23" x14ac:dyDescent="0.25">
      <c r="A1874" s="98"/>
      <c r="H1874" s="101"/>
      <c r="I1874" s="101"/>
      <c r="J1874" s="101"/>
      <c r="K1874" s="101"/>
      <c r="L1874" s="101"/>
      <c r="M1874" s="101"/>
      <c r="N1874" s="101"/>
      <c r="O1874" s="101"/>
      <c r="P1874" s="101"/>
      <c r="Q1874" s="101"/>
      <c r="R1874" s="101"/>
      <c r="S1874" s="110"/>
      <c r="T1874" s="102"/>
      <c r="U1874" s="101"/>
      <c r="V1874" s="103"/>
      <c r="W1874" s="101"/>
    </row>
    <row r="1875" spans="1:23" x14ac:dyDescent="0.25">
      <c r="A1875" s="98"/>
      <c r="H1875" s="101"/>
      <c r="I1875" s="101"/>
      <c r="J1875" s="101"/>
      <c r="K1875" s="101"/>
      <c r="L1875" s="101"/>
      <c r="M1875" s="101"/>
      <c r="N1875" s="101"/>
      <c r="O1875" s="101"/>
      <c r="P1875" s="101"/>
      <c r="Q1875" s="101"/>
      <c r="R1875" s="101"/>
      <c r="S1875" s="110"/>
      <c r="T1875" s="102"/>
      <c r="U1875" s="101"/>
      <c r="V1875" s="103"/>
      <c r="W1875" s="101"/>
    </row>
    <row r="1876" spans="1:23" x14ac:dyDescent="0.25">
      <c r="A1876" s="98"/>
      <c r="H1876" s="101"/>
      <c r="I1876" s="101"/>
      <c r="J1876" s="101"/>
      <c r="K1876" s="101"/>
      <c r="L1876" s="101"/>
      <c r="M1876" s="101"/>
      <c r="N1876" s="101"/>
      <c r="O1876" s="101"/>
      <c r="P1876" s="101"/>
      <c r="Q1876" s="101"/>
      <c r="R1876" s="101"/>
      <c r="S1876" s="110"/>
      <c r="T1876" s="102"/>
      <c r="U1876" s="101"/>
      <c r="V1876" s="103"/>
      <c r="W1876" s="101"/>
    </row>
    <row r="1877" spans="1:23" x14ac:dyDescent="0.25">
      <c r="A1877" s="98"/>
      <c r="H1877" s="101"/>
      <c r="I1877" s="101"/>
      <c r="J1877" s="101"/>
      <c r="K1877" s="101"/>
      <c r="L1877" s="101"/>
      <c r="M1877" s="101"/>
      <c r="N1877" s="101"/>
      <c r="O1877" s="101"/>
      <c r="P1877" s="101"/>
      <c r="Q1877" s="101"/>
      <c r="R1877" s="101"/>
      <c r="S1877" s="110"/>
      <c r="T1877" s="102"/>
      <c r="U1877" s="101"/>
      <c r="V1877" s="103"/>
      <c r="W1877" s="101"/>
    </row>
    <row r="1878" spans="1:23" x14ac:dyDescent="0.25">
      <c r="A1878" s="98"/>
      <c r="H1878" s="101"/>
      <c r="I1878" s="101"/>
      <c r="J1878" s="101"/>
      <c r="K1878" s="101"/>
      <c r="L1878" s="101"/>
      <c r="M1878" s="101"/>
      <c r="N1878" s="101"/>
      <c r="O1878" s="101"/>
      <c r="P1878" s="101"/>
      <c r="Q1878" s="101"/>
      <c r="R1878" s="101"/>
      <c r="S1878" s="110"/>
      <c r="T1878" s="102"/>
      <c r="U1878" s="101"/>
      <c r="V1878" s="103"/>
      <c r="W1878" s="101"/>
    </row>
    <row r="1879" spans="1:23" x14ac:dyDescent="0.25">
      <c r="A1879" s="98"/>
      <c r="H1879" s="101"/>
      <c r="I1879" s="101"/>
      <c r="J1879" s="101"/>
      <c r="K1879" s="101"/>
      <c r="L1879" s="101"/>
      <c r="M1879" s="101"/>
      <c r="N1879" s="101"/>
      <c r="O1879" s="101"/>
      <c r="P1879" s="101"/>
      <c r="Q1879" s="101"/>
      <c r="R1879" s="101"/>
      <c r="S1879" s="110"/>
      <c r="T1879" s="102"/>
      <c r="U1879" s="101"/>
      <c r="V1879" s="103"/>
      <c r="W1879" s="101"/>
    </row>
    <row r="1880" spans="1:23" x14ac:dyDescent="0.25">
      <c r="A1880" s="98"/>
      <c r="H1880" s="101"/>
      <c r="I1880" s="101"/>
      <c r="J1880" s="101"/>
      <c r="K1880" s="101"/>
      <c r="L1880" s="101"/>
      <c r="M1880" s="101"/>
      <c r="N1880" s="101"/>
      <c r="O1880" s="101"/>
      <c r="P1880" s="101"/>
      <c r="Q1880" s="101"/>
      <c r="R1880" s="101"/>
      <c r="S1880" s="110"/>
      <c r="T1880" s="102"/>
      <c r="U1880" s="101"/>
      <c r="V1880" s="103"/>
      <c r="W1880" s="101"/>
    </row>
    <row r="1881" spans="1:23" x14ac:dyDescent="0.25">
      <c r="A1881" s="98"/>
      <c r="H1881" s="101"/>
      <c r="I1881" s="101"/>
      <c r="J1881" s="101"/>
      <c r="K1881" s="101"/>
      <c r="L1881" s="101"/>
      <c r="M1881" s="101"/>
      <c r="N1881" s="101"/>
      <c r="O1881" s="101"/>
      <c r="P1881" s="101"/>
      <c r="Q1881" s="101"/>
      <c r="R1881" s="101"/>
      <c r="S1881" s="110"/>
      <c r="T1881" s="102"/>
      <c r="U1881" s="101"/>
      <c r="V1881" s="103"/>
      <c r="W1881" s="101"/>
    </row>
    <row r="1882" spans="1:23" x14ac:dyDescent="0.25">
      <c r="A1882" s="98"/>
      <c r="H1882" s="101"/>
      <c r="I1882" s="101"/>
      <c r="J1882" s="101"/>
      <c r="K1882" s="101"/>
      <c r="L1882" s="101"/>
      <c r="M1882" s="101"/>
      <c r="N1882" s="101"/>
      <c r="O1882" s="101"/>
      <c r="P1882" s="101"/>
      <c r="Q1882" s="101"/>
      <c r="R1882" s="101"/>
      <c r="S1882" s="110"/>
      <c r="T1882" s="102"/>
      <c r="U1882" s="101"/>
      <c r="V1882" s="103"/>
      <c r="W1882" s="101"/>
    </row>
    <row r="1883" spans="1:23" x14ac:dyDescent="0.25">
      <c r="A1883" s="98"/>
      <c r="H1883" s="101"/>
      <c r="I1883" s="101"/>
      <c r="J1883" s="101"/>
      <c r="K1883" s="101"/>
      <c r="L1883" s="101"/>
      <c r="M1883" s="101"/>
      <c r="N1883" s="101"/>
      <c r="O1883" s="101"/>
      <c r="P1883" s="101"/>
      <c r="Q1883" s="101"/>
      <c r="R1883" s="101"/>
      <c r="S1883" s="110"/>
      <c r="T1883" s="102"/>
      <c r="U1883" s="101"/>
      <c r="V1883" s="103"/>
      <c r="W1883" s="101"/>
    </row>
    <row r="1884" spans="1:23" x14ac:dyDescent="0.25">
      <c r="A1884" s="98"/>
      <c r="H1884" s="101"/>
      <c r="I1884" s="101"/>
      <c r="J1884" s="101"/>
      <c r="K1884" s="101"/>
      <c r="L1884" s="101"/>
      <c r="M1884" s="101"/>
      <c r="N1884" s="101"/>
      <c r="O1884" s="101"/>
      <c r="P1884" s="101"/>
      <c r="Q1884" s="101"/>
      <c r="R1884" s="101"/>
      <c r="S1884" s="110"/>
      <c r="T1884" s="102"/>
      <c r="U1884" s="101"/>
      <c r="V1884" s="103"/>
      <c r="W1884" s="101"/>
    </row>
    <row r="1885" spans="1:23" x14ac:dyDescent="0.25">
      <c r="A1885" s="98"/>
      <c r="H1885" s="101"/>
      <c r="I1885" s="101"/>
      <c r="J1885" s="101"/>
      <c r="K1885" s="101"/>
      <c r="L1885" s="101"/>
      <c r="M1885" s="101"/>
      <c r="N1885" s="101"/>
      <c r="O1885" s="101"/>
      <c r="P1885" s="101"/>
      <c r="Q1885" s="101"/>
      <c r="R1885" s="101"/>
      <c r="S1885" s="110"/>
      <c r="T1885" s="102"/>
      <c r="U1885" s="101"/>
      <c r="V1885" s="103"/>
      <c r="W1885" s="101"/>
    </row>
    <row r="1886" spans="1:23" x14ac:dyDescent="0.25">
      <c r="A1886" s="98"/>
      <c r="H1886" s="101"/>
      <c r="I1886" s="101"/>
      <c r="J1886" s="101"/>
      <c r="K1886" s="101"/>
      <c r="L1886" s="101"/>
      <c r="M1886" s="101"/>
      <c r="N1886" s="101"/>
      <c r="O1886" s="101"/>
      <c r="P1886" s="101"/>
      <c r="Q1886" s="101"/>
      <c r="R1886" s="101"/>
      <c r="S1886" s="110"/>
      <c r="T1886" s="102"/>
      <c r="U1886" s="101"/>
      <c r="V1886" s="103"/>
      <c r="W1886" s="101"/>
    </row>
    <row r="1887" spans="1:23" x14ac:dyDescent="0.25">
      <c r="A1887" s="98"/>
      <c r="H1887" s="101"/>
      <c r="I1887" s="101"/>
      <c r="J1887" s="101"/>
      <c r="K1887" s="101"/>
      <c r="L1887" s="101"/>
      <c r="M1887" s="101"/>
      <c r="N1887" s="101"/>
      <c r="O1887" s="101"/>
      <c r="P1887" s="101"/>
      <c r="Q1887" s="101"/>
      <c r="R1887" s="101"/>
      <c r="S1887" s="110"/>
      <c r="T1887" s="102"/>
      <c r="U1887" s="101"/>
      <c r="V1887" s="103"/>
      <c r="W1887" s="101"/>
    </row>
    <row r="1888" spans="1:23" x14ac:dyDescent="0.25">
      <c r="A1888" s="98"/>
      <c r="H1888" s="101"/>
      <c r="I1888" s="101"/>
      <c r="J1888" s="101"/>
      <c r="K1888" s="101"/>
      <c r="L1888" s="101"/>
      <c r="M1888" s="101"/>
      <c r="N1888" s="101"/>
      <c r="O1888" s="101"/>
      <c r="P1888" s="101"/>
      <c r="Q1888" s="101"/>
      <c r="R1888" s="101"/>
      <c r="S1888" s="110"/>
      <c r="T1888" s="102"/>
      <c r="U1888" s="101"/>
      <c r="V1888" s="103"/>
      <c r="W1888" s="101"/>
    </row>
    <row r="1889" spans="1:23" x14ac:dyDescent="0.25">
      <c r="A1889" s="98"/>
      <c r="H1889" s="101"/>
      <c r="I1889" s="101"/>
      <c r="J1889" s="101"/>
      <c r="K1889" s="101"/>
      <c r="L1889" s="101"/>
      <c r="M1889" s="101"/>
      <c r="N1889" s="101"/>
      <c r="O1889" s="101"/>
      <c r="P1889" s="101"/>
      <c r="Q1889" s="101"/>
      <c r="R1889" s="101"/>
      <c r="S1889" s="110"/>
      <c r="T1889" s="102"/>
      <c r="U1889" s="101"/>
      <c r="V1889" s="103"/>
      <c r="W1889" s="101"/>
    </row>
    <row r="1890" spans="1:23" x14ac:dyDescent="0.25">
      <c r="A1890" s="98"/>
      <c r="H1890" s="101"/>
      <c r="I1890" s="101"/>
      <c r="J1890" s="101"/>
      <c r="K1890" s="101"/>
      <c r="L1890" s="101"/>
      <c r="M1890" s="101"/>
      <c r="N1890" s="101"/>
      <c r="O1890" s="101"/>
      <c r="P1890" s="101"/>
      <c r="Q1890" s="101"/>
      <c r="R1890" s="101"/>
      <c r="S1890" s="110"/>
      <c r="T1890" s="102"/>
      <c r="U1890" s="101"/>
      <c r="V1890" s="103"/>
      <c r="W1890" s="101"/>
    </row>
    <row r="1891" spans="1:23" x14ac:dyDescent="0.25">
      <c r="A1891" s="98"/>
      <c r="H1891" s="101"/>
      <c r="I1891" s="101"/>
      <c r="J1891" s="101"/>
      <c r="K1891" s="101"/>
      <c r="L1891" s="101"/>
      <c r="M1891" s="101"/>
      <c r="N1891" s="101"/>
      <c r="O1891" s="101"/>
      <c r="P1891" s="101"/>
      <c r="Q1891" s="101"/>
      <c r="R1891" s="101"/>
      <c r="S1891" s="110"/>
      <c r="T1891" s="102"/>
      <c r="U1891" s="101"/>
      <c r="V1891" s="103"/>
      <c r="W1891" s="101"/>
    </row>
    <row r="1892" spans="1:23" x14ac:dyDescent="0.25">
      <c r="A1892" s="98"/>
      <c r="H1892" s="101"/>
      <c r="I1892" s="101"/>
      <c r="J1892" s="101"/>
      <c r="K1892" s="101"/>
      <c r="L1892" s="101"/>
      <c r="M1892" s="101"/>
      <c r="N1892" s="101"/>
      <c r="O1892" s="101"/>
      <c r="P1892" s="101"/>
      <c r="Q1892" s="101"/>
      <c r="R1892" s="101"/>
      <c r="S1892" s="110"/>
      <c r="T1892" s="102"/>
      <c r="U1892" s="101"/>
      <c r="V1892" s="103"/>
      <c r="W1892" s="101"/>
    </row>
    <row r="1893" spans="1:23" x14ac:dyDescent="0.25">
      <c r="A1893" s="98"/>
      <c r="H1893" s="101"/>
      <c r="I1893" s="101"/>
      <c r="J1893" s="101"/>
      <c r="K1893" s="101"/>
      <c r="L1893" s="101"/>
      <c r="M1893" s="101"/>
      <c r="N1893" s="101"/>
      <c r="O1893" s="101"/>
      <c r="P1893" s="101"/>
      <c r="Q1893" s="101"/>
      <c r="R1893" s="101"/>
      <c r="S1893" s="110"/>
      <c r="T1893" s="102"/>
      <c r="U1893" s="101"/>
      <c r="V1893" s="103"/>
      <c r="W1893" s="101"/>
    </row>
    <row r="1894" spans="1:23" x14ac:dyDescent="0.25">
      <c r="A1894" s="98"/>
      <c r="H1894" s="101"/>
      <c r="I1894" s="101"/>
      <c r="J1894" s="101"/>
      <c r="K1894" s="101"/>
      <c r="L1894" s="101"/>
      <c r="M1894" s="101"/>
      <c r="N1894" s="101"/>
      <c r="O1894" s="101"/>
      <c r="P1894" s="101"/>
      <c r="Q1894" s="101"/>
      <c r="R1894" s="101"/>
      <c r="S1894" s="110"/>
      <c r="T1894" s="102"/>
      <c r="U1894" s="101"/>
      <c r="V1894" s="103"/>
      <c r="W1894" s="101"/>
    </row>
    <row r="1895" spans="1:23" x14ac:dyDescent="0.25">
      <c r="A1895" s="98"/>
      <c r="H1895" s="101"/>
      <c r="I1895" s="101"/>
      <c r="J1895" s="101"/>
      <c r="K1895" s="101"/>
      <c r="L1895" s="101"/>
      <c r="M1895" s="101"/>
      <c r="N1895" s="101"/>
      <c r="O1895" s="101"/>
      <c r="P1895" s="101"/>
      <c r="Q1895" s="101"/>
      <c r="R1895" s="101"/>
      <c r="S1895" s="110"/>
      <c r="T1895" s="102"/>
      <c r="U1895" s="101"/>
      <c r="V1895" s="103"/>
      <c r="W1895" s="101"/>
    </row>
    <row r="1896" spans="1:23" x14ac:dyDescent="0.25">
      <c r="A1896" s="98"/>
      <c r="H1896" s="101"/>
      <c r="I1896" s="101"/>
      <c r="J1896" s="101"/>
      <c r="K1896" s="101"/>
      <c r="L1896" s="101"/>
      <c r="M1896" s="101"/>
      <c r="N1896" s="101"/>
      <c r="O1896" s="101"/>
      <c r="P1896" s="101"/>
      <c r="Q1896" s="101"/>
      <c r="R1896" s="101"/>
      <c r="S1896" s="110"/>
      <c r="T1896" s="102"/>
      <c r="U1896" s="101"/>
      <c r="V1896" s="103"/>
      <c r="W1896" s="101"/>
    </row>
    <row r="1897" spans="1:23" x14ac:dyDescent="0.25">
      <c r="A1897" s="98"/>
      <c r="H1897" s="101"/>
      <c r="I1897" s="101"/>
      <c r="J1897" s="101"/>
      <c r="K1897" s="101"/>
      <c r="L1897" s="101"/>
      <c r="M1897" s="101"/>
      <c r="N1897" s="101"/>
      <c r="O1897" s="101"/>
      <c r="P1897" s="101"/>
      <c r="Q1897" s="101"/>
      <c r="R1897" s="101"/>
      <c r="S1897" s="110"/>
      <c r="T1897" s="102"/>
      <c r="U1897" s="101"/>
      <c r="V1897" s="103"/>
      <c r="W1897" s="101"/>
    </row>
    <row r="1898" spans="1:23" x14ac:dyDescent="0.25">
      <c r="A1898" s="98"/>
      <c r="H1898" s="101"/>
      <c r="I1898" s="101"/>
      <c r="J1898" s="101"/>
      <c r="K1898" s="101"/>
      <c r="L1898" s="101"/>
      <c r="M1898" s="101"/>
      <c r="N1898" s="101"/>
      <c r="O1898" s="101"/>
      <c r="P1898" s="101"/>
      <c r="Q1898" s="101"/>
      <c r="R1898" s="101"/>
      <c r="S1898" s="110"/>
      <c r="T1898" s="102"/>
      <c r="U1898" s="101"/>
      <c r="V1898" s="103"/>
      <c r="W1898" s="101"/>
    </row>
    <row r="1899" spans="1:23" x14ac:dyDescent="0.25">
      <c r="A1899" s="98"/>
      <c r="H1899" s="101"/>
      <c r="I1899" s="101"/>
      <c r="J1899" s="101"/>
      <c r="K1899" s="101"/>
      <c r="L1899" s="101"/>
      <c r="M1899" s="101"/>
      <c r="N1899" s="101"/>
      <c r="O1899" s="101"/>
      <c r="P1899" s="101"/>
      <c r="Q1899" s="101"/>
      <c r="R1899" s="101"/>
      <c r="S1899" s="110"/>
      <c r="T1899" s="102"/>
      <c r="U1899" s="101"/>
      <c r="V1899" s="103"/>
      <c r="W1899" s="101"/>
    </row>
    <row r="1900" spans="1:23" x14ac:dyDescent="0.25">
      <c r="A1900" s="98"/>
      <c r="H1900" s="101"/>
      <c r="I1900" s="101"/>
      <c r="J1900" s="101"/>
      <c r="K1900" s="101"/>
      <c r="L1900" s="101"/>
      <c r="M1900" s="101"/>
      <c r="N1900" s="101"/>
      <c r="O1900" s="101"/>
      <c r="P1900" s="101"/>
      <c r="Q1900" s="101"/>
      <c r="R1900" s="101"/>
      <c r="S1900" s="110"/>
      <c r="T1900" s="102"/>
      <c r="U1900" s="101"/>
      <c r="V1900" s="103"/>
      <c r="W1900" s="101"/>
    </row>
    <row r="1901" spans="1:23" x14ac:dyDescent="0.25">
      <c r="A1901" s="98"/>
      <c r="H1901" s="101"/>
      <c r="I1901" s="101"/>
      <c r="J1901" s="101"/>
      <c r="K1901" s="101"/>
      <c r="L1901" s="101"/>
      <c r="M1901" s="101"/>
      <c r="N1901" s="101"/>
      <c r="O1901" s="101"/>
      <c r="P1901" s="101"/>
      <c r="Q1901" s="101"/>
      <c r="R1901" s="101"/>
      <c r="S1901" s="110"/>
      <c r="T1901" s="102"/>
      <c r="U1901" s="101"/>
      <c r="V1901" s="103"/>
      <c r="W1901" s="101"/>
    </row>
    <row r="1902" spans="1:23" x14ac:dyDescent="0.25">
      <c r="A1902" s="98"/>
      <c r="H1902" s="101"/>
      <c r="I1902" s="101"/>
      <c r="J1902" s="101"/>
      <c r="K1902" s="101"/>
      <c r="L1902" s="101"/>
      <c r="M1902" s="101"/>
      <c r="N1902" s="101"/>
      <c r="O1902" s="101"/>
      <c r="P1902" s="101"/>
      <c r="Q1902" s="101"/>
      <c r="R1902" s="101"/>
      <c r="S1902" s="110"/>
      <c r="T1902" s="102"/>
      <c r="U1902" s="101"/>
      <c r="V1902" s="103"/>
      <c r="W1902" s="101"/>
    </row>
    <row r="1903" spans="1:23" x14ac:dyDescent="0.25">
      <c r="A1903" s="98"/>
      <c r="H1903" s="101"/>
      <c r="I1903" s="101"/>
      <c r="J1903" s="101"/>
      <c r="K1903" s="101"/>
      <c r="L1903" s="101"/>
      <c r="M1903" s="101"/>
      <c r="N1903" s="101"/>
      <c r="O1903" s="101"/>
      <c r="P1903" s="101"/>
      <c r="Q1903" s="101"/>
      <c r="R1903" s="101"/>
      <c r="S1903" s="110"/>
      <c r="T1903" s="102"/>
      <c r="U1903" s="101"/>
      <c r="V1903" s="103"/>
      <c r="W1903" s="101"/>
    </row>
    <row r="1904" spans="1:23" x14ac:dyDescent="0.25">
      <c r="A1904" s="98"/>
      <c r="H1904" s="101"/>
      <c r="I1904" s="101"/>
      <c r="J1904" s="101"/>
      <c r="K1904" s="101"/>
      <c r="L1904" s="101"/>
      <c r="M1904" s="101"/>
      <c r="N1904" s="101"/>
      <c r="O1904" s="101"/>
      <c r="P1904" s="101"/>
      <c r="Q1904" s="101"/>
      <c r="R1904" s="101"/>
      <c r="S1904" s="110"/>
      <c r="T1904" s="102"/>
      <c r="U1904" s="101"/>
      <c r="V1904" s="103"/>
      <c r="W1904" s="101"/>
    </row>
    <row r="1905" spans="1:23" x14ac:dyDescent="0.25">
      <c r="A1905" s="98"/>
      <c r="H1905" s="101"/>
      <c r="I1905" s="101"/>
      <c r="J1905" s="101"/>
      <c r="K1905" s="101"/>
      <c r="L1905" s="101"/>
      <c r="M1905" s="101"/>
      <c r="N1905" s="101"/>
      <c r="O1905" s="101"/>
      <c r="P1905" s="101"/>
      <c r="Q1905" s="101"/>
      <c r="R1905" s="101"/>
      <c r="S1905" s="110"/>
      <c r="T1905" s="102"/>
      <c r="U1905" s="101"/>
      <c r="V1905" s="103"/>
      <c r="W1905" s="101"/>
    </row>
    <row r="1906" spans="1:23" x14ac:dyDescent="0.25">
      <c r="A1906" s="98"/>
      <c r="H1906" s="101"/>
      <c r="I1906" s="101"/>
      <c r="J1906" s="101"/>
      <c r="K1906" s="101"/>
      <c r="L1906" s="101"/>
      <c r="M1906" s="101"/>
      <c r="N1906" s="101"/>
      <c r="O1906" s="101"/>
      <c r="P1906" s="101"/>
      <c r="Q1906" s="101"/>
      <c r="R1906" s="101"/>
      <c r="S1906" s="110"/>
      <c r="T1906" s="102"/>
      <c r="U1906" s="101"/>
      <c r="V1906" s="103"/>
      <c r="W1906" s="101"/>
    </row>
    <row r="1907" spans="1:23" x14ac:dyDescent="0.25">
      <c r="A1907" s="98"/>
      <c r="H1907" s="101"/>
      <c r="I1907" s="101"/>
      <c r="J1907" s="101"/>
      <c r="K1907" s="101"/>
      <c r="L1907" s="101"/>
      <c r="M1907" s="101"/>
      <c r="N1907" s="101"/>
      <c r="O1907" s="101"/>
      <c r="P1907" s="101"/>
      <c r="Q1907" s="101"/>
      <c r="R1907" s="101"/>
      <c r="S1907" s="110"/>
      <c r="T1907" s="102"/>
      <c r="U1907" s="101"/>
      <c r="V1907" s="103"/>
      <c r="W1907" s="101"/>
    </row>
    <row r="1908" spans="1:23" x14ac:dyDescent="0.25">
      <c r="A1908" s="98"/>
      <c r="H1908" s="101"/>
      <c r="I1908" s="101"/>
      <c r="J1908" s="101"/>
      <c r="K1908" s="101"/>
      <c r="L1908" s="101"/>
      <c r="M1908" s="101"/>
      <c r="N1908" s="101"/>
      <c r="O1908" s="101"/>
      <c r="P1908" s="101"/>
      <c r="Q1908" s="101"/>
      <c r="R1908" s="101"/>
      <c r="S1908" s="110"/>
      <c r="T1908" s="102"/>
      <c r="U1908" s="101"/>
      <c r="V1908" s="103"/>
      <c r="W1908" s="101"/>
    </row>
    <row r="1909" spans="1:23" x14ac:dyDescent="0.25">
      <c r="A1909" s="98"/>
      <c r="H1909" s="101"/>
      <c r="I1909" s="101"/>
      <c r="J1909" s="101"/>
      <c r="K1909" s="101"/>
      <c r="L1909" s="101"/>
      <c r="M1909" s="101"/>
      <c r="N1909" s="101"/>
      <c r="O1909" s="101"/>
      <c r="P1909" s="101"/>
      <c r="Q1909" s="101"/>
      <c r="R1909" s="101"/>
      <c r="S1909" s="110"/>
      <c r="T1909" s="102"/>
      <c r="U1909" s="101"/>
      <c r="V1909" s="103"/>
      <c r="W1909" s="101"/>
    </row>
    <row r="1910" spans="1:23" x14ac:dyDescent="0.25">
      <c r="A1910" s="98"/>
      <c r="H1910" s="101"/>
      <c r="I1910" s="101"/>
      <c r="J1910" s="101"/>
      <c r="K1910" s="101"/>
      <c r="L1910" s="101"/>
      <c r="M1910" s="101"/>
      <c r="N1910" s="101"/>
      <c r="O1910" s="101"/>
      <c r="P1910" s="101"/>
      <c r="Q1910" s="101"/>
      <c r="R1910" s="101"/>
      <c r="S1910" s="110"/>
      <c r="T1910" s="102"/>
      <c r="U1910" s="101"/>
      <c r="V1910" s="103"/>
      <c r="W1910" s="101"/>
    </row>
    <row r="1911" spans="1:23" x14ac:dyDescent="0.25">
      <c r="A1911" s="98"/>
      <c r="H1911" s="101"/>
      <c r="I1911" s="101"/>
      <c r="J1911" s="101"/>
      <c r="K1911" s="101"/>
      <c r="L1911" s="101"/>
      <c r="M1911" s="101"/>
      <c r="N1911" s="101"/>
      <c r="O1911" s="101"/>
      <c r="P1911" s="101"/>
      <c r="Q1911" s="101"/>
      <c r="R1911" s="101"/>
      <c r="S1911" s="110"/>
      <c r="T1911" s="102"/>
      <c r="U1911" s="101"/>
      <c r="V1911" s="103"/>
      <c r="W1911" s="101"/>
    </row>
    <row r="1912" spans="1:23" x14ac:dyDescent="0.25">
      <c r="A1912" s="98"/>
      <c r="H1912" s="101"/>
      <c r="I1912" s="101"/>
      <c r="J1912" s="101"/>
      <c r="K1912" s="101"/>
      <c r="L1912" s="101"/>
      <c r="M1912" s="101"/>
      <c r="N1912" s="101"/>
      <c r="O1912" s="101"/>
      <c r="P1912" s="101"/>
      <c r="Q1912" s="101"/>
      <c r="R1912" s="101"/>
      <c r="S1912" s="110"/>
      <c r="T1912" s="102"/>
      <c r="U1912" s="101"/>
      <c r="V1912" s="103"/>
      <c r="W1912" s="101"/>
    </row>
    <row r="1913" spans="1:23" x14ac:dyDescent="0.25">
      <c r="A1913" s="98"/>
      <c r="H1913" s="101"/>
      <c r="I1913" s="101"/>
      <c r="J1913" s="101"/>
      <c r="K1913" s="101"/>
      <c r="L1913" s="101"/>
      <c r="M1913" s="101"/>
      <c r="N1913" s="101"/>
      <c r="O1913" s="101"/>
      <c r="P1913" s="101"/>
      <c r="Q1913" s="101"/>
      <c r="R1913" s="101"/>
      <c r="S1913" s="110"/>
      <c r="T1913" s="102"/>
      <c r="U1913" s="101"/>
      <c r="V1913" s="103"/>
      <c r="W1913" s="101"/>
    </row>
    <row r="1914" spans="1:23" x14ac:dyDescent="0.25">
      <c r="A1914" s="98"/>
      <c r="H1914" s="101"/>
      <c r="I1914" s="101"/>
      <c r="J1914" s="101"/>
      <c r="K1914" s="101"/>
      <c r="L1914" s="101"/>
      <c r="M1914" s="101"/>
      <c r="N1914" s="101"/>
      <c r="O1914" s="101"/>
      <c r="P1914" s="101"/>
      <c r="Q1914" s="101"/>
      <c r="R1914" s="101"/>
      <c r="S1914" s="110"/>
      <c r="T1914" s="102"/>
      <c r="U1914" s="101"/>
      <c r="V1914" s="103"/>
      <c r="W1914" s="101"/>
    </row>
    <row r="1915" spans="1:23" x14ac:dyDescent="0.25">
      <c r="A1915" s="98"/>
      <c r="H1915" s="101"/>
      <c r="I1915" s="101"/>
      <c r="J1915" s="101"/>
      <c r="K1915" s="101"/>
      <c r="L1915" s="101"/>
      <c r="M1915" s="101"/>
      <c r="N1915" s="101"/>
      <c r="O1915" s="101"/>
      <c r="P1915" s="101"/>
      <c r="Q1915" s="101"/>
      <c r="R1915" s="101"/>
      <c r="S1915" s="110"/>
      <c r="T1915" s="102"/>
      <c r="U1915" s="101"/>
      <c r="V1915" s="103"/>
      <c r="W1915" s="101"/>
    </row>
    <row r="1916" spans="1:23" x14ac:dyDescent="0.25">
      <c r="A1916" s="98"/>
      <c r="H1916" s="101"/>
      <c r="I1916" s="101"/>
      <c r="J1916" s="101"/>
      <c r="K1916" s="101"/>
      <c r="L1916" s="101"/>
      <c r="M1916" s="101"/>
      <c r="N1916" s="101"/>
      <c r="O1916" s="101"/>
      <c r="P1916" s="101"/>
      <c r="Q1916" s="101"/>
      <c r="R1916" s="101"/>
      <c r="S1916" s="110"/>
      <c r="T1916" s="102"/>
      <c r="U1916" s="101"/>
      <c r="V1916" s="103"/>
      <c r="W1916" s="101"/>
    </row>
    <row r="1917" spans="1:23" x14ac:dyDescent="0.25">
      <c r="A1917" s="98"/>
      <c r="H1917" s="101"/>
      <c r="I1917" s="101"/>
      <c r="J1917" s="101"/>
      <c r="K1917" s="101"/>
      <c r="L1917" s="101"/>
      <c r="M1917" s="101"/>
      <c r="N1917" s="101"/>
      <c r="O1917" s="101"/>
      <c r="P1917" s="101"/>
      <c r="Q1917" s="101"/>
      <c r="R1917" s="101"/>
      <c r="S1917" s="110"/>
      <c r="T1917" s="102"/>
      <c r="U1917" s="101"/>
      <c r="V1917" s="103"/>
      <c r="W1917" s="101"/>
    </row>
    <row r="1918" spans="1:23" x14ac:dyDescent="0.25">
      <c r="A1918" s="98"/>
      <c r="H1918" s="101"/>
      <c r="I1918" s="101"/>
      <c r="J1918" s="101"/>
      <c r="K1918" s="101"/>
      <c r="L1918" s="101"/>
      <c r="M1918" s="101"/>
      <c r="N1918" s="101"/>
      <c r="O1918" s="101"/>
      <c r="P1918" s="101"/>
      <c r="Q1918" s="101"/>
      <c r="R1918" s="101"/>
      <c r="S1918" s="110"/>
      <c r="T1918" s="102"/>
      <c r="U1918" s="101"/>
      <c r="V1918" s="103"/>
      <c r="W1918" s="101"/>
    </row>
    <row r="1919" spans="1:23" x14ac:dyDescent="0.25">
      <c r="A1919" s="98"/>
      <c r="H1919" s="101"/>
      <c r="I1919" s="101"/>
      <c r="J1919" s="101"/>
      <c r="K1919" s="101"/>
      <c r="L1919" s="101"/>
      <c r="M1919" s="101"/>
      <c r="N1919" s="101"/>
      <c r="O1919" s="101"/>
      <c r="P1919" s="101"/>
      <c r="Q1919" s="101"/>
      <c r="R1919" s="101"/>
      <c r="S1919" s="110"/>
      <c r="T1919" s="102"/>
      <c r="U1919" s="101"/>
      <c r="V1919" s="103"/>
      <c r="W1919" s="101"/>
    </row>
    <row r="1920" spans="1:23" x14ac:dyDescent="0.25">
      <c r="A1920" s="98"/>
      <c r="H1920" s="101"/>
      <c r="I1920" s="101"/>
      <c r="J1920" s="101"/>
      <c r="K1920" s="101"/>
      <c r="L1920" s="101"/>
      <c r="M1920" s="101"/>
      <c r="N1920" s="101"/>
      <c r="O1920" s="101"/>
      <c r="P1920" s="101"/>
      <c r="Q1920" s="101"/>
      <c r="R1920" s="101"/>
      <c r="S1920" s="110"/>
      <c r="T1920" s="102"/>
      <c r="U1920" s="101"/>
      <c r="V1920" s="103"/>
      <c r="W1920" s="101"/>
    </row>
    <row r="1921" spans="1:23" x14ac:dyDescent="0.25">
      <c r="A1921" s="98"/>
      <c r="H1921" s="101"/>
      <c r="I1921" s="101"/>
      <c r="J1921" s="101"/>
      <c r="K1921" s="101"/>
      <c r="L1921" s="101"/>
      <c r="M1921" s="101"/>
      <c r="N1921" s="101"/>
      <c r="O1921" s="101"/>
      <c r="P1921" s="101"/>
      <c r="Q1921" s="101"/>
      <c r="R1921" s="101"/>
      <c r="S1921" s="110"/>
      <c r="T1921" s="102"/>
      <c r="U1921" s="101"/>
      <c r="V1921" s="103"/>
      <c r="W1921" s="101"/>
    </row>
    <row r="1922" spans="1:23" x14ac:dyDescent="0.25">
      <c r="A1922" s="98"/>
      <c r="H1922" s="101"/>
      <c r="I1922" s="101"/>
      <c r="J1922" s="101"/>
      <c r="K1922" s="101"/>
      <c r="L1922" s="101"/>
      <c r="M1922" s="101"/>
      <c r="N1922" s="101"/>
      <c r="O1922" s="101"/>
      <c r="P1922" s="101"/>
      <c r="Q1922" s="101"/>
      <c r="R1922" s="101"/>
      <c r="S1922" s="110"/>
      <c r="T1922" s="102"/>
      <c r="U1922" s="101"/>
      <c r="V1922" s="103"/>
      <c r="W1922" s="101"/>
    </row>
    <row r="1923" spans="1:23" x14ac:dyDescent="0.25">
      <c r="A1923" s="98"/>
      <c r="H1923" s="101"/>
      <c r="I1923" s="101"/>
      <c r="J1923" s="101"/>
      <c r="K1923" s="101"/>
      <c r="L1923" s="101"/>
      <c r="M1923" s="101"/>
      <c r="N1923" s="101"/>
      <c r="O1923" s="101"/>
      <c r="P1923" s="101"/>
      <c r="Q1923" s="101"/>
      <c r="R1923" s="101"/>
      <c r="S1923" s="110"/>
      <c r="T1923" s="102"/>
      <c r="U1923" s="101"/>
      <c r="V1923" s="103"/>
      <c r="W1923" s="101"/>
    </row>
    <row r="1924" spans="1:23" x14ac:dyDescent="0.25">
      <c r="A1924" s="98"/>
      <c r="H1924" s="101"/>
      <c r="I1924" s="101"/>
      <c r="J1924" s="101"/>
      <c r="K1924" s="101"/>
      <c r="L1924" s="101"/>
      <c r="M1924" s="101"/>
      <c r="N1924" s="101"/>
      <c r="O1924" s="101"/>
      <c r="P1924" s="101"/>
      <c r="Q1924" s="101"/>
      <c r="R1924" s="101"/>
      <c r="S1924" s="110"/>
      <c r="T1924" s="102"/>
      <c r="U1924" s="101"/>
      <c r="V1924" s="103"/>
      <c r="W1924" s="101"/>
    </row>
    <row r="1925" spans="1:23" x14ac:dyDescent="0.25">
      <c r="A1925" s="98"/>
      <c r="H1925" s="101"/>
      <c r="I1925" s="101"/>
      <c r="J1925" s="101"/>
      <c r="K1925" s="101"/>
      <c r="L1925" s="101"/>
      <c r="M1925" s="101"/>
      <c r="N1925" s="101"/>
      <c r="O1925" s="101"/>
      <c r="P1925" s="101"/>
      <c r="Q1925" s="101"/>
      <c r="R1925" s="101"/>
      <c r="S1925" s="110"/>
      <c r="T1925" s="102"/>
      <c r="U1925" s="101"/>
      <c r="V1925" s="103"/>
      <c r="W1925" s="101"/>
    </row>
    <row r="1926" spans="1:23" x14ac:dyDescent="0.25">
      <c r="A1926" s="98"/>
      <c r="H1926" s="101"/>
      <c r="I1926" s="101"/>
      <c r="J1926" s="101"/>
      <c r="K1926" s="101"/>
      <c r="L1926" s="101"/>
      <c r="M1926" s="101"/>
      <c r="N1926" s="101"/>
      <c r="O1926" s="101"/>
      <c r="P1926" s="101"/>
      <c r="Q1926" s="101"/>
      <c r="R1926" s="101"/>
      <c r="S1926" s="110"/>
      <c r="T1926" s="102"/>
      <c r="U1926" s="101"/>
      <c r="V1926" s="103"/>
      <c r="W1926" s="101"/>
    </row>
    <row r="1927" spans="1:23" x14ac:dyDescent="0.25">
      <c r="A1927" s="98"/>
      <c r="H1927" s="101"/>
      <c r="I1927" s="101"/>
      <c r="J1927" s="101"/>
      <c r="K1927" s="101"/>
      <c r="L1927" s="101"/>
      <c r="M1927" s="101"/>
      <c r="N1927" s="101"/>
      <c r="O1927" s="101"/>
      <c r="P1927" s="101"/>
      <c r="Q1927" s="101"/>
      <c r="R1927" s="101"/>
      <c r="S1927" s="110"/>
      <c r="T1927" s="102"/>
      <c r="U1927" s="101"/>
      <c r="V1927" s="103"/>
      <c r="W1927" s="101"/>
    </row>
    <row r="1928" spans="1:23" x14ac:dyDescent="0.25">
      <c r="A1928" s="98"/>
      <c r="H1928" s="101"/>
      <c r="I1928" s="101"/>
      <c r="J1928" s="101"/>
      <c r="K1928" s="101"/>
      <c r="L1928" s="101"/>
      <c r="M1928" s="101"/>
      <c r="N1928" s="101"/>
      <c r="O1928" s="101"/>
      <c r="P1928" s="101"/>
      <c r="Q1928" s="101"/>
      <c r="R1928" s="101"/>
      <c r="S1928" s="110"/>
      <c r="T1928" s="102"/>
      <c r="U1928" s="101"/>
      <c r="V1928" s="103"/>
      <c r="W1928" s="101"/>
    </row>
    <row r="1929" spans="1:23" x14ac:dyDescent="0.25">
      <c r="A1929" s="98"/>
      <c r="H1929" s="101"/>
      <c r="I1929" s="101"/>
      <c r="J1929" s="101"/>
      <c r="K1929" s="101"/>
      <c r="L1929" s="101"/>
      <c r="M1929" s="101"/>
      <c r="N1929" s="101"/>
      <c r="O1929" s="101"/>
      <c r="P1929" s="101"/>
      <c r="Q1929" s="101"/>
      <c r="R1929" s="101"/>
      <c r="S1929" s="110"/>
      <c r="T1929" s="102"/>
      <c r="U1929" s="101"/>
      <c r="V1929" s="103"/>
      <c r="W1929" s="101"/>
    </row>
    <row r="1930" spans="1:23" x14ac:dyDescent="0.25">
      <c r="A1930" s="98"/>
      <c r="H1930" s="101"/>
      <c r="I1930" s="101"/>
      <c r="J1930" s="101"/>
      <c r="K1930" s="101"/>
      <c r="L1930" s="101"/>
      <c r="M1930" s="101"/>
      <c r="N1930" s="101"/>
      <c r="O1930" s="101"/>
      <c r="P1930" s="101"/>
      <c r="Q1930" s="101"/>
      <c r="R1930" s="101"/>
      <c r="S1930" s="110"/>
      <c r="T1930" s="102"/>
      <c r="U1930" s="101"/>
      <c r="V1930" s="103"/>
      <c r="W1930" s="101"/>
    </row>
    <row r="1931" spans="1:23" x14ac:dyDescent="0.25">
      <c r="A1931" s="98"/>
      <c r="H1931" s="101"/>
      <c r="I1931" s="101"/>
      <c r="J1931" s="101"/>
      <c r="K1931" s="101"/>
      <c r="L1931" s="101"/>
      <c r="M1931" s="101"/>
      <c r="N1931" s="101"/>
      <c r="O1931" s="101"/>
      <c r="P1931" s="101"/>
      <c r="Q1931" s="101"/>
      <c r="R1931" s="101"/>
      <c r="S1931" s="110"/>
      <c r="T1931" s="102"/>
      <c r="U1931" s="101"/>
      <c r="V1931" s="103"/>
      <c r="W1931" s="101"/>
    </row>
    <row r="1932" spans="1:23" x14ac:dyDescent="0.25">
      <c r="A1932" s="98"/>
      <c r="H1932" s="101"/>
      <c r="I1932" s="101"/>
      <c r="J1932" s="101"/>
      <c r="K1932" s="101"/>
      <c r="L1932" s="101"/>
      <c r="M1932" s="101"/>
      <c r="N1932" s="101"/>
      <c r="O1932" s="101"/>
      <c r="P1932" s="101"/>
      <c r="Q1932" s="101"/>
      <c r="R1932" s="101"/>
      <c r="S1932" s="110"/>
      <c r="T1932" s="102"/>
      <c r="U1932" s="101"/>
      <c r="V1932" s="103"/>
      <c r="W1932" s="101"/>
    </row>
    <row r="1933" spans="1:23" x14ac:dyDescent="0.25">
      <c r="A1933" s="98"/>
      <c r="H1933" s="101"/>
      <c r="I1933" s="101"/>
      <c r="J1933" s="101"/>
      <c r="K1933" s="101"/>
      <c r="L1933" s="101"/>
      <c r="M1933" s="101"/>
      <c r="N1933" s="101"/>
      <c r="O1933" s="101"/>
      <c r="P1933" s="101"/>
      <c r="Q1933" s="101"/>
      <c r="R1933" s="101"/>
      <c r="S1933" s="110"/>
      <c r="T1933" s="102"/>
      <c r="U1933" s="101"/>
      <c r="V1933" s="103"/>
      <c r="W1933" s="101"/>
    </row>
    <row r="1934" spans="1:23" x14ac:dyDescent="0.25">
      <c r="A1934" s="98"/>
      <c r="H1934" s="101"/>
      <c r="I1934" s="101"/>
      <c r="J1934" s="101"/>
      <c r="K1934" s="101"/>
      <c r="L1934" s="101"/>
      <c r="M1934" s="101"/>
      <c r="N1934" s="101"/>
      <c r="O1934" s="101"/>
      <c r="P1934" s="101"/>
      <c r="Q1934" s="101"/>
      <c r="R1934" s="101"/>
      <c r="S1934" s="110"/>
      <c r="T1934" s="102"/>
      <c r="U1934" s="101"/>
      <c r="V1934" s="103"/>
      <c r="W1934" s="101"/>
    </row>
    <row r="1935" spans="1:23" x14ac:dyDescent="0.25">
      <c r="A1935" s="98"/>
      <c r="H1935" s="101"/>
      <c r="I1935" s="101"/>
      <c r="J1935" s="101"/>
      <c r="K1935" s="101"/>
      <c r="L1935" s="101"/>
      <c r="M1935" s="101"/>
      <c r="N1935" s="101"/>
      <c r="O1935" s="101"/>
      <c r="P1935" s="101"/>
      <c r="Q1935" s="101"/>
      <c r="R1935" s="101"/>
      <c r="S1935" s="110"/>
      <c r="T1935" s="102"/>
      <c r="U1935" s="101"/>
      <c r="V1935" s="103"/>
      <c r="W1935" s="101"/>
    </row>
    <row r="1936" spans="1:23" x14ac:dyDescent="0.25">
      <c r="A1936" s="98"/>
      <c r="H1936" s="101"/>
      <c r="I1936" s="101"/>
      <c r="J1936" s="101"/>
      <c r="K1936" s="101"/>
      <c r="L1936" s="101"/>
      <c r="M1936" s="101"/>
      <c r="N1936" s="101"/>
      <c r="O1936" s="101"/>
      <c r="P1936" s="101"/>
      <c r="Q1936" s="101"/>
      <c r="R1936" s="101"/>
      <c r="S1936" s="110"/>
      <c r="T1936" s="102"/>
      <c r="U1936" s="101"/>
      <c r="V1936" s="103"/>
      <c r="W1936" s="101"/>
    </row>
    <row r="1937" spans="1:23" x14ac:dyDescent="0.25">
      <c r="A1937" s="98"/>
      <c r="H1937" s="101"/>
      <c r="I1937" s="101"/>
      <c r="J1937" s="101"/>
      <c r="K1937" s="101"/>
      <c r="L1937" s="101"/>
      <c r="M1937" s="101"/>
      <c r="N1937" s="101"/>
      <c r="O1937" s="101"/>
      <c r="P1937" s="101"/>
      <c r="Q1937" s="101"/>
      <c r="R1937" s="101"/>
      <c r="S1937" s="110"/>
      <c r="T1937" s="102"/>
      <c r="U1937" s="101"/>
      <c r="V1937" s="103"/>
      <c r="W1937" s="101"/>
    </row>
    <row r="1938" spans="1:23" x14ac:dyDescent="0.25">
      <c r="A1938" s="98"/>
      <c r="H1938" s="101"/>
      <c r="I1938" s="101"/>
      <c r="J1938" s="101"/>
      <c r="K1938" s="101"/>
      <c r="L1938" s="101"/>
      <c r="M1938" s="101"/>
      <c r="N1938" s="101"/>
      <c r="O1938" s="101"/>
      <c r="P1938" s="101"/>
      <c r="Q1938" s="101"/>
      <c r="R1938" s="101"/>
      <c r="S1938" s="110"/>
      <c r="T1938" s="102"/>
      <c r="U1938" s="101"/>
      <c r="V1938" s="103"/>
      <c r="W1938" s="101"/>
    </row>
    <row r="1939" spans="1:23" x14ac:dyDescent="0.25">
      <c r="A1939" s="98"/>
      <c r="H1939" s="101"/>
      <c r="I1939" s="101"/>
      <c r="J1939" s="101"/>
      <c r="K1939" s="101"/>
      <c r="L1939" s="101"/>
      <c r="M1939" s="101"/>
      <c r="N1939" s="101"/>
      <c r="O1939" s="101"/>
      <c r="P1939" s="101"/>
      <c r="Q1939" s="101"/>
      <c r="R1939" s="101"/>
      <c r="S1939" s="110"/>
      <c r="T1939" s="102"/>
      <c r="U1939" s="101"/>
      <c r="V1939" s="103"/>
      <c r="W1939" s="101"/>
    </row>
    <row r="1940" spans="1:23" x14ac:dyDescent="0.25">
      <c r="A1940" s="98"/>
      <c r="H1940" s="101"/>
      <c r="I1940" s="101"/>
      <c r="J1940" s="101"/>
      <c r="K1940" s="101"/>
      <c r="L1940" s="101"/>
      <c r="M1940" s="101"/>
      <c r="N1940" s="101"/>
      <c r="O1940" s="101"/>
      <c r="P1940" s="101"/>
      <c r="Q1940" s="101"/>
      <c r="R1940" s="101"/>
      <c r="S1940" s="110"/>
      <c r="T1940" s="102"/>
      <c r="U1940" s="101"/>
      <c r="V1940" s="103"/>
      <c r="W1940" s="101"/>
    </row>
    <row r="1941" spans="1:23" x14ac:dyDescent="0.25">
      <c r="A1941" s="98"/>
      <c r="H1941" s="101"/>
      <c r="I1941" s="101"/>
      <c r="J1941" s="101"/>
      <c r="K1941" s="101"/>
      <c r="L1941" s="101"/>
      <c r="M1941" s="101"/>
      <c r="N1941" s="101"/>
      <c r="O1941" s="101"/>
      <c r="P1941" s="101"/>
      <c r="Q1941" s="101"/>
      <c r="R1941" s="101"/>
      <c r="S1941" s="110"/>
      <c r="T1941" s="102"/>
      <c r="U1941" s="101"/>
      <c r="V1941" s="103"/>
      <c r="W1941" s="101"/>
    </row>
    <row r="1942" spans="1:23" x14ac:dyDescent="0.25">
      <c r="A1942" s="98"/>
      <c r="H1942" s="101"/>
      <c r="I1942" s="101"/>
      <c r="J1942" s="101"/>
      <c r="K1942" s="101"/>
      <c r="L1942" s="101"/>
      <c r="M1942" s="101"/>
      <c r="N1942" s="101"/>
      <c r="O1942" s="101"/>
      <c r="P1942" s="101"/>
      <c r="Q1942" s="101"/>
      <c r="R1942" s="101"/>
      <c r="S1942" s="110"/>
      <c r="T1942" s="102"/>
      <c r="U1942" s="101"/>
      <c r="V1942" s="103"/>
      <c r="W1942" s="101"/>
    </row>
    <row r="1943" spans="1:23" x14ac:dyDescent="0.25">
      <c r="A1943" s="98"/>
      <c r="H1943" s="101"/>
      <c r="I1943" s="101"/>
      <c r="J1943" s="101"/>
      <c r="K1943" s="101"/>
      <c r="L1943" s="101"/>
      <c r="M1943" s="101"/>
      <c r="N1943" s="101"/>
      <c r="O1943" s="101"/>
      <c r="P1943" s="101"/>
      <c r="Q1943" s="101"/>
      <c r="R1943" s="101"/>
      <c r="S1943" s="110"/>
      <c r="T1943" s="102"/>
      <c r="U1943" s="101"/>
      <c r="V1943" s="103"/>
      <c r="W1943" s="101"/>
    </row>
    <row r="1944" spans="1:23" x14ac:dyDescent="0.25">
      <c r="A1944" s="98"/>
      <c r="H1944" s="101"/>
      <c r="I1944" s="101"/>
      <c r="J1944" s="101"/>
      <c r="K1944" s="101"/>
      <c r="L1944" s="101"/>
      <c r="M1944" s="101"/>
      <c r="N1944" s="101"/>
      <c r="O1944" s="101"/>
      <c r="P1944" s="101"/>
      <c r="Q1944" s="101"/>
      <c r="R1944" s="101"/>
      <c r="S1944" s="110"/>
      <c r="T1944" s="102"/>
      <c r="U1944" s="101"/>
      <c r="V1944" s="103"/>
      <c r="W1944" s="101"/>
    </row>
    <row r="1945" spans="1:23" x14ac:dyDescent="0.25">
      <c r="A1945" s="98"/>
      <c r="H1945" s="101"/>
      <c r="I1945" s="101"/>
      <c r="J1945" s="101"/>
      <c r="K1945" s="101"/>
      <c r="L1945" s="101"/>
      <c r="M1945" s="101"/>
      <c r="N1945" s="101"/>
      <c r="O1945" s="101"/>
      <c r="P1945" s="101"/>
      <c r="Q1945" s="101"/>
      <c r="R1945" s="101"/>
      <c r="S1945" s="110"/>
      <c r="T1945" s="102"/>
      <c r="U1945" s="101"/>
      <c r="V1945" s="103"/>
      <c r="W1945" s="101"/>
    </row>
    <row r="1946" spans="1:23" x14ac:dyDescent="0.25">
      <c r="A1946" s="98"/>
      <c r="H1946" s="101"/>
      <c r="I1946" s="101"/>
      <c r="J1946" s="101"/>
      <c r="K1946" s="101"/>
      <c r="L1946" s="101"/>
      <c r="M1946" s="101"/>
      <c r="N1946" s="101"/>
      <c r="O1946" s="101"/>
      <c r="P1946" s="101"/>
      <c r="Q1946" s="101"/>
      <c r="R1946" s="101"/>
      <c r="S1946" s="110"/>
      <c r="T1946" s="102"/>
      <c r="U1946" s="101"/>
      <c r="V1946" s="103"/>
      <c r="W1946" s="101"/>
    </row>
    <row r="1947" spans="1:23" x14ac:dyDescent="0.25">
      <c r="A1947" s="98"/>
      <c r="H1947" s="101"/>
      <c r="I1947" s="101"/>
      <c r="J1947" s="101"/>
      <c r="K1947" s="101"/>
      <c r="L1947" s="101"/>
      <c r="M1947" s="101"/>
      <c r="N1947" s="101"/>
      <c r="O1947" s="101"/>
      <c r="P1947" s="101"/>
      <c r="Q1947" s="101"/>
      <c r="R1947" s="101"/>
      <c r="S1947" s="110"/>
      <c r="T1947" s="102"/>
      <c r="U1947" s="101"/>
      <c r="V1947" s="103"/>
      <c r="W1947" s="101"/>
    </row>
    <row r="1948" spans="1:23" x14ac:dyDescent="0.25">
      <c r="A1948" s="98"/>
      <c r="H1948" s="101"/>
      <c r="I1948" s="101"/>
      <c r="J1948" s="101"/>
      <c r="K1948" s="101"/>
      <c r="L1948" s="101"/>
      <c r="M1948" s="101"/>
      <c r="N1948" s="101"/>
      <c r="O1948" s="101"/>
      <c r="P1948" s="101"/>
      <c r="Q1948" s="101"/>
      <c r="R1948" s="101"/>
      <c r="S1948" s="110"/>
      <c r="T1948" s="102"/>
      <c r="U1948" s="101"/>
      <c r="V1948" s="103"/>
      <c r="W1948" s="101"/>
    </row>
    <row r="1949" spans="1:23" x14ac:dyDescent="0.25">
      <c r="A1949" s="98"/>
      <c r="H1949" s="101"/>
      <c r="I1949" s="101"/>
      <c r="J1949" s="101"/>
      <c r="K1949" s="101"/>
      <c r="L1949" s="101"/>
      <c r="M1949" s="101"/>
      <c r="N1949" s="101"/>
      <c r="O1949" s="101"/>
      <c r="P1949" s="101"/>
      <c r="Q1949" s="101"/>
      <c r="R1949" s="101"/>
      <c r="S1949" s="110"/>
      <c r="T1949" s="102"/>
      <c r="U1949" s="101"/>
      <c r="V1949" s="103"/>
      <c r="W1949" s="101"/>
    </row>
    <row r="1950" spans="1:23" x14ac:dyDescent="0.25">
      <c r="A1950" s="98"/>
      <c r="H1950" s="101"/>
      <c r="I1950" s="101"/>
      <c r="J1950" s="101"/>
      <c r="K1950" s="101"/>
      <c r="L1950" s="101"/>
      <c r="M1950" s="101"/>
      <c r="N1950" s="101"/>
      <c r="O1950" s="101"/>
      <c r="P1950" s="101"/>
      <c r="Q1950" s="101"/>
      <c r="R1950" s="101"/>
      <c r="S1950" s="110"/>
      <c r="T1950" s="102"/>
      <c r="U1950" s="101"/>
      <c r="V1950" s="103"/>
      <c r="W1950" s="101"/>
    </row>
    <row r="1951" spans="1:23" x14ac:dyDescent="0.25">
      <c r="A1951" s="98"/>
      <c r="H1951" s="101"/>
      <c r="I1951" s="101"/>
      <c r="J1951" s="101"/>
      <c r="K1951" s="101"/>
      <c r="L1951" s="101"/>
      <c r="M1951" s="101"/>
      <c r="N1951" s="101"/>
      <c r="O1951" s="101"/>
      <c r="P1951" s="101"/>
      <c r="Q1951" s="101"/>
      <c r="R1951" s="101"/>
      <c r="S1951" s="110"/>
      <c r="T1951" s="102"/>
      <c r="U1951" s="101"/>
      <c r="V1951" s="103"/>
      <c r="W1951" s="101"/>
    </row>
    <row r="1952" spans="1:23" x14ac:dyDescent="0.25">
      <c r="A1952" s="98"/>
      <c r="H1952" s="101"/>
      <c r="I1952" s="101"/>
      <c r="J1952" s="101"/>
      <c r="K1952" s="101"/>
      <c r="L1952" s="101"/>
      <c r="M1952" s="101"/>
      <c r="N1952" s="101"/>
      <c r="O1952" s="101"/>
      <c r="P1952" s="101"/>
      <c r="Q1952" s="101"/>
      <c r="R1952" s="101"/>
      <c r="S1952" s="110"/>
      <c r="T1952" s="102"/>
      <c r="U1952" s="101"/>
      <c r="V1952" s="103"/>
      <c r="W1952" s="101"/>
    </row>
    <row r="1953" spans="1:23" x14ac:dyDescent="0.25">
      <c r="A1953" s="98"/>
      <c r="H1953" s="101"/>
      <c r="I1953" s="101"/>
      <c r="J1953" s="101"/>
      <c r="K1953" s="101"/>
      <c r="L1953" s="101"/>
      <c r="M1953" s="101"/>
      <c r="N1953" s="101"/>
      <c r="O1953" s="101"/>
      <c r="P1953" s="101"/>
      <c r="Q1953" s="101"/>
      <c r="R1953" s="101"/>
      <c r="S1953" s="110"/>
      <c r="T1953" s="102"/>
      <c r="U1953" s="101"/>
      <c r="V1953" s="103"/>
      <c r="W1953" s="101"/>
    </row>
    <row r="1954" spans="1:23" x14ac:dyDescent="0.25">
      <c r="A1954" s="98"/>
      <c r="H1954" s="101"/>
      <c r="I1954" s="101"/>
      <c r="J1954" s="101"/>
      <c r="K1954" s="101"/>
      <c r="L1954" s="101"/>
      <c r="M1954" s="101"/>
      <c r="N1954" s="101"/>
      <c r="O1954" s="101"/>
      <c r="P1954" s="101"/>
      <c r="Q1954" s="101"/>
      <c r="R1954" s="101"/>
      <c r="S1954" s="110"/>
      <c r="T1954" s="102"/>
      <c r="U1954" s="101"/>
      <c r="V1954" s="103"/>
      <c r="W1954" s="101"/>
    </row>
    <row r="1955" spans="1:23" x14ac:dyDescent="0.25">
      <c r="A1955" s="98"/>
      <c r="H1955" s="101"/>
      <c r="I1955" s="101"/>
      <c r="J1955" s="101"/>
      <c r="K1955" s="101"/>
      <c r="L1955" s="101"/>
      <c r="M1955" s="101"/>
      <c r="N1955" s="101"/>
      <c r="O1955" s="101"/>
      <c r="P1955" s="101"/>
      <c r="Q1955" s="101"/>
      <c r="R1955" s="101"/>
      <c r="S1955" s="110"/>
      <c r="T1955" s="102"/>
      <c r="U1955" s="101"/>
      <c r="V1955" s="103"/>
      <c r="W1955" s="101"/>
    </row>
    <row r="1956" spans="1:23" x14ac:dyDescent="0.25">
      <c r="A1956" s="98"/>
      <c r="H1956" s="101"/>
      <c r="I1956" s="101"/>
      <c r="J1956" s="101"/>
      <c r="K1956" s="101"/>
      <c r="L1956" s="101"/>
      <c r="M1956" s="101"/>
      <c r="N1956" s="101"/>
      <c r="O1956" s="101"/>
      <c r="P1956" s="101"/>
      <c r="Q1956" s="101"/>
      <c r="R1956" s="101"/>
      <c r="S1956" s="110"/>
      <c r="T1956" s="102"/>
      <c r="U1956" s="101"/>
      <c r="V1956" s="103"/>
      <c r="W1956" s="101"/>
    </row>
    <row r="1957" spans="1:23" x14ac:dyDescent="0.25">
      <c r="A1957" s="98"/>
      <c r="H1957" s="101"/>
      <c r="I1957" s="101"/>
      <c r="J1957" s="101"/>
      <c r="K1957" s="101"/>
      <c r="L1957" s="101"/>
      <c r="M1957" s="101"/>
      <c r="N1957" s="101"/>
      <c r="O1957" s="101"/>
      <c r="P1957" s="101"/>
      <c r="Q1957" s="101"/>
      <c r="R1957" s="101"/>
      <c r="S1957" s="110"/>
      <c r="T1957" s="102"/>
      <c r="U1957" s="101"/>
      <c r="V1957" s="103"/>
      <c r="W1957" s="101"/>
    </row>
    <row r="1958" spans="1:23" x14ac:dyDescent="0.25">
      <c r="A1958" s="98"/>
      <c r="H1958" s="101"/>
      <c r="I1958" s="101"/>
      <c r="J1958" s="101"/>
      <c r="K1958" s="101"/>
      <c r="L1958" s="101"/>
      <c r="M1958" s="101"/>
      <c r="N1958" s="101"/>
      <c r="O1958" s="101"/>
      <c r="P1958" s="101"/>
      <c r="Q1958" s="101"/>
      <c r="R1958" s="101"/>
      <c r="S1958" s="110"/>
      <c r="T1958" s="102"/>
      <c r="U1958" s="101"/>
      <c r="V1958" s="103"/>
      <c r="W1958" s="101"/>
    </row>
    <row r="1959" spans="1:23" x14ac:dyDescent="0.25">
      <c r="A1959" s="98"/>
      <c r="H1959" s="101"/>
      <c r="I1959" s="101"/>
      <c r="J1959" s="101"/>
      <c r="K1959" s="101"/>
      <c r="L1959" s="101"/>
      <c r="M1959" s="101"/>
      <c r="N1959" s="101"/>
      <c r="O1959" s="101"/>
      <c r="P1959" s="101"/>
      <c r="Q1959" s="101"/>
      <c r="R1959" s="101"/>
      <c r="S1959" s="110"/>
      <c r="T1959" s="102"/>
      <c r="U1959" s="101"/>
      <c r="V1959" s="103"/>
      <c r="W1959" s="101"/>
    </row>
    <row r="1960" spans="1:23" x14ac:dyDescent="0.25">
      <c r="A1960" s="98"/>
      <c r="H1960" s="101"/>
      <c r="I1960" s="101"/>
      <c r="J1960" s="101"/>
      <c r="K1960" s="101"/>
      <c r="L1960" s="101"/>
      <c r="M1960" s="101"/>
      <c r="N1960" s="101"/>
      <c r="O1960" s="101"/>
      <c r="P1960" s="101"/>
      <c r="Q1960" s="101"/>
      <c r="R1960" s="101"/>
      <c r="S1960" s="110"/>
      <c r="T1960" s="102"/>
      <c r="U1960" s="101"/>
      <c r="V1960" s="103"/>
      <c r="W1960" s="101"/>
    </row>
    <row r="1961" spans="1:23" x14ac:dyDescent="0.25">
      <c r="A1961" s="98"/>
      <c r="H1961" s="101"/>
      <c r="I1961" s="101"/>
      <c r="J1961" s="101"/>
      <c r="K1961" s="101"/>
      <c r="L1961" s="101"/>
      <c r="M1961" s="101"/>
      <c r="N1961" s="101"/>
      <c r="O1961" s="101"/>
      <c r="P1961" s="101"/>
      <c r="Q1961" s="101"/>
      <c r="R1961" s="101"/>
      <c r="S1961" s="110"/>
      <c r="T1961" s="102"/>
      <c r="U1961" s="101"/>
      <c r="V1961" s="103"/>
      <c r="W1961" s="101"/>
    </row>
    <row r="1962" spans="1:23" x14ac:dyDescent="0.25">
      <c r="A1962" s="98"/>
      <c r="H1962" s="101"/>
      <c r="I1962" s="101"/>
      <c r="J1962" s="101"/>
      <c r="K1962" s="101"/>
      <c r="L1962" s="101"/>
      <c r="M1962" s="101"/>
      <c r="N1962" s="101"/>
      <c r="O1962" s="101"/>
      <c r="P1962" s="101"/>
      <c r="Q1962" s="101"/>
      <c r="R1962" s="101"/>
      <c r="S1962" s="110"/>
      <c r="T1962" s="102"/>
      <c r="U1962" s="101"/>
      <c r="V1962" s="103"/>
      <c r="W1962" s="101"/>
    </row>
    <row r="1963" spans="1:23" x14ac:dyDescent="0.25">
      <c r="A1963" s="98"/>
      <c r="H1963" s="101"/>
      <c r="I1963" s="101"/>
      <c r="J1963" s="101"/>
      <c r="K1963" s="101"/>
      <c r="L1963" s="101"/>
      <c r="M1963" s="101"/>
      <c r="N1963" s="101"/>
      <c r="O1963" s="101"/>
      <c r="P1963" s="101"/>
      <c r="Q1963" s="101"/>
      <c r="R1963" s="101"/>
      <c r="S1963" s="110"/>
      <c r="T1963" s="102"/>
      <c r="U1963" s="101"/>
      <c r="V1963" s="103"/>
      <c r="W1963" s="101"/>
    </row>
    <row r="1964" spans="1:23" x14ac:dyDescent="0.25">
      <c r="A1964" s="98"/>
      <c r="H1964" s="101"/>
      <c r="I1964" s="101"/>
      <c r="J1964" s="101"/>
      <c r="K1964" s="101"/>
      <c r="L1964" s="101"/>
      <c r="M1964" s="101"/>
      <c r="N1964" s="101"/>
      <c r="O1964" s="101"/>
      <c r="P1964" s="101"/>
      <c r="Q1964" s="101"/>
      <c r="R1964" s="101"/>
      <c r="S1964" s="110"/>
      <c r="T1964" s="102"/>
      <c r="U1964" s="101"/>
      <c r="V1964" s="103"/>
      <c r="W1964" s="101"/>
    </row>
    <row r="1965" spans="1:23" x14ac:dyDescent="0.25">
      <c r="A1965" s="98"/>
      <c r="H1965" s="101"/>
      <c r="I1965" s="101"/>
      <c r="J1965" s="101"/>
      <c r="K1965" s="101"/>
      <c r="L1965" s="101"/>
      <c r="M1965" s="101"/>
      <c r="N1965" s="101"/>
      <c r="O1965" s="101"/>
      <c r="P1965" s="101"/>
      <c r="Q1965" s="101"/>
      <c r="R1965" s="101"/>
      <c r="S1965" s="110"/>
      <c r="T1965" s="102"/>
      <c r="U1965" s="101"/>
      <c r="V1965" s="103"/>
      <c r="W1965" s="101"/>
    </row>
    <row r="1966" spans="1:23" x14ac:dyDescent="0.25">
      <c r="A1966" s="98"/>
      <c r="H1966" s="101"/>
      <c r="I1966" s="101"/>
      <c r="J1966" s="101"/>
      <c r="K1966" s="101"/>
      <c r="L1966" s="101"/>
      <c r="M1966" s="101"/>
      <c r="N1966" s="101"/>
      <c r="O1966" s="101"/>
      <c r="P1966" s="101"/>
      <c r="Q1966" s="101"/>
      <c r="R1966" s="101"/>
      <c r="S1966" s="110"/>
      <c r="T1966" s="102"/>
      <c r="U1966" s="101"/>
      <c r="V1966" s="103"/>
      <c r="W1966" s="101"/>
    </row>
    <row r="1967" spans="1:23" x14ac:dyDescent="0.25">
      <c r="A1967" s="98"/>
      <c r="H1967" s="101"/>
      <c r="I1967" s="101"/>
      <c r="J1967" s="101"/>
      <c r="K1967" s="101"/>
      <c r="L1967" s="101"/>
      <c r="M1967" s="101"/>
      <c r="N1967" s="101"/>
      <c r="O1967" s="101"/>
      <c r="P1967" s="101"/>
      <c r="Q1967" s="101"/>
      <c r="R1967" s="101"/>
      <c r="S1967" s="110"/>
      <c r="T1967" s="102"/>
      <c r="U1967" s="101"/>
      <c r="V1967" s="103"/>
      <c r="W1967" s="101"/>
    </row>
    <row r="1968" spans="1:23" x14ac:dyDescent="0.25">
      <c r="A1968" s="98"/>
      <c r="H1968" s="101"/>
      <c r="I1968" s="101"/>
      <c r="J1968" s="101"/>
      <c r="K1968" s="101"/>
      <c r="L1968" s="101"/>
      <c r="M1968" s="101"/>
      <c r="N1968" s="101"/>
      <c r="O1968" s="101"/>
      <c r="P1968" s="101"/>
      <c r="Q1968" s="101"/>
      <c r="R1968" s="101"/>
      <c r="S1968" s="110"/>
      <c r="T1968" s="102"/>
      <c r="U1968" s="101"/>
      <c r="V1968" s="103"/>
      <c r="W1968" s="101"/>
    </row>
    <row r="1969" spans="1:23" x14ac:dyDescent="0.25">
      <c r="A1969" s="98"/>
      <c r="H1969" s="101"/>
      <c r="I1969" s="101"/>
      <c r="J1969" s="101"/>
      <c r="K1969" s="101"/>
      <c r="L1969" s="101"/>
      <c r="M1969" s="101"/>
      <c r="N1969" s="101"/>
      <c r="O1969" s="101"/>
      <c r="P1969" s="101"/>
      <c r="Q1969" s="101"/>
      <c r="R1969" s="101"/>
      <c r="S1969" s="110"/>
      <c r="T1969" s="102"/>
      <c r="U1969" s="101"/>
      <c r="V1969" s="103"/>
      <c r="W1969" s="101"/>
    </row>
    <row r="1970" spans="1:23" x14ac:dyDescent="0.25">
      <c r="A1970" s="98"/>
      <c r="H1970" s="101"/>
      <c r="I1970" s="101"/>
      <c r="J1970" s="101"/>
      <c r="K1970" s="101"/>
      <c r="L1970" s="101"/>
      <c r="M1970" s="101"/>
      <c r="N1970" s="101"/>
      <c r="O1970" s="101"/>
      <c r="P1970" s="101"/>
      <c r="Q1970" s="101"/>
      <c r="R1970" s="101"/>
      <c r="S1970" s="110"/>
      <c r="T1970" s="102"/>
      <c r="U1970" s="101"/>
      <c r="V1970" s="103"/>
      <c r="W1970" s="101"/>
    </row>
    <row r="1971" spans="1:23" x14ac:dyDescent="0.25">
      <c r="A1971" s="98"/>
      <c r="H1971" s="101"/>
      <c r="I1971" s="101"/>
      <c r="J1971" s="101"/>
      <c r="K1971" s="101"/>
      <c r="L1971" s="101"/>
      <c r="M1971" s="101"/>
      <c r="N1971" s="101"/>
      <c r="O1971" s="101"/>
      <c r="P1971" s="101"/>
      <c r="Q1971" s="101"/>
      <c r="R1971" s="101"/>
      <c r="S1971" s="110"/>
      <c r="T1971" s="102"/>
      <c r="U1971" s="101"/>
      <c r="V1971" s="103"/>
      <c r="W1971" s="101"/>
    </row>
    <row r="1972" spans="1:23" x14ac:dyDescent="0.25">
      <c r="A1972" s="98"/>
      <c r="H1972" s="101"/>
      <c r="I1972" s="101"/>
      <c r="J1972" s="101"/>
      <c r="K1972" s="101"/>
      <c r="L1972" s="101"/>
      <c r="M1972" s="101"/>
      <c r="N1972" s="101"/>
      <c r="O1972" s="101"/>
      <c r="P1972" s="101"/>
      <c r="Q1972" s="101"/>
      <c r="R1972" s="101"/>
      <c r="S1972" s="110"/>
      <c r="T1972" s="102"/>
      <c r="U1972" s="101"/>
      <c r="V1972" s="103"/>
      <c r="W1972" s="101"/>
    </row>
    <row r="1973" spans="1:23" x14ac:dyDescent="0.25">
      <c r="A1973" s="98"/>
      <c r="H1973" s="101"/>
      <c r="I1973" s="101"/>
      <c r="J1973" s="101"/>
      <c r="K1973" s="101"/>
      <c r="L1973" s="101"/>
      <c r="M1973" s="101"/>
      <c r="N1973" s="101"/>
      <c r="O1973" s="101"/>
      <c r="P1973" s="101"/>
      <c r="Q1973" s="101"/>
      <c r="R1973" s="101"/>
      <c r="S1973" s="110"/>
      <c r="T1973" s="102"/>
      <c r="U1973" s="101"/>
      <c r="V1973" s="103"/>
      <c r="W1973" s="101"/>
    </row>
    <row r="1974" spans="1:23" x14ac:dyDescent="0.25">
      <c r="A1974" s="98"/>
      <c r="H1974" s="101"/>
      <c r="I1974" s="101"/>
      <c r="J1974" s="101"/>
      <c r="K1974" s="101"/>
      <c r="L1974" s="101"/>
      <c r="M1974" s="101"/>
      <c r="N1974" s="101"/>
      <c r="O1974" s="101"/>
      <c r="P1974" s="101"/>
      <c r="Q1974" s="101"/>
      <c r="R1974" s="101"/>
      <c r="S1974" s="110"/>
      <c r="T1974" s="102"/>
      <c r="U1974" s="101"/>
      <c r="V1974" s="103"/>
      <c r="W1974" s="101"/>
    </row>
    <row r="1975" spans="1:23" x14ac:dyDescent="0.25">
      <c r="A1975" s="98"/>
      <c r="H1975" s="101"/>
      <c r="I1975" s="101"/>
      <c r="J1975" s="101"/>
      <c r="K1975" s="101"/>
      <c r="L1975" s="101"/>
      <c r="M1975" s="101"/>
      <c r="N1975" s="101"/>
      <c r="O1975" s="101"/>
      <c r="P1975" s="101"/>
      <c r="Q1975" s="101"/>
      <c r="R1975" s="101"/>
      <c r="S1975" s="110"/>
      <c r="T1975" s="102"/>
      <c r="U1975" s="101"/>
      <c r="V1975" s="103"/>
      <c r="W1975" s="101"/>
    </row>
    <row r="1976" spans="1:23" x14ac:dyDescent="0.25">
      <c r="A1976" s="98"/>
      <c r="H1976" s="101"/>
      <c r="I1976" s="101"/>
      <c r="J1976" s="101"/>
      <c r="K1976" s="101"/>
      <c r="L1976" s="101"/>
      <c r="M1976" s="101"/>
      <c r="N1976" s="101"/>
      <c r="O1976" s="101"/>
      <c r="P1976" s="101"/>
      <c r="Q1976" s="101"/>
      <c r="R1976" s="101"/>
      <c r="S1976" s="110"/>
      <c r="T1976" s="102"/>
      <c r="U1976" s="101"/>
      <c r="V1976" s="103"/>
      <c r="W1976" s="101"/>
    </row>
    <row r="1977" spans="1:23" x14ac:dyDescent="0.25">
      <c r="A1977" s="98"/>
      <c r="H1977" s="101"/>
      <c r="I1977" s="101"/>
      <c r="J1977" s="101"/>
      <c r="K1977" s="101"/>
      <c r="L1977" s="101"/>
      <c r="M1977" s="101"/>
      <c r="N1977" s="101"/>
      <c r="O1977" s="101"/>
      <c r="P1977" s="101"/>
      <c r="Q1977" s="101"/>
      <c r="R1977" s="101"/>
      <c r="S1977" s="110"/>
      <c r="T1977" s="102"/>
      <c r="U1977" s="101"/>
      <c r="V1977" s="103"/>
      <c r="W1977" s="101"/>
    </row>
    <row r="1978" spans="1:23" x14ac:dyDescent="0.25">
      <c r="A1978" s="98"/>
      <c r="H1978" s="101"/>
      <c r="I1978" s="101"/>
      <c r="J1978" s="101"/>
      <c r="K1978" s="101"/>
      <c r="L1978" s="101"/>
      <c r="M1978" s="101"/>
      <c r="N1978" s="101"/>
      <c r="O1978" s="101"/>
      <c r="P1978" s="101"/>
      <c r="Q1978" s="101"/>
      <c r="R1978" s="101"/>
      <c r="S1978" s="110"/>
      <c r="T1978" s="102"/>
      <c r="U1978" s="101"/>
      <c r="V1978" s="103"/>
      <c r="W1978" s="101"/>
    </row>
    <row r="1979" spans="1:23" x14ac:dyDescent="0.25">
      <c r="A1979" s="98"/>
      <c r="H1979" s="101"/>
      <c r="I1979" s="101"/>
      <c r="J1979" s="101"/>
      <c r="K1979" s="101"/>
      <c r="L1979" s="101"/>
      <c r="M1979" s="101"/>
      <c r="N1979" s="101"/>
      <c r="O1979" s="101"/>
      <c r="P1979" s="101"/>
      <c r="Q1979" s="101"/>
      <c r="R1979" s="101"/>
      <c r="S1979" s="110"/>
      <c r="T1979" s="102"/>
      <c r="U1979" s="101"/>
      <c r="V1979" s="103"/>
      <c r="W1979" s="101"/>
    </row>
    <row r="1980" spans="1:23" x14ac:dyDescent="0.25">
      <c r="A1980" s="98"/>
      <c r="H1980" s="101"/>
      <c r="I1980" s="101"/>
      <c r="J1980" s="101"/>
      <c r="K1980" s="101"/>
      <c r="L1980" s="101"/>
      <c r="M1980" s="101"/>
      <c r="N1980" s="101"/>
      <c r="O1980" s="101"/>
      <c r="P1980" s="101"/>
      <c r="Q1980" s="101"/>
      <c r="R1980" s="101"/>
      <c r="S1980" s="110"/>
      <c r="T1980" s="102"/>
      <c r="U1980" s="101"/>
      <c r="V1980" s="103"/>
      <c r="W1980" s="101"/>
    </row>
    <row r="1981" spans="1:23" x14ac:dyDescent="0.25">
      <c r="A1981" s="98"/>
      <c r="H1981" s="101"/>
      <c r="I1981" s="101"/>
      <c r="J1981" s="101"/>
      <c r="K1981" s="101"/>
      <c r="L1981" s="101"/>
      <c r="M1981" s="101"/>
      <c r="N1981" s="101"/>
      <c r="O1981" s="101"/>
      <c r="P1981" s="101"/>
      <c r="Q1981" s="101"/>
      <c r="R1981" s="101"/>
      <c r="S1981" s="110"/>
      <c r="T1981" s="102"/>
      <c r="U1981" s="101"/>
      <c r="V1981" s="103"/>
      <c r="W1981" s="101"/>
    </row>
    <row r="1982" spans="1:23" x14ac:dyDescent="0.25">
      <c r="A1982" s="98"/>
      <c r="H1982" s="101"/>
      <c r="I1982" s="101"/>
      <c r="J1982" s="101"/>
      <c r="K1982" s="101"/>
      <c r="L1982" s="101"/>
      <c r="M1982" s="101"/>
      <c r="N1982" s="101"/>
      <c r="O1982" s="101"/>
      <c r="P1982" s="101"/>
      <c r="Q1982" s="101"/>
      <c r="R1982" s="101"/>
      <c r="S1982" s="110"/>
      <c r="T1982" s="102"/>
      <c r="U1982" s="101"/>
      <c r="V1982" s="103"/>
      <c r="W1982" s="101"/>
    </row>
    <row r="1983" spans="1:23" x14ac:dyDescent="0.25">
      <c r="A1983" s="98"/>
      <c r="H1983" s="101"/>
      <c r="I1983" s="101"/>
      <c r="J1983" s="101"/>
      <c r="K1983" s="101"/>
      <c r="L1983" s="101"/>
      <c r="M1983" s="101"/>
      <c r="N1983" s="101"/>
      <c r="O1983" s="101"/>
      <c r="P1983" s="101"/>
      <c r="Q1983" s="101"/>
      <c r="R1983" s="101"/>
      <c r="S1983" s="110"/>
      <c r="T1983" s="102"/>
      <c r="U1983" s="101"/>
      <c r="V1983" s="103"/>
      <c r="W1983" s="101"/>
    </row>
    <row r="1984" spans="1:23" x14ac:dyDescent="0.25">
      <c r="A1984" s="98"/>
      <c r="H1984" s="101"/>
      <c r="I1984" s="101"/>
      <c r="J1984" s="101"/>
      <c r="K1984" s="101"/>
      <c r="L1984" s="101"/>
      <c r="M1984" s="101"/>
      <c r="N1984" s="101"/>
      <c r="O1984" s="101"/>
      <c r="P1984" s="101"/>
      <c r="Q1984" s="101"/>
      <c r="R1984" s="101"/>
      <c r="S1984" s="110"/>
      <c r="T1984" s="102"/>
      <c r="U1984" s="101"/>
      <c r="V1984" s="103"/>
      <c r="W1984" s="101"/>
    </row>
    <row r="1985" spans="1:23" x14ac:dyDescent="0.25">
      <c r="A1985" s="98"/>
      <c r="H1985" s="101"/>
      <c r="I1985" s="101"/>
      <c r="J1985" s="101"/>
      <c r="K1985" s="101"/>
      <c r="L1985" s="101"/>
      <c r="M1985" s="101"/>
      <c r="N1985" s="101"/>
      <c r="O1985" s="101"/>
      <c r="P1985" s="101"/>
      <c r="Q1985" s="101"/>
      <c r="R1985" s="101"/>
      <c r="S1985" s="110"/>
      <c r="T1985" s="102"/>
      <c r="U1985" s="101"/>
      <c r="V1985" s="103"/>
      <c r="W1985" s="101"/>
    </row>
    <row r="1986" spans="1:23" x14ac:dyDescent="0.25">
      <c r="A1986" s="98"/>
      <c r="H1986" s="101"/>
      <c r="I1986" s="101"/>
      <c r="J1986" s="101"/>
      <c r="K1986" s="101"/>
      <c r="L1986" s="101"/>
      <c r="M1986" s="101"/>
      <c r="N1986" s="101"/>
      <c r="O1986" s="101"/>
      <c r="P1986" s="101"/>
      <c r="Q1986" s="101"/>
      <c r="R1986" s="101"/>
      <c r="S1986" s="110"/>
      <c r="T1986" s="102"/>
      <c r="U1986" s="101"/>
      <c r="V1986" s="103"/>
      <c r="W1986" s="101"/>
    </row>
    <row r="1987" spans="1:23" x14ac:dyDescent="0.25">
      <c r="A1987" s="98"/>
      <c r="H1987" s="101"/>
      <c r="I1987" s="101"/>
      <c r="J1987" s="101"/>
      <c r="K1987" s="101"/>
      <c r="L1987" s="101"/>
      <c r="M1987" s="101"/>
      <c r="N1987" s="101"/>
      <c r="O1987" s="101"/>
      <c r="P1987" s="101"/>
      <c r="Q1987" s="101"/>
      <c r="R1987" s="101"/>
      <c r="S1987" s="110"/>
      <c r="T1987" s="102"/>
      <c r="U1987" s="101"/>
      <c r="V1987" s="103"/>
      <c r="W1987" s="101"/>
    </row>
    <row r="1988" spans="1:23" x14ac:dyDescent="0.25">
      <c r="A1988" s="98"/>
      <c r="H1988" s="101"/>
      <c r="I1988" s="101"/>
      <c r="J1988" s="101"/>
      <c r="K1988" s="101"/>
      <c r="L1988" s="101"/>
      <c r="M1988" s="101"/>
      <c r="N1988" s="101"/>
      <c r="O1988" s="101"/>
      <c r="P1988" s="101"/>
      <c r="Q1988" s="101"/>
      <c r="R1988" s="101"/>
      <c r="S1988" s="110"/>
      <c r="T1988" s="102"/>
      <c r="U1988" s="101"/>
      <c r="V1988" s="103"/>
      <c r="W1988" s="101"/>
    </row>
    <row r="1989" spans="1:23" x14ac:dyDescent="0.25">
      <c r="A1989" s="98"/>
      <c r="H1989" s="101"/>
      <c r="I1989" s="101"/>
      <c r="J1989" s="101"/>
      <c r="K1989" s="101"/>
      <c r="L1989" s="101"/>
      <c r="M1989" s="101"/>
      <c r="N1989" s="101"/>
      <c r="O1989" s="101"/>
      <c r="P1989" s="101"/>
      <c r="Q1989" s="101"/>
      <c r="R1989" s="101"/>
      <c r="S1989" s="110"/>
      <c r="T1989" s="102"/>
      <c r="U1989" s="101"/>
      <c r="V1989" s="103"/>
      <c r="W1989" s="101"/>
    </row>
    <row r="1990" spans="1:23" x14ac:dyDescent="0.25">
      <c r="A1990" s="98"/>
      <c r="H1990" s="101"/>
      <c r="I1990" s="101"/>
      <c r="J1990" s="101"/>
      <c r="K1990" s="101"/>
      <c r="L1990" s="101"/>
      <c r="M1990" s="101"/>
      <c r="N1990" s="101"/>
      <c r="O1990" s="101"/>
      <c r="P1990" s="101"/>
      <c r="Q1990" s="101"/>
      <c r="R1990" s="101"/>
      <c r="S1990" s="110"/>
      <c r="T1990" s="102"/>
      <c r="U1990" s="101"/>
      <c r="V1990" s="103"/>
      <c r="W1990" s="101"/>
    </row>
    <row r="1991" spans="1:23" x14ac:dyDescent="0.25">
      <c r="A1991" s="98"/>
      <c r="H1991" s="101"/>
      <c r="I1991" s="101"/>
      <c r="J1991" s="101"/>
      <c r="K1991" s="101"/>
      <c r="L1991" s="101"/>
      <c r="M1991" s="101"/>
      <c r="N1991" s="101"/>
      <c r="O1991" s="101"/>
      <c r="P1991" s="101"/>
      <c r="Q1991" s="101"/>
      <c r="R1991" s="101"/>
      <c r="S1991" s="110"/>
      <c r="T1991" s="102"/>
      <c r="U1991" s="101"/>
      <c r="V1991" s="103"/>
      <c r="W1991" s="101"/>
    </row>
    <row r="1992" spans="1:23" x14ac:dyDescent="0.25">
      <c r="A1992" s="98"/>
      <c r="H1992" s="101"/>
      <c r="I1992" s="101"/>
      <c r="J1992" s="101"/>
      <c r="K1992" s="101"/>
      <c r="L1992" s="101"/>
      <c r="M1992" s="101"/>
      <c r="N1992" s="101"/>
      <c r="O1992" s="101"/>
      <c r="P1992" s="101"/>
      <c r="Q1992" s="101"/>
      <c r="R1992" s="101"/>
      <c r="S1992" s="110"/>
      <c r="T1992" s="102"/>
      <c r="U1992" s="101"/>
      <c r="V1992" s="103"/>
      <c r="W1992" s="101"/>
    </row>
    <row r="1993" spans="1:23" x14ac:dyDescent="0.25">
      <c r="A1993" s="98"/>
      <c r="H1993" s="101"/>
      <c r="I1993" s="101"/>
      <c r="J1993" s="101"/>
      <c r="K1993" s="101"/>
      <c r="L1993" s="101"/>
      <c r="M1993" s="101"/>
      <c r="N1993" s="101"/>
      <c r="O1993" s="101"/>
      <c r="P1993" s="101"/>
      <c r="Q1993" s="101"/>
      <c r="R1993" s="101"/>
      <c r="S1993" s="110"/>
      <c r="T1993" s="102"/>
      <c r="U1993" s="101"/>
      <c r="V1993" s="103"/>
      <c r="W1993" s="101"/>
    </row>
    <row r="1994" spans="1:23" x14ac:dyDescent="0.25">
      <c r="A1994" s="98"/>
      <c r="H1994" s="101"/>
      <c r="I1994" s="101"/>
      <c r="J1994" s="101"/>
      <c r="K1994" s="101"/>
      <c r="L1994" s="101"/>
      <c r="M1994" s="101"/>
      <c r="N1994" s="101"/>
      <c r="O1994" s="101"/>
      <c r="P1994" s="101"/>
      <c r="Q1994" s="101"/>
      <c r="R1994" s="101"/>
      <c r="S1994" s="110"/>
      <c r="T1994" s="102"/>
      <c r="U1994" s="101"/>
      <c r="V1994" s="103"/>
      <c r="W1994" s="101"/>
    </row>
    <row r="1995" spans="1:23" x14ac:dyDescent="0.25">
      <c r="A1995" s="98"/>
      <c r="H1995" s="101"/>
      <c r="I1995" s="101"/>
      <c r="J1995" s="101"/>
      <c r="K1995" s="101"/>
      <c r="L1995" s="101"/>
      <c r="M1995" s="101"/>
      <c r="N1995" s="101"/>
      <c r="O1995" s="101"/>
      <c r="P1995" s="101"/>
      <c r="Q1995" s="101"/>
      <c r="R1995" s="101"/>
      <c r="S1995" s="110"/>
      <c r="T1995" s="102"/>
      <c r="U1995" s="101"/>
      <c r="V1995" s="103"/>
      <c r="W1995" s="101"/>
    </row>
    <row r="1996" spans="1:23" x14ac:dyDescent="0.25">
      <c r="A1996" s="98"/>
      <c r="H1996" s="101"/>
      <c r="I1996" s="101"/>
      <c r="J1996" s="101"/>
      <c r="K1996" s="101"/>
      <c r="L1996" s="101"/>
      <c r="M1996" s="101"/>
      <c r="N1996" s="101"/>
      <c r="O1996" s="101"/>
      <c r="P1996" s="101"/>
      <c r="Q1996" s="101"/>
      <c r="R1996" s="101"/>
      <c r="S1996" s="110"/>
      <c r="T1996" s="102"/>
      <c r="U1996" s="101"/>
      <c r="V1996" s="103"/>
      <c r="W1996" s="101"/>
    </row>
    <row r="1997" spans="1:23" x14ac:dyDescent="0.25">
      <c r="A1997" s="98"/>
      <c r="H1997" s="101"/>
      <c r="I1997" s="101"/>
      <c r="J1997" s="101"/>
      <c r="K1997" s="101"/>
      <c r="L1997" s="101"/>
      <c r="M1997" s="101"/>
      <c r="N1997" s="101"/>
      <c r="O1997" s="101"/>
      <c r="P1997" s="101"/>
      <c r="Q1997" s="101"/>
      <c r="R1997" s="101"/>
      <c r="S1997" s="110"/>
      <c r="T1997" s="102"/>
      <c r="U1997" s="101"/>
      <c r="V1997" s="103"/>
      <c r="W1997" s="101"/>
    </row>
    <row r="1998" spans="1:23" x14ac:dyDescent="0.25">
      <c r="A1998" s="98"/>
      <c r="H1998" s="101"/>
      <c r="I1998" s="101"/>
      <c r="J1998" s="101"/>
      <c r="K1998" s="101"/>
      <c r="L1998" s="101"/>
      <c r="M1998" s="101"/>
      <c r="N1998" s="101"/>
      <c r="O1998" s="101"/>
      <c r="P1998" s="101"/>
      <c r="Q1998" s="101"/>
      <c r="R1998" s="101"/>
      <c r="S1998" s="110"/>
      <c r="T1998" s="102"/>
      <c r="U1998" s="101"/>
      <c r="V1998" s="103"/>
      <c r="W1998" s="101"/>
    </row>
    <row r="1999" spans="1:23" x14ac:dyDescent="0.25">
      <c r="A1999" s="98"/>
      <c r="H1999" s="101"/>
      <c r="I1999" s="101"/>
      <c r="J1999" s="101"/>
      <c r="K1999" s="101"/>
      <c r="L1999" s="101"/>
      <c r="M1999" s="101"/>
      <c r="N1999" s="101"/>
      <c r="O1999" s="101"/>
      <c r="P1999" s="101"/>
      <c r="Q1999" s="101"/>
      <c r="R1999" s="101"/>
      <c r="S1999" s="110"/>
      <c r="T1999" s="102"/>
      <c r="U1999" s="101"/>
      <c r="V1999" s="103"/>
      <c r="W1999" s="101"/>
    </row>
    <row r="2000" spans="1:23" x14ac:dyDescent="0.25">
      <c r="A2000" s="98"/>
      <c r="H2000" s="101"/>
      <c r="I2000" s="101"/>
      <c r="J2000" s="101"/>
      <c r="K2000" s="101"/>
      <c r="L2000" s="101"/>
      <c r="M2000" s="101"/>
      <c r="N2000" s="101"/>
      <c r="O2000" s="101"/>
      <c r="P2000" s="101"/>
      <c r="Q2000" s="101"/>
      <c r="R2000" s="101"/>
      <c r="S2000" s="110"/>
      <c r="T2000" s="102"/>
      <c r="U2000" s="101"/>
      <c r="V2000" s="103"/>
      <c r="W2000" s="101"/>
    </row>
    <row r="2001" spans="1:23" x14ac:dyDescent="0.25">
      <c r="A2001" s="98"/>
      <c r="H2001" s="101"/>
      <c r="I2001" s="101"/>
      <c r="J2001" s="101"/>
      <c r="K2001" s="101"/>
      <c r="L2001" s="101"/>
      <c r="M2001" s="101"/>
      <c r="N2001" s="101"/>
      <c r="O2001" s="101"/>
      <c r="P2001" s="101"/>
      <c r="Q2001" s="101"/>
      <c r="R2001" s="101"/>
      <c r="S2001" s="110"/>
      <c r="T2001" s="102"/>
      <c r="U2001" s="101"/>
      <c r="V2001" s="103"/>
      <c r="W2001" s="101"/>
    </row>
    <row r="2002" spans="1:23" x14ac:dyDescent="0.25">
      <c r="A2002" s="98"/>
      <c r="H2002" s="101"/>
      <c r="I2002" s="101"/>
      <c r="J2002" s="101"/>
      <c r="K2002" s="101"/>
      <c r="L2002" s="101"/>
      <c r="M2002" s="101"/>
      <c r="N2002" s="101"/>
      <c r="O2002" s="101"/>
      <c r="P2002" s="101"/>
      <c r="Q2002" s="101"/>
      <c r="R2002" s="101"/>
      <c r="S2002" s="110"/>
      <c r="T2002" s="102"/>
      <c r="U2002" s="101"/>
      <c r="V2002" s="103"/>
      <c r="W2002" s="101"/>
    </row>
    <row r="2003" spans="1:23" x14ac:dyDescent="0.25">
      <c r="A2003" s="98"/>
      <c r="H2003" s="101"/>
      <c r="I2003" s="101"/>
      <c r="J2003" s="101"/>
      <c r="K2003" s="101"/>
      <c r="L2003" s="101"/>
      <c r="M2003" s="101"/>
      <c r="N2003" s="101"/>
      <c r="O2003" s="101"/>
      <c r="P2003" s="101"/>
      <c r="Q2003" s="101"/>
      <c r="R2003" s="101"/>
      <c r="S2003" s="110"/>
      <c r="T2003" s="102"/>
      <c r="U2003" s="101"/>
      <c r="V2003" s="103"/>
      <c r="W2003" s="101"/>
    </row>
    <row r="2004" spans="1:23" x14ac:dyDescent="0.25">
      <c r="A2004" s="98"/>
      <c r="H2004" s="101"/>
      <c r="I2004" s="101"/>
      <c r="J2004" s="101"/>
      <c r="K2004" s="101"/>
      <c r="L2004" s="101"/>
      <c r="M2004" s="101"/>
      <c r="N2004" s="101"/>
      <c r="O2004" s="101"/>
      <c r="P2004" s="101"/>
      <c r="Q2004" s="101"/>
      <c r="R2004" s="101"/>
      <c r="S2004" s="110"/>
      <c r="T2004" s="102"/>
      <c r="U2004" s="101"/>
      <c r="V2004" s="103"/>
      <c r="W2004" s="101"/>
    </row>
    <row r="2005" spans="1:23" x14ac:dyDescent="0.25">
      <c r="A2005" s="98"/>
      <c r="H2005" s="101"/>
      <c r="I2005" s="101"/>
      <c r="J2005" s="101"/>
      <c r="K2005" s="101"/>
      <c r="L2005" s="101"/>
      <c r="M2005" s="101"/>
      <c r="N2005" s="101"/>
      <c r="O2005" s="101"/>
      <c r="P2005" s="101"/>
      <c r="Q2005" s="101"/>
      <c r="R2005" s="101"/>
      <c r="S2005" s="110"/>
      <c r="T2005" s="102"/>
      <c r="U2005" s="101"/>
      <c r="V2005" s="103"/>
      <c r="W2005" s="101"/>
    </row>
    <row r="2006" spans="1:23" x14ac:dyDescent="0.25">
      <c r="A2006" s="98"/>
      <c r="H2006" s="101"/>
      <c r="I2006" s="101"/>
      <c r="J2006" s="101"/>
      <c r="K2006" s="101"/>
      <c r="L2006" s="101"/>
      <c r="M2006" s="101"/>
      <c r="N2006" s="101"/>
      <c r="O2006" s="101"/>
      <c r="P2006" s="101"/>
      <c r="Q2006" s="101"/>
      <c r="R2006" s="101"/>
      <c r="S2006" s="110"/>
      <c r="T2006" s="102"/>
      <c r="U2006" s="101"/>
      <c r="V2006" s="103"/>
      <c r="W2006" s="101"/>
    </row>
    <row r="2007" spans="1:23" x14ac:dyDescent="0.25">
      <c r="A2007" s="98"/>
      <c r="H2007" s="101"/>
      <c r="I2007" s="101"/>
      <c r="J2007" s="101"/>
      <c r="K2007" s="101"/>
      <c r="L2007" s="101"/>
      <c r="M2007" s="101"/>
      <c r="N2007" s="101"/>
      <c r="O2007" s="101"/>
      <c r="P2007" s="101"/>
      <c r="Q2007" s="101"/>
      <c r="R2007" s="101"/>
      <c r="S2007" s="110"/>
      <c r="T2007" s="102"/>
      <c r="U2007" s="101"/>
      <c r="V2007" s="103"/>
      <c r="W2007" s="101"/>
    </row>
    <row r="2008" spans="1:23" x14ac:dyDescent="0.25">
      <c r="A2008" s="98"/>
      <c r="H2008" s="101"/>
      <c r="I2008" s="101"/>
      <c r="J2008" s="101"/>
      <c r="K2008" s="101"/>
      <c r="L2008" s="101"/>
      <c r="M2008" s="101"/>
      <c r="N2008" s="101"/>
      <c r="O2008" s="101"/>
      <c r="P2008" s="101"/>
      <c r="Q2008" s="101"/>
      <c r="R2008" s="101"/>
      <c r="S2008" s="110"/>
      <c r="T2008" s="102"/>
      <c r="U2008" s="101"/>
      <c r="V2008" s="103"/>
      <c r="W2008" s="101"/>
    </row>
    <row r="2009" spans="1:23" x14ac:dyDescent="0.25">
      <c r="A2009" s="98"/>
      <c r="H2009" s="101"/>
      <c r="I2009" s="101"/>
      <c r="J2009" s="101"/>
      <c r="K2009" s="101"/>
      <c r="L2009" s="101"/>
      <c r="M2009" s="101"/>
      <c r="N2009" s="101"/>
      <c r="O2009" s="101"/>
      <c r="P2009" s="101"/>
      <c r="Q2009" s="101"/>
      <c r="R2009" s="101"/>
      <c r="S2009" s="110"/>
      <c r="T2009" s="102"/>
      <c r="U2009" s="101"/>
      <c r="V2009" s="103"/>
      <c r="W2009" s="101"/>
    </row>
    <row r="2010" spans="1:23" x14ac:dyDescent="0.25">
      <c r="A2010" s="98"/>
      <c r="H2010" s="101"/>
      <c r="I2010" s="101"/>
      <c r="J2010" s="101"/>
      <c r="K2010" s="101"/>
      <c r="L2010" s="101"/>
      <c r="M2010" s="101"/>
      <c r="N2010" s="101"/>
      <c r="O2010" s="101"/>
      <c r="P2010" s="101"/>
      <c r="Q2010" s="101"/>
      <c r="R2010" s="101"/>
      <c r="S2010" s="110"/>
      <c r="T2010" s="102"/>
      <c r="U2010" s="101"/>
      <c r="V2010" s="103"/>
      <c r="W2010" s="101"/>
    </row>
    <row r="2011" spans="1:23" x14ac:dyDescent="0.25">
      <c r="A2011" s="98"/>
      <c r="H2011" s="101"/>
      <c r="I2011" s="101"/>
      <c r="J2011" s="101"/>
      <c r="K2011" s="101"/>
      <c r="L2011" s="101"/>
      <c r="M2011" s="101"/>
      <c r="N2011" s="101"/>
      <c r="O2011" s="101"/>
      <c r="P2011" s="101"/>
      <c r="Q2011" s="101"/>
      <c r="R2011" s="101"/>
      <c r="S2011" s="110"/>
      <c r="T2011" s="102"/>
      <c r="U2011" s="101"/>
      <c r="V2011" s="103"/>
      <c r="W2011" s="101"/>
    </row>
    <row r="2012" spans="1:23" x14ac:dyDescent="0.25">
      <c r="A2012" s="98"/>
      <c r="H2012" s="101"/>
      <c r="I2012" s="101"/>
      <c r="J2012" s="101"/>
      <c r="K2012" s="101"/>
      <c r="L2012" s="101"/>
      <c r="M2012" s="101"/>
      <c r="N2012" s="101"/>
      <c r="O2012" s="101"/>
      <c r="P2012" s="101"/>
      <c r="Q2012" s="101"/>
      <c r="R2012" s="101"/>
      <c r="S2012" s="110"/>
      <c r="T2012" s="102"/>
      <c r="U2012" s="101"/>
      <c r="V2012" s="103"/>
      <c r="W2012" s="101"/>
    </row>
    <row r="2013" spans="1:23" x14ac:dyDescent="0.25">
      <c r="A2013" s="98"/>
      <c r="H2013" s="101"/>
      <c r="I2013" s="101"/>
      <c r="J2013" s="101"/>
      <c r="K2013" s="101"/>
      <c r="L2013" s="101"/>
      <c r="M2013" s="101"/>
      <c r="N2013" s="101"/>
      <c r="O2013" s="101"/>
      <c r="P2013" s="101"/>
      <c r="Q2013" s="101"/>
      <c r="R2013" s="101"/>
      <c r="S2013" s="110"/>
      <c r="T2013" s="102"/>
      <c r="U2013" s="101"/>
      <c r="V2013" s="103"/>
      <c r="W2013" s="101"/>
    </row>
    <row r="2014" spans="1:23" x14ac:dyDescent="0.25">
      <c r="A2014" s="98"/>
      <c r="H2014" s="101"/>
      <c r="I2014" s="101"/>
      <c r="J2014" s="101"/>
      <c r="K2014" s="101"/>
      <c r="L2014" s="101"/>
      <c r="M2014" s="101"/>
      <c r="N2014" s="101"/>
      <c r="O2014" s="101"/>
      <c r="P2014" s="101"/>
      <c r="Q2014" s="101"/>
      <c r="R2014" s="101"/>
      <c r="S2014" s="110"/>
      <c r="T2014" s="102"/>
      <c r="U2014" s="101"/>
      <c r="V2014" s="103"/>
      <c r="W2014" s="101"/>
    </row>
    <row r="2015" spans="1:23" x14ac:dyDescent="0.25">
      <c r="A2015" s="98"/>
      <c r="H2015" s="101"/>
      <c r="I2015" s="101"/>
      <c r="J2015" s="101"/>
      <c r="K2015" s="101"/>
      <c r="L2015" s="101"/>
      <c r="M2015" s="101"/>
      <c r="N2015" s="101"/>
      <c r="O2015" s="101"/>
      <c r="P2015" s="101"/>
      <c r="Q2015" s="101"/>
      <c r="R2015" s="101"/>
      <c r="S2015" s="110"/>
      <c r="T2015" s="102"/>
      <c r="U2015" s="101"/>
      <c r="V2015" s="103"/>
      <c r="W2015" s="101"/>
    </row>
    <row r="2016" spans="1:23" x14ac:dyDescent="0.25">
      <c r="A2016" s="98"/>
      <c r="H2016" s="101"/>
      <c r="I2016" s="101"/>
      <c r="J2016" s="101"/>
      <c r="K2016" s="101"/>
      <c r="L2016" s="101"/>
      <c r="M2016" s="101"/>
      <c r="N2016" s="101"/>
      <c r="O2016" s="101"/>
      <c r="P2016" s="101"/>
      <c r="Q2016" s="101"/>
      <c r="R2016" s="101"/>
      <c r="S2016" s="110"/>
      <c r="T2016" s="102"/>
      <c r="U2016" s="101"/>
      <c r="V2016" s="103"/>
      <c r="W2016" s="101"/>
    </row>
    <row r="2017" spans="1:23" x14ac:dyDescent="0.25">
      <c r="A2017" s="98"/>
      <c r="H2017" s="101"/>
      <c r="I2017" s="101"/>
      <c r="J2017" s="101"/>
      <c r="K2017" s="101"/>
      <c r="L2017" s="101"/>
      <c r="M2017" s="101"/>
      <c r="N2017" s="101"/>
      <c r="O2017" s="101"/>
      <c r="P2017" s="101"/>
      <c r="Q2017" s="101"/>
      <c r="R2017" s="101"/>
      <c r="S2017" s="110"/>
      <c r="T2017" s="102"/>
      <c r="U2017" s="101"/>
      <c r="V2017" s="103"/>
      <c r="W2017" s="101"/>
    </row>
    <row r="2018" spans="1:23" x14ac:dyDescent="0.25">
      <c r="A2018" s="98"/>
      <c r="H2018" s="101"/>
      <c r="I2018" s="101"/>
      <c r="J2018" s="101"/>
      <c r="K2018" s="101"/>
      <c r="L2018" s="101"/>
      <c r="M2018" s="101"/>
      <c r="N2018" s="101"/>
      <c r="O2018" s="101"/>
      <c r="P2018" s="101"/>
      <c r="Q2018" s="101"/>
      <c r="R2018" s="101"/>
      <c r="S2018" s="110"/>
      <c r="T2018" s="102"/>
      <c r="U2018" s="101"/>
      <c r="V2018" s="103"/>
      <c r="W2018" s="101"/>
    </row>
    <row r="2019" spans="1:23" x14ac:dyDescent="0.25">
      <c r="A2019" s="98"/>
      <c r="H2019" s="101"/>
      <c r="I2019" s="101"/>
      <c r="J2019" s="101"/>
      <c r="K2019" s="101"/>
      <c r="L2019" s="101"/>
      <c r="M2019" s="101"/>
      <c r="N2019" s="101"/>
      <c r="O2019" s="101"/>
      <c r="P2019" s="101"/>
      <c r="Q2019" s="101"/>
      <c r="R2019" s="101"/>
      <c r="S2019" s="110"/>
      <c r="T2019" s="102"/>
      <c r="U2019" s="101"/>
      <c r="V2019" s="103"/>
      <c r="W2019" s="101"/>
    </row>
    <row r="2020" spans="1:23" x14ac:dyDescent="0.25">
      <c r="A2020" s="98"/>
      <c r="H2020" s="101"/>
      <c r="I2020" s="101"/>
      <c r="J2020" s="101"/>
      <c r="K2020" s="101"/>
      <c r="L2020" s="101"/>
      <c r="M2020" s="101"/>
      <c r="N2020" s="101"/>
      <c r="O2020" s="101"/>
      <c r="P2020" s="101"/>
      <c r="Q2020" s="101"/>
      <c r="R2020" s="101"/>
      <c r="S2020" s="110"/>
      <c r="T2020" s="102"/>
      <c r="U2020" s="101"/>
      <c r="V2020" s="103"/>
      <c r="W2020" s="101"/>
    </row>
    <row r="2021" spans="1:23" x14ac:dyDescent="0.25">
      <c r="A2021" s="98"/>
      <c r="H2021" s="101"/>
      <c r="I2021" s="101"/>
      <c r="J2021" s="101"/>
      <c r="K2021" s="101"/>
      <c r="L2021" s="101"/>
      <c r="M2021" s="101"/>
      <c r="N2021" s="101"/>
      <c r="O2021" s="101"/>
      <c r="P2021" s="101"/>
      <c r="Q2021" s="101"/>
      <c r="R2021" s="101"/>
      <c r="S2021" s="110"/>
      <c r="T2021" s="102"/>
      <c r="U2021" s="101"/>
      <c r="V2021" s="103"/>
      <c r="W2021" s="101"/>
    </row>
    <row r="2022" spans="1:23" x14ac:dyDescent="0.25">
      <c r="A2022" s="98"/>
      <c r="H2022" s="101"/>
      <c r="I2022" s="101"/>
      <c r="J2022" s="101"/>
      <c r="K2022" s="101"/>
      <c r="L2022" s="101"/>
      <c r="M2022" s="101"/>
      <c r="N2022" s="101"/>
      <c r="O2022" s="101"/>
      <c r="P2022" s="101"/>
      <c r="Q2022" s="101"/>
      <c r="R2022" s="101"/>
      <c r="S2022" s="110"/>
      <c r="T2022" s="102"/>
      <c r="U2022" s="101"/>
      <c r="V2022" s="103"/>
      <c r="W2022" s="101"/>
    </row>
    <row r="2023" spans="1:23" x14ac:dyDescent="0.25">
      <c r="A2023" s="98"/>
      <c r="H2023" s="101"/>
      <c r="I2023" s="101"/>
      <c r="J2023" s="101"/>
      <c r="K2023" s="101"/>
      <c r="L2023" s="101"/>
      <c r="M2023" s="101"/>
      <c r="N2023" s="101"/>
      <c r="O2023" s="101"/>
      <c r="P2023" s="101"/>
      <c r="Q2023" s="101"/>
      <c r="R2023" s="101"/>
      <c r="S2023" s="110"/>
      <c r="T2023" s="102"/>
      <c r="U2023" s="101"/>
      <c r="V2023" s="103"/>
      <c r="W2023" s="101"/>
    </row>
    <row r="2024" spans="1:23" x14ac:dyDescent="0.25">
      <c r="A2024" s="98"/>
      <c r="H2024" s="101"/>
      <c r="I2024" s="101"/>
      <c r="J2024" s="101"/>
      <c r="K2024" s="101"/>
      <c r="L2024" s="101"/>
      <c r="M2024" s="101"/>
      <c r="N2024" s="101"/>
      <c r="O2024" s="101"/>
      <c r="P2024" s="101"/>
      <c r="Q2024" s="101"/>
      <c r="R2024" s="101"/>
      <c r="S2024" s="110"/>
      <c r="T2024" s="102"/>
      <c r="U2024" s="101"/>
      <c r="V2024" s="103"/>
      <c r="W2024" s="101"/>
    </row>
    <row r="2025" spans="1:23" x14ac:dyDescent="0.25">
      <c r="A2025" s="98"/>
      <c r="H2025" s="101"/>
      <c r="I2025" s="101"/>
      <c r="J2025" s="101"/>
      <c r="K2025" s="101"/>
      <c r="L2025" s="101"/>
      <c r="M2025" s="101"/>
      <c r="N2025" s="101"/>
      <c r="O2025" s="101"/>
      <c r="P2025" s="101"/>
      <c r="Q2025" s="101"/>
      <c r="R2025" s="101"/>
      <c r="S2025" s="110"/>
      <c r="T2025" s="102"/>
      <c r="U2025" s="101"/>
      <c r="V2025" s="103"/>
      <c r="W2025" s="101"/>
    </row>
    <row r="2026" spans="1:23" x14ac:dyDescent="0.25">
      <c r="A2026" s="98"/>
      <c r="H2026" s="101"/>
      <c r="I2026" s="101"/>
      <c r="J2026" s="101"/>
      <c r="K2026" s="101"/>
      <c r="L2026" s="101"/>
      <c r="M2026" s="101"/>
      <c r="N2026" s="101"/>
      <c r="O2026" s="101"/>
      <c r="P2026" s="101"/>
      <c r="Q2026" s="101"/>
      <c r="R2026" s="101"/>
      <c r="S2026" s="110"/>
      <c r="T2026" s="102"/>
      <c r="U2026" s="101"/>
      <c r="V2026" s="103"/>
      <c r="W2026" s="101"/>
    </row>
    <row r="2027" spans="1:23" x14ac:dyDescent="0.25">
      <c r="A2027" s="98"/>
      <c r="H2027" s="101"/>
      <c r="I2027" s="101"/>
      <c r="J2027" s="101"/>
      <c r="K2027" s="101"/>
      <c r="L2027" s="101"/>
      <c r="M2027" s="101"/>
      <c r="N2027" s="101"/>
      <c r="O2027" s="101"/>
      <c r="P2027" s="101"/>
      <c r="Q2027" s="101"/>
      <c r="R2027" s="101"/>
      <c r="S2027" s="110"/>
      <c r="T2027" s="102"/>
      <c r="U2027" s="101"/>
      <c r="V2027" s="103"/>
      <c r="W2027" s="101"/>
    </row>
    <row r="2028" spans="1:23" x14ac:dyDescent="0.25">
      <c r="A2028" s="98"/>
      <c r="H2028" s="101"/>
      <c r="I2028" s="101"/>
      <c r="J2028" s="101"/>
      <c r="K2028" s="101"/>
      <c r="L2028" s="101"/>
      <c r="M2028" s="101"/>
      <c r="N2028" s="101"/>
      <c r="O2028" s="101"/>
      <c r="P2028" s="101"/>
      <c r="Q2028" s="101"/>
      <c r="R2028" s="101"/>
      <c r="S2028" s="110"/>
      <c r="T2028" s="102"/>
      <c r="U2028" s="101"/>
      <c r="V2028" s="103"/>
      <c r="W2028" s="101"/>
    </row>
    <row r="2029" spans="1:23" x14ac:dyDescent="0.25">
      <c r="A2029" s="98"/>
      <c r="H2029" s="101"/>
      <c r="I2029" s="101"/>
      <c r="J2029" s="101"/>
      <c r="K2029" s="101"/>
      <c r="L2029" s="101"/>
      <c r="M2029" s="101"/>
      <c r="N2029" s="101"/>
      <c r="O2029" s="101"/>
      <c r="P2029" s="101"/>
      <c r="Q2029" s="101"/>
      <c r="R2029" s="101"/>
      <c r="S2029" s="110"/>
      <c r="T2029" s="102"/>
      <c r="U2029" s="101"/>
      <c r="V2029" s="103"/>
      <c r="W2029" s="101"/>
    </row>
    <row r="2030" spans="1:23" x14ac:dyDescent="0.25">
      <c r="A2030" s="98"/>
      <c r="H2030" s="101"/>
      <c r="I2030" s="101"/>
      <c r="J2030" s="101"/>
      <c r="K2030" s="101"/>
      <c r="L2030" s="101"/>
      <c r="M2030" s="101"/>
      <c r="N2030" s="101"/>
      <c r="O2030" s="101"/>
      <c r="P2030" s="101"/>
      <c r="Q2030" s="101"/>
      <c r="R2030" s="101"/>
      <c r="S2030" s="110"/>
      <c r="T2030" s="102"/>
      <c r="U2030" s="101"/>
      <c r="V2030" s="103"/>
      <c r="W2030" s="101"/>
    </row>
    <row r="2031" spans="1:23" x14ac:dyDescent="0.25">
      <c r="A2031" s="98"/>
      <c r="H2031" s="101"/>
      <c r="I2031" s="101"/>
      <c r="J2031" s="101"/>
      <c r="K2031" s="101"/>
      <c r="L2031" s="101"/>
      <c r="M2031" s="101"/>
      <c r="N2031" s="101"/>
      <c r="O2031" s="101"/>
      <c r="P2031" s="101"/>
      <c r="Q2031" s="101"/>
      <c r="R2031" s="101"/>
      <c r="S2031" s="110"/>
      <c r="T2031" s="102"/>
      <c r="U2031" s="101"/>
      <c r="V2031" s="103"/>
      <c r="W2031" s="101"/>
    </row>
    <row r="2032" spans="1:23" x14ac:dyDescent="0.25">
      <c r="A2032" s="98"/>
      <c r="H2032" s="101"/>
      <c r="I2032" s="101"/>
      <c r="J2032" s="101"/>
      <c r="K2032" s="101"/>
      <c r="L2032" s="101"/>
      <c r="M2032" s="101"/>
      <c r="N2032" s="101"/>
      <c r="O2032" s="101"/>
      <c r="P2032" s="101"/>
      <c r="Q2032" s="101"/>
      <c r="R2032" s="101"/>
      <c r="S2032" s="110"/>
      <c r="T2032" s="102"/>
      <c r="U2032" s="101"/>
      <c r="V2032" s="103"/>
      <c r="W2032" s="101"/>
    </row>
    <row r="2033" spans="1:23" x14ac:dyDescent="0.25">
      <c r="A2033" s="98"/>
      <c r="H2033" s="101"/>
      <c r="I2033" s="101"/>
      <c r="J2033" s="101"/>
      <c r="K2033" s="101"/>
      <c r="L2033" s="101"/>
      <c r="M2033" s="101"/>
      <c r="N2033" s="101"/>
      <c r="O2033" s="101"/>
      <c r="P2033" s="101"/>
      <c r="Q2033" s="101"/>
      <c r="R2033" s="101"/>
      <c r="S2033" s="110"/>
      <c r="T2033" s="102"/>
      <c r="U2033" s="101"/>
      <c r="V2033" s="103"/>
      <c r="W2033" s="101"/>
    </row>
    <row r="2034" spans="1:23" x14ac:dyDescent="0.25">
      <c r="A2034" s="98"/>
      <c r="H2034" s="101"/>
      <c r="I2034" s="101"/>
      <c r="J2034" s="101"/>
      <c r="K2034" s="101"/>
      <c r="L2034" s="101"/>
      <c r="M2034" s="101"/>
      <c r="N2034" s="101"/>
      <c r="O2034" s="101"/>
      <c r="P2034" s="101"/>
      <c r="Q2034" s="101"/>
      <c r="R2034" s="101"/>
      <c r="S2034" s="110"/>
      <c r="T2034" s="102"/>
      <c r="U2034" s="101"/>
      <c r="V2034" s="103"/>
      <c r="W2034" s="101"/>
    </row>
    <row r="2035" spans="1:23" x14ac:dyDescent="0.25">
      <c r="A2035" s="98"/>
      <c r="H2035" s="101"/>
      <c r="I2035" s="101"/>
      <c r="J2035" s="101"/>
      <c r="K2035" s="101"/>
      <c r="L2035" s="101"/>
      <c r="M2035" s="101"/>
      <c r="N2035" s="101"/>
      <c r="O2035" s="101"/>
      <c r="P2035" s="101"/>
      <c r="Q2035" s="101"/>
      <c r="R2035" s="101"/>
      <c r="S2035" s="110"/>
      <c r="T2035" s="102"/>
      <c r="U2035" s="101"/>
      <c r="V2035" s="103"/>
      <c r="W2035" s="101"/>
    </row>
    <row r="2036" spans="1:23" x14ac:dyDescent="0.25">
      <c r="A2036" s="98"/>
      <c r="H2036" s="101"/>
      <c r="I2036" s="101"/>
      <c r="J2036" s="101"/>
      <c r="K2036" s="101"/>
      <c r="L2036" s="101"/>
      <c r="M2036" s="101"/>
      <c r="N2036" s="101"/>
      <c r="O2036" s="101"/>
      <c r="P2036" s="101"/>
      <c r="Q2036" s="101"/>
      <c r="R2036" s="101"/>
      <c r="S2036" s="110"/>
      <c r="T2036" s="102"/>
      <c r="U2036" s="101"/>
      <c r="V2036" s="103"/>
      <c r="W2036" s="101"/>
    </row>
    <row r="2037" spans="1:23" x14ac:dyDescent="0.25">
      <c r="A2037" s="98"/>
      <c r="H2037" s="101"/>
      <c r="I2037" s="101"/>
      <c r="J2037" s="101"/>
      <c r="K2037" s="101"/>
      <c r="L2037" s="101"/>
      <c r="M2037" s="101"/>
      <c r="N2037" s="101"/>
      <c r="O2037" s="101"/>
      <c r="P2037" s="101"/>
      <c r="Q2037" s="101"/>
      <c r="R2037" s="101"/>
      <c r="S2037" s="110"/>
      <c r="T2037" s="102"/>
      <c r="U2037" s="101"/>
      <c r="V2037" s="103"/>
      <c r="W2037" s="101"/>
    </row>
    <row r="2038" spans="1:23" x14ac:dyDescent="0.25">
      <c r="A2038" s="98"/>
      <c r="H2038" s="101"/>
      <c r="I2038" s="101"/>
      <c r="J2038" s="101"/>
      <c r="K2038" s="101"/>
      <c r="L2038" s="101"/>
      <c r="M2038" s="101"/>
      <c r="N2038" s="101"/>
      <c r="O2038" s="101"/>
      <c r="P2038" s="101"/>
      <c r="Q2038" s="101"/>
      <c r="R2038" s="101"/>
      <c r="S2038" s="110"/>
      <c r="T2038" s="102"/>
      <c r="U2038" s="101"/>
      <c r="V2038" s="103"/>
      <c r="W2038" s="101"/>
    </row>
    <row r="2039" spans="1:23" x14ac:dyDescent="0.25">
      <c r="A2039" s="98"/>
      <c r="H2039" s="101"/>
      <c r="I2039" s="101"/>
      <c r="J2039" s="101"/>
      <c r="K2039" s="101"/>
      <c r="L2039" s="101"/>
      <c r="M2039" s="101"/>
      <c r="N2039" s="101"/>
      <c r="O2039" s="101"/>
      <c r="P2039" s="101"/>
      <c r="Q2039" s="101"/>
      <c r="R2039" s="101"/>
      <c r="S2039" s="110"/>
      <c r="T2039" s="102"/>
      <c r="U2039" s="101"/>
      <c r="V2039" s="103"/>
      <c r="W2039" s="101"/>
    </row>
    <row r="2040" spans="1:23" x14ac:dyDescent="0.25">
      <c r="A2040" s="98"/>
      <c r="H2040" s="101"/>
      <c r="I2040" s="101"/>
      <c r="J2040" s="101"/>
      <c r="K2040" s="101"/>
      <c r="L2040" s="101"/>
      <c r="M2040" s="101"/>
      <c r="N2040" s="101"/>
      <c r="O2040" s="101"/>
      <c r="P2040" s="101"/>
      <c r="Q2040" s="101"/>
      <c r="R2040" s="101"/>
      <c r="S2040" s="110"/>
      <c r="T2040" s="102"/>
      <c r="U2040" s="101"/>
      <c r="V2040" s="103"/>
      <c r="W2040" s="101"/>
    </row>
    <row r="2041" spans="1:23" x14ac:dyDescent="0.25">
      <c r="A2041" s="98"/>
      <c r="H2041" s="101"/>
      <c r="I2041" s="101"/>
      <c r="J2041" s="101"/>
      <c r="K2041" s="101"/>
      <c r="L2041" s="101"/>
      <c r="M2041" s="101"/>
      <c r="N2041" s="101"/>
      <c r="O2041" s="101"/>
      <c r="P2041" s="101"/>
      <c r="Q2041" s="101"/>
      <c r="R2041" s="101"/>
      <c r="S2041" s="110"/>
      <c r="T2041" s="102"/>
      <c r="U2041" s="101"/>
      <c r="V2041" s="103"/>
      <c r="W2041" s="101"/>
    </row>
    <row r="2042" spans="1:23" x14ac:dyDescent="0.25">
      <c r="A2042" s="98"/>
      <c r="H2042" s="101"/>
      <c r="I2042" s="101"/>
      <c r="J2042" s="101"/>
      <c r="K2042" s="101"/>
      <c r="L2042" s="101"/>
      <c r="M2042" s="101"/>
      <c r="N2042" s="101"/>
      <c r="O2042" s="101"/>
      <c r="P2042" s="101"/>
      <c r="Q2042" s="101"/>
      <c r="R2042" s="101"/>
      <c r="S2042" s="110"/>
      <c r="T2042" s="102"/>
      <c r="U2042" s="101"/>
      <c r="V2042" s="103"/>
      <c r="W2042" s="101"/>
    </row>
    <row r="2043" spans="1:23" x14ac:dyDescent="0.25">
      <c r="A2043" s="98"/>
      <c r="H2043" s="101"/>
      <c r="I2043" s="101"/>
      <c r="J2043" s="101"/>
      <c r="K2043" s="101"/>
      <c r="L2043" s="101"/>
      <c r="M2043" s="101"/>
      <c r="N2043" s="101"/>
      <c r="O2043" s="101"/>
      <c r="P2043" s="101"/>
      <c r="Q2043" s="101"/>
      <c r="R2043" s="101"/>
      <c r="S2043" s="110"/>
      <c r="T2043" s="102"/>
      <c r="U2043" s="101"/>
      <c r="V2043" s="103"/>
      <c r="W2043" s="101"/>
    </row>
    <row r="2044" spans="1:23" x14ac:dyDescent="0.25">
      <c r="A2044" s="98"/>
      <c r="H2044" s="101"/>
      <c r="I2044" s="101"/>
      <c r="J2044" s="101"/>
      <c r="K2044" s="101"/>
      <c r="L2044" s="101"/>
      <c r="M2044" s="101"/>
      <c r="N2044" s="101"/>
      <c r="O2044" s="101"/>
      <c r="P2044" s="101"/>
      <c r="Q2044" s="101"/>
      <c r="R2044" s="101"/>
      <c r="S2044" s="110"/>
      <c r="T2044" s="102"/>
      <c r="U2044" s="101"/>
      <c r="V2044" s="103"/>
      <c r="W2044" s="101"/>
    </row>
    <row r="2045" spans="1:23" x14ac:dyDescent="0.25">
      <c r="A2045" s="98"/>
      <c r="H2045" s="101"/>
      <c r="I2045" s="101"/>
      <c r="J2045" s="101"/>
      <c r="K2045" s="101"/>
      <c r="L2045" s="101"/>
      <c r="M2045" s="101"/>
      <c r="N2045" s="101"/>
      <c r="O2045" s="101"/>
      <c r="P2045" s="101"/>
      <c r="Q2045" s="101"/>
      <c r="R2045" s="101"/>
      <c r="S2045" s="110"/>
      <c r="T2045" s="102"/>
      <c r="U2045" s="101"/>
      <c r="V2045" s="103"/>
      <c r="W2045" s="101"/>
    </row>
    <row r="2046" spans="1:23" x14ac:dyDescent="0.25">
      <c r="A2046" s="98"/>
      <c r="H2046" s="101"/>
      <c r="I2046" s="101"/>
      <c r="J2046" s="101"/>
      <c r="K2046" s="101"/>
      <c r="L2046" s="101"/>
      <c r="M2046" s="101"/>
      <c r="N2046" s="101"/>
      <c r="O2046" s="101"/>
      <c r="P2046" s="101"/>
      <c r="Q2046" s="101"/>
      <c r="R2046" s="101"/>
      <c r="S2046" s="110"/>
      <c r="T2046" s="102"/>
      <c r="U2046" s="101"/>
      <c r="V2046" s="103"/>
      <c r="W2046" s="101"/>
    </row>
    <row r="2047" spans="1:23" x14ac:dyDescent="0.25">
      <c r="A2047" s="98"/>
      <c r="H2047" s="101"/>
      <c r="I2047" s="101"/>
      <c r="J2047" s="101"/>
      <c r="K2047" s="101"/>
      <c r="L2047" s="101"/>
      <c r="M2047" s="101"/>
      <c r="N2047" s="101"/>
      <c r="O2047" s="101"/>
      <c r="P2047" s="101"/>
      <c r="Q2047" s="101"/>
      <c r="R2047" s="101"/>
      <c r="S2047" s="110"/>
      <c r="T2047" s="102"/>
      <c r="U2047" s="101"/>
      <c r="V2047" s="103"/>
      <c r="W2047" s="101"/>
    </row>
    <row r="2048" spans="1:23" x14ac:dyDescent="0.25">
      <c r="A2048" s="98"/>
      <c r="H2048" s="101"/>
      <c r="I2048" s="101"/>
      <c r="J2048" s="101"/>
      <c r="K2048" s="101"/>
      <c r="L2048" s="101"/>
      <c r="M2048" s="101"/>
      <c r="N2048" s="101"/>
      <c r="O2048" s="101"/>
      <c r="P2048" s="101"/>
      <c r="Q2048" s="101"/>
      <c r="R2048" s="101"/>
      <c r="S2048" s="110"/>
      <c r="T2048" s="102"/>
      <c r="U2048" s="101"/>
      <c r="V2048" s="103"/>
      <c r="W2048" s="101"/>
    </row>
    <row r="2049" spans="1:23" x14ac:dyDescent="0.25">
      <c r="A2049" s="98"/>
      <c r="H2049" s="101"/>
      <c r="I2049" s="101"/>
      <c r="J2049" s="101"/>
      <c r="K2049" s="101"/>
      <c r="L2049" s="101"/>
      <c r="M2049" s="101"/>
      <c r="N2049" s="101"/>
      <c r="O2049" s="101"/>
      <c r="P2049" s="101"/>
      <c r="Q2049" s="101"/>
      <c r="R2049" s="101"/>
      <c r="S2049" s="110"/>
      <c r="T2049" s="102"/>
      <c r="U2049" s="101"/>
      <c r="V2049" s="103"/>
      <c r="W2049" s="101"/>
    </row>
    <row r="2050" spans="1:23" x14ac:dyDescent="0.25">
      <c r="A2050" s="98"/>
      <c r="H2050" s="101"/>
      <c r="I2050" s="101"/>
      <c r="J2050" s="101"/>
      <c r="K2050" s="101"/>
      <c r="L2050" s="101"/>
      <c r="M2050" s="101"/>
      <c r="N2050" s="101"/>
      <c r="O2050" s="101"/>
      <c r="P2050" s="101"/>
      <c r="Q2050" s="101"/>
      <c r="R2050" s="101"/>
      <c r="S2050" s="110"/>
      <c r="T2050" s="102"/>
      <c r="U2050" s="101"/>
      <c r="V2050" s="103"/>
      <c r="W2050" s="101"/>
    </row>
    <row r="2051" spans="1:23" x14ac:dyDescent="0.25">
      <c r="A2051" s="98"/>
      <c r="H2051" s="101"/>
      <c r="I2051" s="101"/>
      <c r="J2051" s="101"/>
      <c r="K2051" s="101"/>
      <c r="L2051" s="101"/>
      <c r="M2051" s="101"/>
      <c r="N2051" s="101"/>
      <c r="O2051" s="101"/>
      <c r="P2051" s="101"/>
      <c r="Q2051" s="101"/>
      <c r="R2051" s="101"/>
      <c r="S2051" s="110"/>
      <c r="T2051" s="102"/>
      <c r="U2051" s="101"/>
      <c r="V2051" s="103"/>
      <c r="W2051" s="101"/>
    </row>
    <row r="2052" spans="1:23" x14ac:dyDescent="0.25">
      <c r="A2052" s="98"/>
      <c r="H2052" s="101"/>
      <c r="I2052" s="101"/>
      <c r="J2052" s="101"/>
      <c r="K2052" s="101"/>
      <c r="L2052" s="101"/>
      <c r="M2052" s="101"/>
      <c r="N2052" s="101"/>
      <c r="O2052" s="101"/>
      <c r="P2052" s="101"/>
      <c r="Q2052" s="101"/>
      <c r="R2052" s="101"/>
      <c r="S2052" s="110"/>
      <c r="T2052" s="102"/>
      <c r="U2052" s="101"/>
      <c r="V2052" s="103"/>
      <c r="W2052" s="101"/>
    </row>
    <row r="2053" spans="1:23" x14ac:dyDescent="0.25">
      <c r="A2053" s="98"/>
      <c r="H2053" s="101"/>
      <c r="I2053" s="101"/>
      <c r="J2053" s="101"/>
      <c r="K2053" s="101"/>
      <c r="L2053" s="101"/>
      <c r="M2053" s="101"/>
      <c r="N2053" s="101"/>
      <c r="O2053" s="101"/>
      <c r="P2053" s="101"/>
      <c r="Q2053" s="101"/>
      <c r="R2053" s="101"/>
      <c r="S2053" s="110"/>
      <c r="T2053" s="102"/>
      <c r="U2053" s="101"/>
      <c r="V2053" s="103"/>
      <c r="W2053" s="101"/>
    </row>
    <row r="2054" spans="1:23" x14ac:dyDescent="0.25">
      <c r="A2054" s="98"/>
      <c r="H2054" s="101"/>
      <c r="I2054" s="101"/>
      <c r="J2054" s="101"/>
      <c r="K2054" s="101"/>
      <c r="L2054" s="101"/>
      <c r="M2054" s="101"/>
      <c r="N2054" s="101"/>
      <c r="O2054" s="101"/>
      <c r="P2054" s="101"/>
      <c r="Q2054" s="101"/>
      <c r="R2054" s="101"/>
      <c r="S2054" s="110"/>
      <c r="T2054" s="102"/>
      <c r="U2054" s="101"/>
      <c r="V2054" s="103"/>
      <c r="W2054" s="101"/>
    </row>
    <row r="2055" spans="1:23" x14ac:dyDescent="0.25">
      <c r="A2055" s="98"/>
      <c r="H2055" s="101"/>
      <c r="I2055" s="101"/>
      <c r="J2055" s="101"/>
      <c r="K2055" s="101"/>
      <c r="L2055" s="101"/>
      <c r="M2055" s="101"/>
      <c r="N2055" s="101"/>
      <c r="O2055" s="101"/>
      <c r="P2055" s="101"/>
      <c r="Q2055" s="101"/>
      <c r="R2055" s="101"/>
      <c r="S2055" s="110"/>
      <c r="T2055" s="102"/>
      <c r="U2055" s="101"/>
      <c r="V2055" s="103"/>
      <c r="W2055" s="101"/>
    </row>
    <row r="2056" spans="1:23" x14ac:dyDescent="0.25">
      <c r="A2056" s="98"/>
      <c r="H2056" s="101"/>
      <c r="I2056" s="101"/>
      <c r="J2056" s="101"/>
      <c r="K2056" s="101"/>
      <c r="L2056" s="101"/>
      <c r="M2056" s="101"/>
      <c r="N2056" s="101"/>
      <c r="O2056" s="101"/>
      <c r="P2056" s="101"/>
      <c r="Q2056" s="101"/>
      <c r="R2056" s="101"/>
      <c r="S2056" s="110"/>
      <c r="T2056" s="102"/>
      <c r="U2056" s="101"/>
      <c r="V2056" s="103"/>
      <c r="W2056" s="101"/>
    </row>
    <row r="2057" spans="1:23" x14ac:dyDescent="0.25">
      <c r="A2057" s="98"/>
      <c r="H2057" s="101"/>
      <c r="I2057" s="101"/>
      <c r="J2057" s="101"/>
      <c r="K2057" s="101"/>
      <c r="L2057" s="101"/>
      <c r="M2057" s="101"/>
      <c r="N2057" s="101"/>
      <c r="O2057" s="101"/>
      <c r="P2057" s="101"/>
      <c r="Q2057" s="101"/>
      <c r="R2057" s="101"/>
      <c r="S2057" s="110"/>
      <c r="T2057" s="102"/>
      <c r="U2057" s="101"/>
      <c r="V2057" s="103"/>
      <c r="W2057" s="101"/>
    </row>
    <row r="2058" spans="1:23" x14ac:dyDescent="0.25">
      <c r="A2058" s="98"/>
      <c r="H2058" s="101"/>
      <c r="I2058" s="101"/>
      <c r="J2058" s="101"/>
      <c r="K2058" s="101"/>
      <c r="L2058" s="101"/>
      <c r="M2058" s="101"/>
      <c r="N2058" s="101"/>
      <c r="O2058" s="101"/>
      <c r="P2058" s="101"/>
      <c r="Q2058" s="101"/>
      <c r="R2058" s="101"/>
      <c r="S2058" s="110"/>
      <c r="T2058" s="102"/>
      <c r="U2058" s="101"/>
      <c r="V2058" s="103"/>
      <c r="W2058" s="101"/>
    </row>
    <row r="2059" spans="1:23" x14ac:dyDescent="0.25">
      <c r="A2059" s="98"/>
      <c r="H2059" s="101"/>
      <c r="I2059" s="101"/>
      <c r="J2059" s="101"/>
      <c r="K2059" s="101"/>
      <c r="L2059" s="101"/>
      <c r="M2059" s="101"/>
      <c r="N2059" s="101"/>
      <c r="O2059" s="101"/>
      <c r="P2059" s="101"/>
      <c r="Q2059" s="101"/>
      <c r="R2059" s="101"/>
      <c r="S2059" s="110"/>
      <c r="T2059" s="102"/>
      <c r="U2059" s="101"/>
      <c r="V2059" s="103"/>
      <c r="W2059" s="101"/>
    </row>
    <row r="2060" spans="1:23" x14ac:dyDescent="0.25">
      <c r="A2060" s="98"/>
      <c r="H2060" s="101"/>
      <c r="I2060" s="101"/>
      <c r="J2060" s="101"/>
      <c r="K2060" s="101"/>
      <c r="L2060" s="101"/>
      <c r="M2060" s="101"/>
      <c r="N2060" s="101"/>
      <c r="O2060" s="101"/>
      <c r="P2060" s="101"/>
      <c r="Q2060" s="101"/>
      <c r="R2060" s="101"/>
      <c r="S2060" s="110"/>
      <c r="T2060" s="102"/>
      <c r="U2060" s="101"/>
      <c r="V2060" s="103"/>
      <c r="W2060" s="101"/>
    </row>
    <row r="2061" spans="1:23" x14ac:dyDescent="0.25">
      <c r="A2061" s="98"/>
      <c r="H2061" s="101"/>
      <c r="I2061" s="101"/>
      <c r="J2061" s="101"/>
      <c r="K2061" s="101"/>
      <c r="L2061" s="101"/>
      <c r="M2061" s="101"/>
      <c r="N2061" s="101"/>
      <c r="O2061" s="101"/>
      <c r="P2061" s="101"/>
      <c r="Q2061" s="101"/>
      <c r="R2061" s="101"/>
      <c r="S2061" s="110"/>
      <c r="T2061" s="102"/>
      <c r="U2061" s="101"/>
      <c r="V2061" s="103"/>
      <c r="W2061" s="101"/>
    </row>
    <row r="2062" spans="1:23" x14ac:dyDescent="0.25">
      <c r="A2062" s="98"/>
      <c r="H2062" s="101"/>
      <c r="I2062" s="101"/>
      <c r="J2062" s="101"/>
      <c r="K2062" s="101"/>
      <c r="L2062" s="101"/>
      <c r="M2062" s="101"/>
      <c r="N2062" s="101"/>
      <c r="O2062" s="101"/>
      <c r="P2062" s="101"/>
      <c r="Q2062" s="101"/>
      <c r="R2062" s="101"/>
      <c r="S2062" s="110"/>
      <c r="T2062" s="102"/>
      <c r="U2062" s="101"/>
      <c r="V2062" s="103"/>
      <c r="W2062" s="101"/>
    </row>
    <row r="2063" spans="1:23" x14ac:dyDescent="0.25">
      <c r="A2063" s="98"/>
      <c r="H2063" s="101"/>
      <c r="I2063" s="101"/>
      <c r="J2063" s="101"/>
      <c r="K2063" s="101"/>
      <c r="L2063" s="101"/>
      <c r="M2063" s="101"/>
      <c r="N2063" s="101"/>
      <c r="O2063" s="101"/>
      <c r="P2063" s="101"/>
      <c r="Q2063" s="101"/>
      <c r="R2063" s="101"/>
      <c r="S2063" s="110"/>
      <c r="T2063" s="102"/>
      <c r="U2063" s="101"/>
      <c r="V2063" s="103"/>
      <c r="W2063" s="101"/>
    </row>
    <row r="2064" spans="1:23" x14ac:dyDescent="0.25">
      <c r="A2064" s="98"/>
      <c r="H2064" s="101"/>
      <c r="I2064" s="101"/>
      <c r="J2064" s="101"/>
      <c r="K2064" s="101"/>
      <c r="L2064" s="101"/>
      <c r="M2064" s="101"/>
      <c r="N2064" s="101"/>
      <c r="O2064" s="101"/>
      <c r="P2064" s="101"/>
      <c r="Q2064" s="101"/>
      <c r="R2064" s="101"/>
      <c r="S2064" s="110"/>
      <c r="T2064" s="102"/>
      <c r="U2064" s="101"/>
      <c r="V2064" s="103"/>
      <c r="W2064" s="101"/>
    </row>
    <row r="2065" spans="1:23" x14ac:dyDescent="0.25">
      <c r="A2065" s="98"/>
      <c r="H2065" s="101"/>
      <c r="I2065" s="101"/>
      <c r="J2065" s="101"/>
      <c r="K2065" s="101"/>
      <c r="L2065" s="101"/>
      <c r="M2065" s="101"/>
      <c r="N2065" s="101"/>
      <c r="O2065" s="101"/>
      <c r="P2065" s="101"/>
      <c r="Q2065" s="101"/>
      <c r="R2065" s="101"/>
      <c r="S2065" s="110"/>
      <c r="T2065" s="102"/>
      <c r="U2065" s="101"/>
      <c r="V2065" s="103"/>
      <c r="W2065" s="101"/>
    </row>
    <row r="2066" spans="1:23" x14ac:dyDescent="0.25">
      <c r="A2066" s="98"/>
      <c r="H2066" s="101"/>
      <c r="I2066" s="101"/>
      <c r="J2066" s="101"/>
      <c r="K2066" s="101"/>
      <c r="L2066" s="101"/>
      <c r="M2066" s="101"/>
      <c r="N2066" s="101"/>
      <c r="O2066" s="101"/>
      <c r="P2066" s="101"/>
      <c r="Q2066" s="101"/>
      <c r="R2066" s="101"/>
      <c r="S2066" s="110"/>
      <c r="T2066" s="102"/>
      <c r="U2066" s="101"/>
      <c r="V2066" s="103"/>
      <c r="W2066" s="101"/>
    </row>
    <row r="2067" spans="1:23" x14ac:dyDescent="0.25">
      <c r="A2067" s="98"/>
      <c r="H2067" s="101"/>
      <c r="I2067" s="101"/>
      <c r="J2067" s="101"/>
      <c r="K2067" s="101"/>
      <c r="L2067" s="101"/>
      <c r="M2067" s="101"/>
      <c r="N2067" s="101"/>
      <c r="O2067" s="101"/>
      <c r="P2067" s="101"/>
      <c r="Q2067" s="101"/>
      <c r="R2067" s="101"/>
      <c r="S2067" s="110"/>
      <c r="T2067" s="102"/>
      <c r="U2067" s="101"/>
      <c r="V2067" s="103"/>
      <c r="W2067" s="101"/>
    </row>
    <row r="2068" spans="1:23" x14ac:dyDescent="0.25">
      <c r="A2068" s="98"/>
      <c r="H2068" s="101"/>
      <c r="I2068" s="101"/>
      <c r="J2068" s="101"/>
      <c r="K2068" s="101"/>
      <c r="L2068" s="101"/>
      <c r="M2068" s="101"/>
      <c r="N2068" s="101"/>
      <c r="O2068" s="101"/>
      <c r="P2068" s="101"/>
      <c r="Q2068" s="101"/>
      <c r="R2068" s="101"/>
      <c r="S2068" s="110"/>
      <c r="T2068" s="102"/>
      <c r="U2068" s="101"/>
      <c r="V2068" s="103"/>
      <c r="W2068" s="101"/>
    </row>
    <row r="2069" spans="1:23" x14ac:dyDescent="0.25">
      <c r="A2069" s="98"/>
      <c r="H2069" s="101"/>
      <c r="I2069" s="101"/>
      <c r="J2069" s="101"/>
      <c r="K2069" s="101"/>
      <c r="L2069" s="101"/>
      <c r="M2069" s="101"/>
      <c r="N2069" s="101"/>
      <c r="O2069" s="101"/>
      <c r="P2069" s="101"/>
      <c r="Q2069" s="101"/>
      <c r="R2069" s="101"/>
      <c r="S2069" s="110"/>
      <c r="T2069" s="102"/>
      <c r="U2069" s="101"/>
      <c r="V2069" s="103"/>
      <c r="W2069" s="101"/>
    </row>
    <row r="2070" spans="1:23" x14ac:dyDescent="0.25">
      <c r="A2070" s="98"/>
      <c r="H2070" s="101"/>
      <c r="I2070" s="101"/>
      <c r="J2070" s="101"/>
      <c r="K2070" s="101"/>
      <c r="L2070" s="101"/>
      <c r="M2070" s="101"/>
      <c r="N2070" s="101"/>
      <c r="O2070" s="101"/>
      <c r="P2070" s="101"/>
      <c r="Q2070" s="101"/>
      <c r="R2070" s="101"/>
      <c r="S2070" s="110"/>
      <c r="T2070" s="102"/>
      <c r="U2070" s="101"/>
      <c r="V2070" s="103"/>
      <c r="W2070" s="101"/>
    </row>
    <row r="2071" spans="1:23" x14ac:dyDescent="0.25">
      <c r="A2071" s="98"/>
      <c r="H2071" s="101"/>
      <c r="I2071" s="101"/>
      <c r="J2071" s="101"/>
      <c r="K2071" s="101"/>
      <c r="L2071" s="101"/>
      <c r="M2071" s="101"/>
      <c r="N2071" s="101"/>
      <c r="O2071" s="101"/>
      <c r="P2071" s="101"/>
      <c r="Q2071" s="101"/>
      <c r="R2071" s="101"/>
      <c r="S2071" s="110"/>
      <c r="T2071" s="102"/>
      <c r="U2071" s="101"/>
      <c r="V2071" s="103"/>
      <c r="W2071" s="101"/>
    </row>
    <row r="2072" spans="1:23" x14ac:dyDescent="0.25">
      <c r="A2072" s="98"/>
      <c r="H2072" s="101"/>
      <c r="I2072" s="101"/>
      <c r="J2072" s="101"/>
      <c r="K2072" s="101"/>
      <c r="L2072" s="101"/>
      <c r="M2072" s="101"/>
      <c r="N2072" s="101"/>
      <c r="O2072" s="101"/>
      <c r="P2072" s="101"/>
      <c r="Q2072" s="101"/>
      <c r="R2072" s="101"/>
      <c r="S2072" s="110"/>
      <c r="T2072" s="102"/>
      <c r="U2072" s="101"/>
      <c r="V2072" s="103"/>
      <c r="W2072" s="101"/>
    </row>
    <row r="2073" spans="1:23" x14ac:dyDescent="0.25">
      <c r="A2073" s="98"/>
      <c r="H2073" s="101"/>
      <c r="I2073" s="101"/>
      <c r="J2073" s="101"/>
      <c r="K2073" s="101"/>
      <c r="L2073" s="101"/>
      <c r="M2073" s="101"/>
      <c r="N2073" s="101"/>
      <c r="O2073" s="101"/>
      <c r="P2073" s="101"/>
      <c r="Q2073" s="101"/>
      <c r="R2073" s="101"/>
      <c r="S2073" s="110"/>
      <c r="T2073" s="102"/>
      <c r="U2073" s="101"/>
      <c r="V2073" s="103"/>
      <c r="W2073" s="101"/>
    </row>
    <row r="2074" spans="1:23" x14ac:dyDescent="0.25">
      <c r="A2074" s="98"/>
      <c r="H2074" s="101"/>
      <c r="I2074" s="101"/>
      <c r="J2074" s="101"/>
      <c r="K2074" s="101"/>
      <c r="L2074" s="101"/>
      <c r="M2074" s="101"/>
      <c r="N2074" s="101"/>
      <c r="O2074" s="101"/>
      <c r="P2074" s="101"/>
      <c r="Q2074" s="101"/>
      <c r="R2074" s="101"/>
      <c r="S2074" s="110"/>
      <c r="T2074" s="102"/>
      <c r="U2074" s="101"/>
      <c r="V2074" s="103"/>
      <c r="W2074" s="101"/>
    </row>
    <row r="2075" spans="1:23" x14ac:dyDescent="0.25">
      <c r="A2075" s="98"/>
      <c r="H2075" s="101"/>
      <c r="I2075" s="101"/>
      <c r="J2075" s="101"/>
      <c r="K2075" s="101"/>
      <c r="L2075" s="101"/>
      <c r="M2075" s="101"/>
      <c r="N2075" s="101"/>
      <c r="O2075" s="101"/>
      <c r="P2075" s="101"/>
      <c r="Q2075" s="101"/>
      <c r="R2075" s="101"/>
      <c r="S2075" s="110"/>
      <c r="T2075" s="102"/>
      <c r="U2075" s="101"/>
      <c r="V2075" s="103"/>
      <c r="W2075" s="101"/>
    </row>
    <row r="2076" spans="1:23" x14ac:dyDescent="0.25">
      <c r="A2076" s="98"/>
      <c r="H2076" s="101"/>
      <c r="I2076" s="101"/>
      <c r="J2076" s="101"/>
      <c r="K2076" s="101"/>
      <c r="L2076" s="101"/>
      <c r="M2076" s="101"/>
      <c r="N2076" s="101"/>
      <c r="O2076" s="101"/>
      <c r="P2076" s="101"/>
      <c r="Q2076" s="101"/>
      <c r="R2076" s="101"/>
      <c r="S2076" s="110"/>
      <c r="T2076" s="102"/>
      <c r="U2076" s="101"/>
      <c r="V2076" s="103"/>
      <c r="W2076" s="101"/>
    </row>
    <row r="2077" spans="1:23" x14ac:dyDescent="0.25">
      <c r="A2077" s="98"/>
      <c r="H2077" s="101"/>
      <c r="I2077" s="101"/>
      <c r="J2077" s="101"/>
      <c r="K2077" s="101"/>
      <c r="L2077" s="101"/>
      <c r="M2077" s="101"/>
      <c r="N2077" s="101"/>
      <c r="O2077" s="101"/>
      <c r="P2077" s="101"/>
      <c r="Q2077" s="101"/>
      <c r="R2077" s="101"/>
      <c r="S2077" s="110"/>
      <c r="T2077" s="102"/>
      <c r="U2077" s="101"/>
      <c r="V2077" s="103"/>
      <c r="W2077" s="101"/>
    </row>
    <row r="2078" spans="1:23" x14ac:dyDescent="0.25">
      <c r="A2078" s="98"/>
      <c r="H2078" s="101"/>
      <c r="I2078" s="101"/>
      <c r="J2078" s="101"/>
      <c r="K2078" s="101"/>
      <c r="L2078" s="101"/>
      <c r="M2078" s="101"/>
      <c r="N2078" s="101"/>
      <c r="O2078" s="101"/>
      <c r="P2078" s="101"/>
      <c r="Q2078" s="101"/>
      <c r="R2078" s="101"/>
      <c r="S2078" s="110"/>
      <c r="T2078" s="102"/>
      <c r="U2078" s="101"/>
      <c r="V2078" s="103"/>
      <c r="W2078" s="101"/>
    </row>
    <row r="2079" spans="1:23" x14ac:dyDescent="0.25">
      <c r="A2079" s="98"/>
      <c r="H2079" s="101"/>
      <c r="I2079" s="101"/>
      <c r="J2079" s="101"/>
      <c r="K2079" s="101"/>
      <c r="L2079" s="101"/>
      <c r="M2079" s="101"/>
      <c r="N2079" s="101"/>
      <c r="O2079" s="101"/>
      <c r="P2079" s="101"/>
      <c r="Q2079" s="101"/>
      <c r="R2079" s="101"/>
      <c r="S2079" s="110"/>
      <c r="T2079" s="102"/>
      <c r="U2079" s="101"/>
      <c r="V2079" s="103"/>
      <c r="W2079" s="101"/>
    </row>
    <row r="2080" spans="1:23" x14ac:dyDescent="0.25">
      <c r="A2080" s="98"/>
      <c r="H2080" s="101"/>
      <c r="I2080" s="101"/>
      <c r="J2080" s="101"/>
      <c r="K2080" s="101"/>
      <c r="L2080" s="101"/>
      <c r="M2080" s="101"/>
      <c r="N2080" s="101"/>
      <c r="O2080" s="101"/>
      <c r="P2080" s="101"/>
      <c r="Q2080" s="101"/>
      <c r="R2080" s="101"/>
      <c r="S2080" s="110"/>
      <c r="T2080" s="102"/>
      <c r="U2080" s="101"/>
      <c r="V2080" s="103"/>
      <c r="W2080" s="101"/>
    </row>
    <row r="2081" spans="1:23" x14ac:dyDescent="0.25">
      <c r="A2081" s="98"/>
      <c r="H2081" s="101"/>
      <c r="I2081" s="101"/>
      <c r="J2081" s="101"/>
      <c r="K2081" s="101"/>
      <c r="L2081" s="101"/>
      <c r="M2081" s="101"/>
      <c r="N2081" s="101"/>
      <c r="O2081" s="101"/>
      <c r="P2081" s="101"/>
      <c r="Q2081" s="101"/>
      <c r="R2081" s="101"/>
      <c r="S2081" s="110"/>
      <c r="T2081" s="102"/>
      <c r="U2081" s="101"/>
      <c r="V2081" s="103"/>
      <c r="W2081" s="101"/>
    </row>
    <row r="2082" spans="1:23" x14ac:dyDescent="0.25">
      <c r="A2082" s="98"/>
      <c r="H2082" s="101"/>
      <c r="I2082" s="101"/>
      <c r="J2082" s="101"/>
      <c r="K2082" s="101"/>
      <c r="L2082" s="101"/>
      <c r="M2082" s="101"/>
      <c r="N2082" s="101"/>
      <c r="O2082" s="101"/>
      <c r="P2082" s="101"/>
      <c r="Q2082" s="101"/>
      <c r="R2082" s="101"/>
      <c r="S2082" s="110"/>
      <c r="T2082" s="102"/>
      <c r="U2082" s="101"/>
      <c r="V2082" s="103"/>
      <c r="W2082" s="101"/>
    </row>
    <row r="2083" spans="1:23" x14ac:dyDescent="0.25">
      <c r="A2083" s="98"/>
      <c r="H2083" s="101"/>
      <c r="I2083" s="101"/>
      <c r="J2083" s="101"/>
      <c r="K2083" s="101"/>
      <c r="L2083" s="101"/>
      <c r="M2083" s="101"/>
      <c r="N2083" s="101"/>
      <c r="O2083" s="101"/>
      <c r="P2083" s="101"/>
      <c r="Q2083" s="101"/>
      <c r="R2083" s="101"/>
      <c r="S2083" s="110"/>
      <c r="T2083" s="102"/>
      <c r="U2083" s="101"/>
      <c r="V2083" s="103"/>
      <c r="W2083" s="101"/>
    </row>
    <row r="2084" spans="1:23" x14ac:dyDescent="0.25">
      <c r="A2084" s="98"/>
      <c r="H2084" s="101"/>
      <c r="I2084" s="101"/>
      <c r="J2084" s="101"/>
      <c r="K2084" s="101"/>
      <c r="L2084" s="101"/>
      <c r="M2084" s="101"/>
      <c r="N2084" s="101"/>
      <c r="O2084" s="101"/>
      <c r="P2084" s="101"/>
      <c r="Q2084" s="101"/>
      <c r="R2084" s="101"/>
      <c r="S2084" s="110"/>
      <c r="T2084" s="102"/>
      <c r="U2084" s="101"/>
      <c r="V2084" s="103"/>
      <c r="W2084" s="101"/>
    </row>
    <row r="2085" spans="1:23" x14ac:dyDescent="0.25">
      <c r="A2085" s="98"/>
      <c r="H2085" s="101"/>
      <c r="I2085" s="101"/>
      <c r="J2085" s="101"/>
      <c r="K2085" s="101"/>
      <c r="L2085" s="101"/>
      <c r="M2085" s="101"/>
      <c r="N2085" s="101"/>
      <c r="O2085" s="101"/>
      <c r="P2085" s="101"/>
      <c r="Q2085" s="101"/>
      <c r="R2085" s="101"/>
      <c r="S2085" s="110"/>
      <c r="T2085" s="102"/>
      <c r="U2085" s="101"/>
      <c r="V2085" s="103"/>
      <c r="W2085" s="101"/>
    </row>
    <row r="2086" spans="1:23" x14ac:dyDescent="0.25">
      <c r="A2086" s="98"/>
      <c r="H2086" s="101"/>
      <c r="I2086" s="101"/>
      <c r="J2086" s="101"/>
      <c r="K2086" s="101"/>
      <c r="L2086" s="101"/>
      <c r="M2086" s="101"/>
      <c r="N2086" s="101"/>
      <c r="O2086" s="101"/>
      <c r="P2086" s="101"/>
      <c r="Q2086" s="101"/>
      <c r="R2086" s="101"/>
      <c r="S2086" s="110"/>
      <c r="T2086" s="102"/>
      <c r="U2086" s="101"/>
      <c r="V2086" s="103"/>
      <c r="W2086" s="101"/>
    </row>
    <row r="2087" spans="1:23" x14ac:dyDescent="0.25">
      <c r="A2087" s="98"/>
      <c r="H2087" s="101"/>
      <c r="I2087" s="101"/>
      <c r="J2087" s="101"/>
      <c r="K2087" s="101"/>
      <c r="L2087" s="101"/>
      <c r="M2087" s="101"/>
      <c r="N2087" s="101"/>
      <c r="O2087" s="101"/>
      <c r="P2087" s="101"/>
      <c r="Q2087" s="101"/>
      <c r="R2087" s="101"/>
      <c r="S2087" s="110"/>
      <c r="T2087" s="102"/>
      <c r="U2087" s="101"/>
      <c r="V2087" s="103"/>
      <c r="W2087" s="101"/>
    </row>
    <row r="2088" spans="1:23" x14ac:dyDescent="0.25">
      <c r="A2088" s="98"/>
      <c r="H2088" s="101"/>
      <c r="I2088" s="101"/>
      <c r="J2088" s="101"/>
      <c r="K2088" s="101"/>
      <c r="L2088" s="101"/>
      <c r="M2088" s="101"/>
      <c r="N2088" s="101"/>
      <c r="O2088" s="101"/>
      <c r="P2088" s="101"/>
      <c r="Q2088" s="101"/>
      <c r="R2088" s="101"/>
      <c r="S2088" s="110"/>
      <c r="T2088" s="102"/>
      <c r="U2088" s="101"/>
      <c r="V2088" s="103"/>
      <c r="W2088" s="101"/>
    </row>
    <row r="2089" spans="1:23" x14ac:dyDescent="0.25">
      <c r="A2089" s="98"/>
      <c r="H2089" s="101"/>
      <c r="I2089" s="101"/>
      <c r="J2089" s="101"/>
      <c r="K2089" s="101"/>
      <c r="L2089" s="101"/>
      <c r="M2089" s="101"/>
      <c r="N2089" s="101"/>
      <c r="O2089" s="101"/>
      <c r="P2089" s="101"/>
      <c r="Q2089" s="101"/>
      <c r="R2089" s="101"/>
      <c r="S2089" s="110"/>
      <c r="T2089" s="102"/>
      <c r="U2089" s="101"/>
      <c r="V2089" s="103"/>
      <c r="W2089" s="101"/>
    </row>
    <row r="2090" spans="1:23" x14ac:dyDescent="0.25">
      <c r="A2090" s="98"/>
      <c r="H2090" s="101"/>
      <c r="I2090" s="101"/>
      <c r="J2090" s="101"/>
      <c r="K2090" s="101"/>
      <c r="L2090" s="101"/>
      <c r="M2090" s="101"/>
      <c r="N2090" s="101"/>
      <c r="O2090" s="101"/>
      <c r="P2090" s="101"/>
      <c r="Q2090" s="101"/>
      <c r="R2090" s="101"/>
      <c r="S2090" s="110"/>
      <c r="T2090" s="102"/>
      <c r="U2090" s="101"/>
      <c r="V2090" s="103"/>
      <c r="W2090" s="101"/>
    </row>
    <row r="2091" spans="1:23" x14ac:dyDescent="0.25">
      <c r="A2091" s="98"/>
      <c r="H2091" s="101"/>
      <c r="I2091" s="101"/>
      <c r="J2091" s="101"/>
      <c r="K2091" s="101"/>
      <c r="L2091" s="101"/>
      <c r="M2091" s="101"/>
      <c r="N2091" s="101"/>
      <c r="O2091" s="101"/>
      <c r="P2091" s="101"/>
      <c r="Q2091" s="101"/>
      <c r="R2091" s="101"/>
      <c r="S2091" s="110"/>
      <c r="T2091" s="102"/>
      <c r="U2091" s="101"/>
      <c r="V2091" s="103"/>
      <c r="W2091" s="101"/>
    </row>
    <row r="2092" spans="1:23" x14ac:dyDescent="0.25">
      <c r="A2092" s="98"/>
      <c r="H2092" s="101"/>
      <c r="I2092" s="101"/>
      <c r="J2092" s="101"/>
      <c r="K2092" s="101"/>
      <c r="L2092" s="101"/>
      <c r="M2092" s="101"/>
      <c r="N2092" s="101"/>
      <c r="O2092" s="101"/>
      <c r="P2092" s="101"/>
      <c r="Q2092" s="101"/>
      <c r="R2092" s="101"/>
      <c r="S2092" s="110"/>
      <c r="T2092" s="102"/>
      <c r="U2092" s="101"/>
      <c r="V2092" s="103"/>
      <c r="W2092" s="101"/>
    </row>
    <row r="2093" spans="1:23" x14ac:dyDescent="0.25">
      <c r="A2093" s="98"/>
      <c r="H2093" s="101"/>
      <c r="I2093" s="101"/>
      <c r="J2093" s="101"/>
      <c r="K2093" s="101"/>
      <c r="L2093" s="101"/>
      <c r="M2093" s="101"/>
      <c r="N2093" s="101"/>
      <c r="O2093" s="101"/>
      <c r="P2093" s="101"/>
      <c r="Q2093" s="101"/>
      <c r="R2093" s="101"/>
      <c r="S2093" s="110"/>
      <c r="T2093" s="102"/>
      <c r="U2093" s="101"/>
      <c r="V2093" s="103"/>
      <c r="W2093" s="101"/>
    </row>
    <row r="2094" spans="1:23" x14ac:dyDescent="0.25">
      <c r="A2094" s="98"/>
      <c r="H2094" s="101"/>
      <c r="I2094" s="101"/>
      <c r="J2094" s="101"/>
      <c r="K2094" s="101"/>
      <c r="L2094" s="101"/>
      <c r="M2094" s="101"/>
      <c r="N2094" s="101"/>
      <c r="O2094" s="101"/>
      <c r="P2094" s="101"/>
      <c r="Q2094" s="101"/>
      <c r="R2094" s="101"/>
      <c r="S2094" s="110"/>
      <c r="T2094" s="102"/>
      <c r="U2094" s="101"/>
      <c r="V2094" s="103"/>
      <c r="W2094" s="101"/>
    </row>
    <row r="2095" spans="1:23" x14ac:dyDescent="0.25">
      <c r="A2095" s="98"/>
      <c r="H2095" s="101"/>
      <c r="I2095" s="101"/>
      <c r="J2095" s="101"/>
      <c r="K2095" s="101"/>
      <c r="L2095" s="101"/>
      <c r="M2095" s="101"/>
      <c r="N2095" s="101"/>
      <c r="O2095" s="101"/>
      <c r="P2095" s="101"/>
      <c r="Q2095" s="101"/>
      <c r="R2095" s="101"/>
      <c r="S2095" s="110"/>
      <c r="T2095" s="102"/>
      <c r="U2095" s="101"/>
      <c r="V2095" s="103"/>
      <c r="W2095" s="101"/>
    </row>
    <row r="2096" spans="1:23" x14ac:dyDescent="0.25">
      <c r="A2096" s="98"/>
      <c r="H2096" s="101"/>
      <c r="I2096" s="101"/>
      <c r="J2096" s="101"/>
      <c r="K2096" s="101"/>
      <c r="L2096" s="101"/>
      <c r="M2096" s="101"/>
      <c r="N2096" s="101"/>
      <c r="O2096" s="101"/>
      <c r="P2096" s="101"/>
      <c r="Q2096" s="101"/>
      <c r="R2096" s="101"/>
      <c r="S2096" s="110"/>
      <c r="T2096" s="102"/>
      <c r="U2096" s="101"/>
      <c r="V2096" s="103"/>
      <c r="W2096" s="101"/>
    </row>
    <row r="2097" spans="1:23" x14ac:dyDescent="0.25">
      <c r="A2097" s="98"/>
      <c r="H2097" s="101"/>
      <c r="I2097" s="101"/>
      <c r="J2097" s="101"/>
      <c r="K2097" s="101"/>
      <c r="L2097" s="101"/>
      <c r="M2097" s="101"/>
      <c r="N2097" s="101"/>
      <c r="O2097" s="101"/>
      <c r="P2097" s="101"/>
      <c r="Q2097" s="101"/>
      <c r="R2097" s="101"/>
      <c r="S2097" s="110"/>
      <c r="T2097" s="102"/>
      <c r="U2097" s="101"/>
      <c r="V2097" s="103"/>
      <c r="W2097" s="101"/>
    </row>
    <row r="2098" spans="1:23" x14ac:dyDescent="0.25">
      <c r="A2098" s="98"/>
      <c r="H2098" s="101"/>
      <c r="I2098" s="101"/>
      <c r="J2098" s="101"/>
      <c r="K2098" s="101"/>
      <c r="L2098" s="101"/>
      <c r="M2098" s="101"/>
      <c r="N2098" s="101"/>
      <c r="O2098" s="101"/>
      <c r="P2098" s="101"/>
      <c r="Q2098" s="101"/>
      <c r="R2098" s="101"/>
      <c r="S2098" s="110"/>
      <c r="T2098" s="102"/>
      <c r="U2098" s="101"/>
      <c r="V2098" s="103"/>
      <c r="W2098" s="101"/>
    </row>
    <row r="2099" spans="1:23" x14ac:dyDescent="0.25">
      <c r="A2099" s="98"/>
      <c r="H2099" s="101"/>
      <c r="I2099" s="101"/>
      <c r="J2099" s="101"/>
      <c r="K2099" s="101"/>
      <c r="L2099" s="101"/>
      <c r="M2099" s="101"/>
      <c r="N2099" s="101"/>
      <c r="O2099" s="101"/>
      <c r="P2099" s="101"/>
      <c r="Q2099" s="101"/>
      <c r="R2099" s="101"/>
      <c r="S2099" s="110"/>
      <c r="T2099" s="102"/>
      <c r="U2099" s="101"/>
      <c r="V2099" s="103"/>
      <c r="W2099" s="101"/>
    </row>
    <row r="2100" spans="1:23" x14ac:dyDescent="0.25">
      <c r="A2100" s="98"/>
      <c r="H2100" s="101"/>
      <c r="I2100" s="101"/>
      <c r="J2100" s="101"/>
      <c r="K2100" s="101"/>
      <c r="L2100" s="101"/>
      <c r="M2100" s="101"/>
      <c r="N2100" s="101"/>
      <c r="O2100" s="101"/>
      <c r="P2100" s="101"/>
      <c r="Q2100" s="101"/>
      <c r="R2100" s="101"/>
      <c r="S2100" s="110"/>
      <c r="T2100" s="102"/>
      <c r="U2100" s="101"/>
      <c r="V2100" s="103"/>
      <c r="W2100" s="101"/>
    </row>
    <row r="2101" spans="1:23" x14ac:dyDescent="0.25">
      <c r="A2101" s="98"/>
      <c r="H2101" s="101"/>
      <c r="I2101" s="101"/>
      <c r="J2101" s="101"/>
      <c r="K2101" s="101"/>
      <c r="L2101" s="101"/>
      <c r="M2101" s="101"/>
      <c r="N2101" s="101"/>
      <c r="O2101" s="101"/>
      <c r="P2101" s="101"/>
      <c r="Q2101" s="101"/>
      <c r="R2101" s="101"/>
      <c r="S2101" s="110"/>
      <c r="T2101" s="102"/>
      <c r="U2101" s="101"/>
      <c r="V2101" s="103"/>
      <c r="W2101" s="101"/>
    </row>
    <row r="2102" spans="1:23" x14ac:dyDescent="0.25">
      <c r="A2102" s="98"/>
      <c r="H2102" s="101"/>
      <c r="I2102" s="101"/>
      <c r="J2102" s="101"/>
      <c r="K2102" s="101"/>
      <c r="L2102" s="101"/>
      <c r="M2102" s="101"/>
      <c r="N2102" s="101"/>
      <c r="O2102" s="101"/>
      <c r="P2102" s="101"/>
      <c r="Q2102" s="101"/>
      <c r="R2102" s="101"/>
      <c r="S2102" s="110"/>
      <c r="T2102" s="102"/>
      <c r="U2102" s="101"/>
      <c r="V2102" s="103"/>
      <c r="W2102" s="101"/>
    </row>
    <row r="2103" spans="1:23" x14ac:dyDescent="0.25">
      <c r="A2103" s="98"/>
      <c r="H2103" s="101"/>
      <c r="I2103" s="101"/>
      <c r="J2103" s="101"/>
      <c r="K2103" s="101"/>
      <c r="L2103" s="101"/>
      <c r="M2103" s="101"/>
      <c r="N2103" s="101"/>
      <c r="O2103" s="101"/>
      <c r="P2103" s="101"/>
      <c r="Q2103" s="101"/>
      <c r="R2103" s="101"/>
      <c r="S2103" s="110"/>
      <c r="T2103" s="102"/>
      <c r="U2103" s="101"/>
      <c r="V2103" s="103"/>
      <c r="W2103" s="101"/>
    </row>
    <row r="2104" spans="1:23" x14ac:dyDescent="0.25">
      <c r="A2104" s="98"/>
      <c r="H2104" s="101"/>
      <c r="I2104" s="101"/>
      <c r="J2104" s="101"/>
      <c r="K2104" s="101"/>
      <c r="L2104" s="101"/>
      <c r="M2104" s="101"/>
      <c r="N2104" s="101"/>
      <c r="O2104" s="101"/>
      <c r="P2104" s="101"/>
      <c r="Q2104" s="101"/>
      <c r="R2104" s="101"/>
      <c r="S2104" s="110"/>
      <c r="T2104" s="102"/>
      <c r="U2104" s="101"/>
      <c r="V2104" s="103"/>
      <c r="W2104" s="101"/>
    </row>
    <row r="2105" spans="1:23" x14ac:dyDescent="0.25">
      <c r="A2105" s="98"/>
      <c r="H2105" s="101"/>
      <c r="I2105" s="101"/>
      <c r="J2105" s="101"/>
      <c r="K2105" s="101"/>
      <c r="L2105" s="101"/>
      <c r="M2105" s="101"/>
      <c r="N2105" s="101"/>
      <c r="O2105" s="101"/>
      <c r="P2105" s="101"/>
      <c r="Q2105" s="101"/>
      <c r="R2105" s="101"/>
      <c r="S2105" s="110"/>
      <c r="T2105" s="102"/>
      <c r="U2105" s="101"/>
      <c r="V2105" s="103"/>
      <c r="W2105" s="101"/>
    </row>
    <row r="2106" spans="1:23" x14ac:dyDescent="0.25">
      <c r="A2106" s="98"/>
      <c r="H2106" s="101"/>
      <c r="I2106" s="101"/>
      <c r="J2106" s="101"/>
      <c r="K2106" s="101"/>
      <c r="L2106" s="101"/>
      <c r="M2106" s="101"/>
      <c r="N2106" s="101"/>
      <c r="O2106" s="101"/>
      <c r="P2106" s="101"/>
      <c r="Q2106" s="101"/>
      <c r="R2106" s="101"/>
      <c r="S2106" s="110"/>
      <c r="T2106" s="102"/>
      <c r="U2106" s="101"/>
      <c r="V2106" s="103"/>
      <c r="W2106" s="101"/>
    </row>
    <row r="2107" spans="1:23" x14ac:dyDescent="0.25">
      <c r="A2107" s="98"/>
      <c r="H2107" s="101"/>
      <c r="I2107" s="101"/>
      <c r="J2107" s="101"/>
      <c r="K2107" s="101"/>
      <c r="L2107" s="101"/>
      <c r="M2107" s="101"/>
      <c r="N2107" s="101"/>
      <c r="O2107" s="101"/>
      <c r="P2107" s="101"/>
      <c r="Q2107" s="101"/>
      <c r="R2107" s="101"/>
      <c r="S2107" s="110"/>
      <c r="T2107" s="102"/>
      <c r="U2107" s="101"/>
      <c r="V2107" s="103"/>
      <c r="W2107" s="101"/>
    </row>
    <row r="2108" spans="1:23" x14ac:dyDescent="0.25">
      <c r="A2108" s="98"/>
      <c r="H2108" s="101"/>
      <c r="I2108" s="101"/>
      <c r="J2108" s="101"/>
      <c r="K2108" s="101"/>
      <c r="L2108" s="101"/>
      <c r="M2108" s="101"/>
      <c r="N2108" s="101"/>
      <c r="O2108" s="101"/>
      <c r="P2108" s="101"/>
      <c r="Q2108" s="101"/>
      <c r="R2108" s="101"/>
      <c r="S2108" s="110"/>
      <c r="T2108" s="102"/>
      <c r="U2108" s="101"/>
      <c r="V2108" s="103"/>
      <c r="W2108" s="101"/>
    </row>
    <row r="2109" spans="1:23" x14ac:dyDescent="0.25">
      <c r="A2109" s="98"/>
      <c r="H2109" s="101"/>
      <c r="I2109" s="101"/>
      <c r="J2109" s="101"/>
      <c r="K2109" s="101"/>
      <c r="L2109" s="101"/>
      <c r="M2109" s="101"/>
      <c r="N2109" s="101"/>
      <c r="O2109" s="101"/>
      <c r="P2109" s="101"/>
      <c r="Q2109" s="101"/>
      <c r="R2109" s="101"/>
      <c r="S2109" s="110"/>
      <c r="T2109" s="102"/>
      <c r="U2109" s="101"/>
      <c r="V2109" s="103"/>
      <c r="W2109" s="101"/>
    </row>
    <row r="2110" spans="1:23" x14ac:dyDescent="0.25">
      <c r="A2110" s="98"/>
      <c r="H2110" s="101"/>
      <c r="I2110" s="101"/>
      <c r="J2110" s="101"/>
      <c r="K2110" s="101"/>
      <c r="L2110" s="101"/>
      <c r="M2110" s="101"/>
      <c r="N2110" s="101"/>
      <c r="O2110" s="101"/>
      <c r="P2110" s="101"/>
      <c r="Q2110" s="101"/>
      <c r="R2110" s="101"/>
      <c r="S2110" s="110"/>
      <c r="T2110" s="102"/>
      <c r="U2110" s="101"/>
      <c r="V2110" s="103"/>
      <c r="W2110" s="101"/>
    </row>
    <row r="2111" spans="1:23" x14ac:dyDescent="0.25">
      <c r="A2111" s="98"/>
      <c r="H2111" s="101"/>
      <c r="I2111" s="101"/>
      <c r="J2111" s="101"/>
      <c r="K2111" s="101"/>
      <c r="L2111" s="101"/>
      <c r="M2111" s="101"/>
      <c r="N2111" s="101"/>
      <c r="O2111" s="101"/>
      <c r="P2111" s="101"/>
      <c r="Q2111" s="101"/>
      <c r="R2111" s="101"/>
      <c r="S2111" s="110"/>
      <c r="T2111" s="102"/>
      <c r="U2111" s="101"/>
      <c r="V2111" s="103"/>
      <c r="W2111" s="101"/>
    </row>
    <row r="2112" spans="1:23" x14ac:dyDescent="0.25">
      <c r="A2112" s="98"/>
      <c r="H2112" s="101"/>
      <c r="I2112" s="101"/>
      <c r="J2112" s="101"/>
      <c r="K2112" s="101"/>
      <c r="L2112" s="101"/>
      <c r="M2112" s="101"/>
      <c r="N2112" s="101"/>
      <c r="O2112" s="101"/>
      <c r="P2112" s="101"/>
      <c r="Q2112" s="101"/>
      <c r="R2112" s="101"/>
      <c r="S2112" s="110"/>
      <c r="T2112" s="102"/>
      <c r="U2112" s="101"/>
      <c r="V2112" s="103"/>
      <c r="W2112" s="101"/>
    </row>
    <row r="2113" spans="1:23" x14ac:dyDescent="0.25">
      <c r="A2113" s="98"/>
      <c r="H2113" s="101"/>
      <c r="I2113" s="101"/>
      <c r="J2113" s="101"/>
      <c r="K2113" s="101"/>
      <c r="L2113" s="101"/>
      <c r="M2113" s="101"/>
      <c r="N2113" s="101"/>
      <c r="O2113" s="101"/>
      <c r="P2113" s="101"/>
      <c r="Q2113" s="101"/>
      <c r="R2113" s="101"/>
      <c r="S2113" s="110"/>
      <c r="T2113" s="102"/>
      <c r="U2113" s="101"/>
      <c r="V2113" s="103"/>
      <c r="W2113" s="101"/>
    </row>
    <row r="2114" spans="1:23" x14ac:dyDescent="0.25">
      <c r="A2114" s="98"/>
      <c r="H2114" s="101"/>
      <c r="I2114" s="101"/>
      <c r="J2114" s="101"/>
      <c r="K2114" s="101"/>
      <c r="L2114" s="101"/>
      <c r="M2114" s="101"/>
      <c r="N2114" s="101"/>
      <c r="O2114" s="101"/>
      <c r="P2114" s="101"/>
      <c r="Q2114" s="101"/>
      <c r="R2114" s="101"/>
      <c r="S2114" s="110"/>
      <c r="T2114" s="102"/>
      <c r="U2114" s="101"/>
      <c r="V2114" s="103"/>
      <c r="W2114" s="101"/>
    </row>
    <row r="2115" spans="1:23" x14ac:dyDescent="0.25">
      <c r="A2115" s="98"/>
      <c r="H2115" s="101"/>
      <c r="I2115" s="101"/>
      <c r="J2115" s="101"/>
      <c r="K2115" s="101"/>
      <c r="L2115" s="101"/>
      <c r="M2115" s="101"/>
      <c r="N2115" s="101"/>
      <c r="O2115" s="101"/>
      <c r="P2115" s="101"/>
      <c r="Q2115" s="101"/>
      <c r="R2115" s="101"/>
      <c r="S2115" s="110"/>
      <c r="T2115" s="102"/>
      <c r="U2115" s="101"/>
      <c r="V2115" s="103"/>
      <c r="W2115" s="101"/>
    </row>
    <row r="2116" spans="1:23" x14ac:dyDescent="0.25">
      <c r="A2116" s="98"/>
      <c r="H2116" s="101"/>
      <c r="I2116" s="101"/>
      <c r="J2116" s="101"/>
      <c r="K2116" s="101"/>
      <c r="L2116" s="101"/>
      <c r="M2116" s="101"/>
      <c r="N2116" s="101"/>
      <c r="O2116" s="101"/>
      <c r="P2116" s="101"/>
      <c r="Q2116" s="101"/>
      <c r="R2116" s="101"/>
      <c r="S2116" s="110"/>
      <c r="T2116" s="102"/>
      <c r="U2116" s="101"/>
      <c r="V2116" s="103"/>
      <c r="W2116" s="101"/>
    </row>
    <row r="2117" spans="1:23" x14ac:dyDescent="0.25">
      <c r="A2117" s="98"/>
      <c r="H2117" s="101"/>
      <c r="I2117" s="101"/>
      <c r="J2117" s="101"/>
      <c r="K2117" s="101"/>
      <c r="L2117" s="101"/>
      <c r="M2117" s="101"/>
      <c r="N2117" s="101"/>
      <c r="O2117" s="101"/>
      <c r="P2117" s="101"/>
      <c r="Q2117" s="101"/>
      <c r="R2117" s="101"/>
      <c r="S2117" s="110"/>
      <c r="T2117" s="102"/>
      <c r="U2117" s="101"/>
      <c r="V2117" s="103"/>
      <c r="W2117" s="101"/>
    </row>
    <row r="2118" spans="1:23" x14ac:dyDescent="0.25">
      <c r="A2118" s="98"/>
      <c r="H2118" s="101"/>
      <c r="I2118" s="101"/>
      <c r="J2118" s="101"/>
      <c r="K2118" s="101"/>
      <c r="L2118" s="101"/>
      <c r="M2118" s="101"/>
      <c r="N2118" s="101"/>
      <c r="O2118" s="101"/>
      <c r="P2118" s="101"/>
      <c r="Q2118" s="101"/>
      <c r="R2118" s="101"/>
      <c r="S2118" s="110"/>
      <c r="T2118" s="102"/>
      <c r="U2118" s="101"/>
      <c r="V2118" s="103"/>
      <c r="W2118" s="101"/>
    </row>
    <row r="2119" spans="1:23" x14ac:dyDescent="0.25">
      <c r="A2119" s="98"/>
      <c r="H2119" s="101"/>
      <c r="I2119" s="101"/>
      <c r="J2119" s="101"/>
      <c r="K2119" s="101"/>
      <c r="L2119" s="101"/>
      <c r="M2119" s="101"/>
      <c r="N2119" s="101"/>
      <c r="O2119" s="101"/>
      <c r="P2119" s="101"/>
      <c r="Q2119" s="101"/>
      <c r="R2119" s="101"/>
      <c r="S2119" s="110"/>
      <c r="T2119" s="102"/>
      <c r="U2119" s="101"/>
      <c r="V2119" s="103"/>
      <c r="W2119" s="101"/>
    </row>
    <row r="2120" spans="1:23" x14ac:dyDescent="0.25">
      <c r="A2120" s="98"/>
      <c r="H2120" s="101"/>
      <c r="I2120" s="101"/>
      <c r="J2120" s="101"/>
      <c r="K2120" s="101"/>
      <c r="L2120" s="101"/>
      <c r="M2120" s="101"/>
      <c r="N2120" s="101"/>
      <c r="O2120" s="101"/>
      <c r="P2120" s="101"/>
      <c r="Q2120" s="101"/>
      <c r="R2120" s="101"/>
      <c r="S2120" s="110"/>
      <c r="T2120" s="102"/>
      <c r="U2120" s="101"/>
      <c r="V2120" s="103"/>
      <c r="W2120" s="101"/>
    </row>
    <row r="2121" spans="1:23" x14ac:dyDescent="0.25">
      <c r="A2121" s="98"/>
      <c r="H2121" s="101"/>
      <c r="I2121" s="101"/>
      <c r="J2121" s="101"/>
      <c r="K2121" s="101"/>
      <c r="L2121" s="101"/>
      <c r="M2121" s="101"/>
      <c r="N2121" s="101"/>
      <c r="O2121" s="101"/>
      <c r="P2121" s="101"/>
      <c r="Q2121" s="101"/>
      <c r="R2121" s="101"/>
      <c r="S2121" s="110"/>
      <c r="T2121" s="102"/>
      <c r="U2121" s="101"/>
      <c r="V2121" s="103"/>
      <c r="W2121" s="101"/>
    </row>
    <row r="2122" spans="1:23" x14ac:dyDescent="0.25">
      <c r="A2122" s="98"/>
      <c r="H2122" s="101"/>
      <c r="I2122" s="101"/>
      <c r="J2122" s="101"/>
      <c r="K2122" s="101"/>
      <c r="L2122" s="101"/>
      <c r="M2122" s="101"/>
      <c r="N2122" s="101"/>
      <c r="O2122" s="101"/>
      <c r="P2122" s="101"/>
      <c r="Q2122" s="101"/>
      <c r="R2122" s="101"/>
      <c r="S2122" s="110"/>
      <c r="T2122" s="102"/>
      <c r="U2122" s="101"/>
      <c r="V2122" s="103"/>
      <c r="W2122" s="101"/>
    </row>
    <row r="2123" spans="1:23" x14ac:dyDescent="0.25">
      <c r="A2123" s="98"/>
      <c r="H2123" s="101"/>
      <c r="I2123" s="101"/>
      <c r="J2123" s="101"/>
      <c r="K2123" s="101"/>
      <c r="L2123" s="101"/>
      <c r="M2123" s="101"/>
      <c r="N2123" s="101"/>
      <c r="O2123" s="101"/>
      <c r="P2123" s="101"/>
      <c r="Q2123" s="101"/>
      <c r="R2123" s="101"/>
      <c r="S2123" s="110"/>
      <c r="T2123" s="102"/>
      <c r="U2123" s="101"/>
      <c r="V2123" s="103"/>
      <c r="W2123" s="101"/>
    </row>
    <row r="2124" spans="1:23" x14ac:dyDescent="0.25">
      <c r="A2124" s="98"/>
      <c r="H2124" s="101"/>
      <c r="I2124" s="101"/>
      <c r="J2124" s="101"/>
      <c r="K2124" s="101"/>
      <c r="L2124" s="101"/>
      <c r="M2124" s="101"/>
      <c r="N2124" s="101"/>
      <c r="O2124" s="101"/>
      <c r="P2124" s="101"/>
      <c r="Q2124" s="101"/>
      <c r="R2124" s="101"/>
      <c r="S2124" s="110"/>
      <c r="T2124" s="102"/>
      <c r="U2124" s="101"/>
      <c r="V2124" s="103"/>
      <c r="W2124" s="101"/>
    </row>
    <row r="2125" spans="1:23" x14ac:dyDescent="0.25">
      <c r="A2125" s="98"/>
      <c r="H2125" s="101"/>
      <c r="I2125" s="101"/>
      <c r="J2125" s="101"/>
      <c r="K2125" s="101"/>
      <c r="L2125" s="101"/>
      <c r="M2125" s="101"/>
      <c r="N2125" s="101"/>
      <c r="O2125" s="101"/>
      <c r="P2125" s="101"/>
      <c r="Q2125" s="101"/>
      <c r="R2125" s="101"/>
      <c r="S2125" s="110"/>
      <c r="T2125" s="102"/>
      <c r="U2125" s="101"/>
      <c r="V2125" s="103"/>
      <c r="W2125" s="101"/>
    </row>
    <row r="2126" spans="1:23" x14ac:dyDescent="0.25">
      <c r="A2126" s="98"/>
      <c r="H2126" s="101"/>
      <c r="I2126" s="101"/>
      <c r="J2126" s="101"/>
      <c r="K2126" s="101"/>
      <c r="L2126" s="101"/>
      <c r="M2126" s="101"/>
      <c r="N2126" s="101"/>
      <c r="O2126" s="101"/>
      <c r="P2126" s="101"/>
      <c r="Q2126" s="101"/>
      <c r="R2126" s="101"/>
      <c r="S2126" s="110"/>
      <c r="T2126" s="102"/>
      <c r="U2126" s="101"/>
      <c r="V2126" s="103"/>
      <c r="W2126" s="101"/>
    </row>
    <row r="2127" spans="1:23" x14ac:dyDescent="0.25">
      <c r="A2127" s="98"/>
      <c r="H2127" s="101"/>
      <c r="I2127" s="101"/>
      <c r="J2127" s="101"/>
      <c r="K2127" s="101"/>
      <c r="L2127" s="101"/>
      <c r="M2127" s="101"/>
      <c r="N2127" s="101"/>
      <c r="O2127" s="101"/>
      <c r="P2127" s="101"/>
      <c r="Q2127" s="101"/>
      <c r="R2127" s="101"/>
      <c r="S2127" s="110"/>
      <c r="T2127" s="102"/>
      <c r="U2127" s="101"/>
      <c r="V2127" s="103"/>
      <c r="W2127" s="101"/>
    </row>
    <row r="2128" spans="1:23" x14ac:dyDescent="0.25">
      <c r="A2128" s="98"/>
      <c r="H2128" s="101"/>
      <c r="I2128" s="101"/>
      <c r="J2128" s="101"/>
      <c r="K2128" s="101"/>
      <c r="L2128" s="101"/>
      <c r="M2128" s="101"/>
      <c r="N2128" s="101"/>
      <c r="O2128" s="101"/>
      <c r="P2128" s="101"/>
      <c r="Q2128" s="101"/>
      <c r="R2128" s="101"/>
      <c r="S2128" s="110"/>
      <c r="T2128" s="102"/>
      <c r="U2128" s="101"/>
      <c r="V2128" s="103"/>
      <c r="W2128" s="101"/>
    </row>
    <row r="2129" spans="1:23" x14ac:dyDescent="0.25">
      <c r="A2129" s="98"/>
      <c r="H2129" s="101"/>
      <c r="I2129" s="101"/>
      <c r="J2129" s="101"/>
      <c r="K2129" s="101"/>
      <c r="L2129" s="101"/>
      <c r="M2129" s="101"/>
      <c r="N2129" s="101"/>
      <c r="O2129" s="101"/>
      <c r="P2129" s="101"/>
      <c r="Q2129" s="101"/>
      <c r="R2129" s="101"/>
      <c r="S2129" s="110"/>
      <c r="T2129" s="102"/>
      <c r="U2129" s="101"/>
      <c r="V2129" s="103"/>
      <c r="W2129" s="101"/>
    </row>
    <row r="2130" spans="1:23" x14ac:dyDescent="0.25">
      <c r="A2130" s="98"/>
      <c r="H2130" s="101"/>
      <c r="I2130" s="101"/>
      <c r="J2130" s="101"/>
      <c r="K2130" s="101"/>
      <c r="L2130" s="101"/>
      <c r="M2130" s="101"/>
      <c r="N2130" s="101"/>
      <c r="O2130" s="101"/>
      <c r="P2130" s="101"/>
      <c r="Q2130" s="101"/>
      <c r="R2130" s="101"/>
      <c r="S2130" s="110"/>
      <c r="T2130" s="102"/>
      <c r="U2130" s="101"/>
      <c r="V2130" s="103"/>
      <c r="W2130" s="101"/>
    </row>
    <row r="2131" spans="1:23" x14ac:dyDescent="0.25">
      <c r="A2131" s="98"/>
      <c r="H2131" s="101"/>
      <c r="I2131" s="101"/>
      <c r="J2131" s="101"/>
      <c r="K2131" s="101"/>
      <c r="L2131" s="101"/>
      <c r="M2131" s="101"/>
      <c r="N2131" s="101"/>
      <c r="O2131" s="101"/>
      <c r="P2131" s="101"/>
      <c r="Q2131" s="101"/>
      <c r="R2131" s="101"/>
      <c r="S2131" s="110"/>
      <c r="T2131" s="102"/>
      <c r="U2131" s="101"/>
      <c r="V2131" s="103"/>
      <c r="W2131" s="101"/>
    </row>
    <row r="2132" spans="1:23" x14ac:dyDescent="0.25">
      <c r="A2132" s="98"/>
      <c r="H2132" s="101"/>
      <c r="I2132" s="101"/>
      <c r="J2132" s="101"/>
      <c r="K2132" s="101"/>
      <c r="L2132" s="101"/>
      <c r="M2132" s="101"/>
      <c r="N2132" s="101"/>
      <c r="O2132" s="101"/>
      <c r="P2132" s="101"/>
      <c r="Q2132" s="101"/>
      <c r="R2132" s="101"/>
      <c r="S2132" s="110"/>
      <c r="T2132" s="102"/>
      <c r="U2132" s="101"/>
      <c r="V2132" s="103"/>
      <c r="W2132" s="101"/>
    </row>
    <row r="2133" spans="1:23" x14ac:dyDescent="0.25">
      <c r="A2133" s="98"/>
      <c r="H2133" s="101"/>
      <c r="I2133" s="101"/>
      <c r="J2133" s="101"/>
      <c r="K2133" s="101"/>
      <c r="L2133" s="101"/>
      <c r="M2133" s="101"/>
      <c r="N2133" s="101"/>
      <c r="O2133" s="101"/>
      <c r="P2133" s="101"/>
      <c r="Q2133" s="101"/>
      <c r="R2133" s="101"/>
      <c r="S2133" s="110"/>
      <c r="T2133" s="102"/>
      <c r="U2133" s="101"/>
      <c r="V2133" s="103"/>
      <c r="W2133" s="101"/>
    </row>
    <row r="2134" spans="1:23" x14ac:dyDescent="0.25">
      <c r="A2134" s="98"/>
      <c r="H2134" s="101"/>
      <c r="I2134" s="101"/>
      <c r="J2134" s="101"/>
      <c r="K2134" s="101"/>
      <c r="L2134" s="101"/>
      <c r="M2134" s="101"/>
      <c r="N2134" s="101"/>
      <c r="O2134" s="101"/>
      <c r="P2134" s="101"/>
      <c r="Q2134" s="101"/>
      <c r="R2134" s="101"/>
      <c r="S2134" s="110"/>
      <c r="T2134" s="102"/>
      <c r="U2134" s="101"/>
      <c r="V2134" s="103"/>
      <c r="W2134" s="101"/>
    </row>
    <row r="2135" spans="1:23" x14ac:dyDescent="0.25">
      <c r="A2135" s="98"/>
      <c r="H2135" s="101"/>
      <c r="I2135" s="101"/>
      <c r="J2135" s="101"/>
      <c r="K2135" s="101"/>
      <c r="L2135" s="101"/>
      <c r="M2135" s="101"/>
      <c r="N2135" s="101"/>
      <c r="O2135" s="101"/>
      <c r="P2135" s="101"/>
      <c r="Q2135" s="101"/>
      <c r="R2135" s="101"/>
      <c r="S2135" s="110"/>
      <c r="T2135" s="102"/>
      <c r="U2135" s="101"/>
      <c r="V2135" s="103"/>
      <c r="W2135" s="101"/>
    </row>
    <row r="2136" spans="1:23" x14ac:dyDescent="0.25">
      <c r="A2136" s="98"/>
      <c r="H2136" s="101"/>
      <c r="I2136" s="101"/>
      <c r="J2136" s="101"/>
      <c r="K2136" s="101"/>
      <c r="L2136" s="101"/>
      <c r="M2136" s="101"/>
      <c r="N2136" s="101"/>
      <c r="O2136" s="101"/>
      <c r="P2136" s="101"/>
      <c r="Q2136" s="101"/>
      <c r="R2136" s="101"/>
      <c r="S2136" s="110"/>
      <c r="T2136" s="102"/>
      <c r="U2136" s="101"/>
      <c r="V2136" s="103"/>
      <c r="W2136" s="101"/>
    </row>
    <row r="2137" spans="1:23" x14ac:dyDescent="0.25">
      <c r="A2137" s="98"/>
      <c r="H2137" s="101"/>
      <c r="I2137" s="101"/>
      <c r="J2137" s="101"/>
      <c r="K2137" s="101"/>
      <c r="L2137" s="101"/>
      <c r="M2137" s="101"/>
      <c r="N2137" s="101"/>
      <c r="O2137" s="101"/>
      <c r="P2137" s="101"/>
      <c r="Q2137" s="101"/>
      <c r="R2137" s="101"/>
      <c r="S2137" s="110"/>
      <c r="T2137" s="102"/>
      <c r="U2137" s="101"/>
      <c r="V2137" s="103"/>
      <c r="W2137" s="101"/>
    </row>
    <row r="2138" spans="1:23" x14ac:dyDescent="0.25">
      <c r="A2138" s="98"/>
      <c r="H2138" s="101"/>
      <c r="I2138" s="101"/>
      <c r="J2138" s="101"/>
      <c r="K2138" s="101"/>
      <c r="L2138" s="101"/>
      <c r="M2138" s="101"/>
      <c r="N2138" s="101"/>
      <c r="O2138" s="101"/>
      <c r="P2138" s="101"/>
      <c r="Q2138" s="101"/>
      <c r="R2138" s="101"/>
      <c r="S2138" s="110"/>
      <c r="T2138" s="102"/>
      <c r="U2138" s="101"/>
      <c r="V2138" s="103"/>
      <c r="W2138" s="101"/>
    </row>
    <row r="2139" spans="1:23" x14ac:dyDescent="0.25">
      <c r="A2139" s="98"/>
      <c r="H2139" s="101"/>
      <c r="I2139" s="101"/>
      <c r="J2139" s="101"/>
      <c r="K2139" s="101"/>
      <c r="L2139" s="101"/>
      <c r="M2139" s="101"/>
      <c r="N2139" s="101"/>
      <c r="O2139" s="101"/>
      <c r="P2139" s="101"/>
      <c r="Q2139" s="101"/>
      <c r="R2139" s="101"/>
      <c r="S2139" s="110"/>
      <c r="T2139" s="102"/>
      <c r="U2139" s="101"/>
      <c r="V2139" s="103"/>
      <c r="W2139" s="101"/>
    </row>
    <row r="2140" spans="1:23" x14ac:dyDescent="0.25">
      <c r="A2140" s="98"/>
      <c r="H2140" s="101"/>
      <c r="I2140" s="101"/>
      <c r="J2140" s="101"/>
      <c r="K2140" s="101"/>
      <c r="L2140" s="101"/>
      <c r="M2140" s="101"/>
      <c r="N2140" s="101"/>
      <c r="O2140" s="101"/>
      <c r="P2140" s="101"/>
      <c r="Q2140" s="101"/>
      <c r="R2140" s="101"/>
      <c r="S2140" s="110"/>
      <c r="T2140" s="102"/>
      <c r="U2140" s="101"/>
      <c r="V2140" s="103"/>
      <c r="W2140" s="101"/>
    </row>
    <row r="2141" spans="1:23" x14ac:dyDescent="0.25">
      <c r="A2141" s="98"/>
      <c r="H2141" s="101"/>
      <c r="I2141" s="101"/>
      <c r="J2141" s="101"/>
      <c r="K2141" s="101"/>
      <c r="L2141" s="101"/>
      <c r="M2141" s="101"/>
      <c r="N2141" s="101"/>
      <c r="O2141" s="101"/>
      <c r="P2141" s="101"/>
      <c r="Q2141" s="101"/>
      <c r="R2141" s="101"/>
      <c r="S2141" s="110"/>
      <c r="T2141" s="102"/>
      <c r="U2141" s="101"/>
      <c r="V2141" s="103"/>
      <c r="W2141" s="101"/>
    </row>
    <row r="2142" spans="1:23" x14ac:dyDescent="0.25">
      <c r="A2142" s="98"/>
      <c r="H2142" s="101"/>
      <c r="I2142" s="101"/>
      <c r="J2142" s="101"/>
      <c r="K2142" s="101"/>
      <c r="L2142" s="101"/>
      <c r="M2142" s="101"/>
      <c r="N2142" s="101"/>
      <c r="O2142" s="101"/>
      <c r="P2142" s="101"/>
      <c r="Q2142" s="101"/>
      <c r="R2142" s="101"/>
      <c r="S2142" s="110"/>
      <c r="T2142" s="102"/>
      <c r="U2142" s="101"/>
      <c r="V2142" s="103"/>
      <c r="W2142" s="101"/>
    </row>
    <row r="2143" spans="1:23" x14ac:dyDescent="0.25">
      <c r="A2143" s="98"/>
      <c r="H2143" s="101"/>
      <c r="I2143" s="101"/>
      <c r="J2143" s="101"/>
      <c r="K2143" s="101"/>
      <c r="L2143" s="101"/>
      <c r="M2143" s="101"/>
      <c r="N2143" s="101"/>
      <c r="O2143" s="101"/>
      <c r="P2143" s="101"/>
      <c r="Q2143" s="101"/>
      <c r="R2143" s="101"/>
      <c r="S2143" s="110"/>
      <c r="T2143" s="102"/>
      <c r="U2143" s="101"/>
      <c r="V2143" s="103"/>
      <c r="W2143" s="101"/>
    </row>
    <row r="2144" spans="1:23" x14ac:dyDescent="0.25">
      <c r="A2144" s="98"/>
      <c r="H2144" s="101"/>
      <c r="I2144" s="101"/>
      <c r="J2144" s="101"/>
      <c r="K2144" s="101"/>
      <c r="L2144" s="101"/>
      <c r="M2144" s="101"/>
      <c r="N2144" s="101"/>
      <c r="O2144" s="101"/>
      <c r="P2144" s="101"/>
      <c r="Q2144" s="101"/>
      <c r="R2144" s="101"/>
      <c r="S2144" s="110"/>
      <c r="T2144" s="102"/>
      <c r="U2144" s="101"/>
      <c r="V2144" s="103"/>
      <c r="W2144" s="101"/>
    </row>
    <row r="2145" spans="1:23" x14ac:dyDescent="0.25">
      <c r="A2145" s="98"/>
      <c r="H2145" s="101"/>
      <c r="I2145" s="101"/>
      <c r="J2145" s="101"/>
      <c r="K2145" s="101"/>
      <c r="L2145" s="101"/>
      <c r="M2145" s="101"/>
      <c r="N2145" s="101"/>
      <c r="O2145" s="101"/>
      <c r="P2145" s="101"/>
      <c r="Q2145" s="101"/>
      <c r="R2145" s="101"/>
      <c r="S2145" s="110"/>
      <c r="T2145" s="102"/>
      <c r="U2145" s="101"/>
      <c r="V2145" s="103"/>
      <c r="W2145" s="101"/>
    </row>
    <row r="2146" spans="1:23" x14ac:dyDescent="0.25">
      <c r="A2146" s="98"/>
      <c r="H2146" s="101"/>
      <c r="I2146" s="101"/>
      <c r="J2146" s="101"/>
      <c r="K2146" s="101"/>
      <c r="L2146" s="101"/>
      <c r="M2146" s="101"/>
      <c r="N2146" s="101"/>
      <c r="O2146" s="101"/>
      <c r="P2146" s="101"/>
      <c r="Q2146" s="101"/>
      <c r="R2146" s="101"/>
      <c r="S2146" s="110"/>
      <c r="T2146" s="102"/>
      <c r="U2146" s="101"/>
      <c r="V2146" s="103"/>
      <c r="W2146" s="101"/>
    </row>
    <row r="2147" spans="1:23" x14ac:dyDescent="0.25">
      <c r="A2147" s="98"/>
      <c r="H2147" s="101"/>
      <c r="I2147" s="101"/>
      <c r="J2147" s="101"/>
      <c r="K2147" s="101"/>
      <c r="L2147" s="101"/>
      <c r="M2147" s="101"/>
      <c r="N2147" s="101"/>
      <c r="O2147" s="101"/>
      <c r="P2147" s="101"/>
      <c r="Q2147" s="101"/>
      <c r="R2147" s="101"/>
      <c r="S2147" s="110"/>
      <c r="T2147" s="102"/>
      <c r="U2147" s="101"/>
      <c r="V2147" s="103"/>
      <c r="W2147" s="101"/>
    </row>
    <row r="2148" spans="1:23" x14ac:dyDescent="0.25">
      <c r="A2148" s="98"/>
      <c r="H2148" s="101"/>
      <c r="I2148" s="101"/>
      <c r="J2148" s="101"/>
      <c r="K2148" s="101"/>
      <c r="L2148" s="101"/>
      <c r="M2148" s="101"/>
      <c r="N2148" s="101"/>
      <c r="O2148" s="101"/>
      <c r="P2148" s="101"/>
      <c r="Q2148" s="101"/>
      <c r="R2148" s="101"/>
      <c r="S2148" s="110"/>
      <c r="T2148" s="102"/>
      <c r="U2148" s="101"/>
      <c r="V2148" s="103"/>
      <c r="W2148" s="101"/>
    </row>
    <row r="2149" spans="1:23" x14ac:dyDescent="0.25">
      <c r="A2149" s="98"/>
      <c r="H2149" s="101"/>
      <c r="I2149" s="101"/>
      <c r="J2149" s="101"/>
      <c r="K2149" s="101"/>
      <c r="L2149" s="101"/>
      <c r="M2149" s="101"/>
      <c r="N2149" s="101"/>
      <c r="O2149" s="101"/>
      <c r="P2149" s="101"/>
      <c r="Q2149" s="101"/>
      <c r="R2149" s="101"/>
      <c r="S2149" s="110"/>
      <c r="T2149" s="102"/>
      <c r="U2149" s="101"/>
      <c r="V2149" s="103"/>
      <c r="W2149" s="101"/>
    </row>
    <row r="2150" spans="1:23" x14ac:dyDescent="0.25">
      <c r="A2150" s="98"/>
      <c r="H2150" s="101"/>
      <c r="I2150" s="101"/>
      <c r="J2150" s="101"/>
      <c r="K2150" s="101"/>
      <c r="L2150" s="101"/>
      <c r="M2150" s="101"/>
      <c r="N2150" s="101"/>
      <c r="O2150" s="101"/>
      <c r="P2150" s="101"/>
      <c r="Q2150" s="101"/>
      <c r="R2150" s="101"/>
      <c r="S2150" s="110"/>
      <c r="T2150" s="102"/>
      <c r="U2150" s="101"/>
      <c r="V2150" s="103"/>
      <c r="W2150" s="101"/>
    </row>
    <row r="2151" spans="1:23" x14ac:dyDescent="0.25">
      <c r="A2151" s="98"/>
      <c r="H2151" s="101"/>
      <c r="I2151" s="101"/>
      <c r="J2151" s="101"/>
      <c r="K2151" s="101"/>
      <c r="L2151" s="101"/>
      <c r="M2151" s="101"/>
      <c r="N2151" s="101"/>
      <c r="O2151" s="101"/>
      <c r="P2151" s="101"/>
      <c r="Q2151" s="101"/>
      <c r="R2151" s="101"/>
      <c r="S2151" s="110"/>
      <c r="T2151" s="102"/>
      <c r="U2151" s="101"/>
      <c r="V2151" s="103"/>
      <c r="W2151" s="101"/>
    </row>
    <row r="2152" spans="1:23" x14ac:dyDescent="0.25">
      <c r="A2152" s="98"/>
      <c r="H2152" s="101"/>
      <c r="I2152" s="101"/>
      <c r="J2152" s="101"/>
      <c r="K2152" s="101"/>
      <c r="L2152" s="101"/>
      <c r="M2152" s="101"/>
      <c r="N2152" s="101"/>
      <c r="O2152" s="101"/>
      <c r="P2152" s="101"/>
      <c r="Q2152" s="101"/>
      <c r="R2152" s="101"/>
      <c r="S2152" s="110"/>
      <c r="T2152" s="102"/>
      <c r="U2152" s="101"/>
      <c r="V2152" s="103"/>
      <c r="W2152" s="101"/>
    </row>
    <row r="2153" spans="1:23" x14ac:dyDescent="0.25">
      <c r="A2153" s="98"/>
      <c r="H2153" s="101"/>
      <c r="I2153" s="101"/>
      <c r="J2153" s="101"/>
      <c r="K2153" s="101"/>
      <c r="L2153" s="101"/>
      <c r="M2153" s="101"/>
      <c r="N2153" s="101"/>
      <c r="O2153" s="101"/>
      <c r="P2153" s="101"/>
      <c r="Q2153" s="101"/>
      <c r="R2153" s="101"/>
      <c r="S2153" s="110"/>
      <c r="T2153" s="102"/>
      <c r="U2153" s="101"/>
      <c r="V2153" s="103"/>
      <c r="W2153" s="101"/>
    </row>
    <row r="2154" spans="1:23" x14ac:dyDescent="0.25">
      <c r="A2154" s="98"/>
      <c r="H2154" s="101"/>
      <c r="I2154" s="101"/>
      <c r="J2154" s="101"/>
      <c r="K2154" s="101"/>
      <c r="L2154" s="101"/>
      <c r="M2154" s="101"/>
      <c r="N2154" s="101"/>
      <c r="O2154" s="101"/>
      <c r="P2154" s="101"/>
      <c r="Q2154" s="101"/>
      <c r="R2154" s="101"/>
      <c r="S2154" s="110"/>
      <c r="T2154" s="102"/>
      <c r="U2154" s="101"/>
      <c r="V2154" s="103"/>
      <c r="W2154" s="101"/>
    </row>
    <row r="2155" spans="1:23" x14ac:dyDescent="0.25">
      <c r="A2155" s="98"/>
      <c r="H2155" s="101"/>
      <c r="I2155" s="101"/>
      <c r="J2155" s="101"/>
      <c r="K2155" s="101"/>
      <c r="L2155" s="101"/>
      <c r="M2155" s="101"/>
      <c r="N2155" s="101"/>
      <c r="O2155" s="101"/>
      <c r="P2155" s="101"/>
      <c r="Q2155" s="101"/>
      <c r="R2155" s="101"/>
      <c r="S2155" s="110"/>
      <c r="T2155" s="102"/>
      <c r="U2155" s="101"/>
      <c r="V2155" s="103"/>
      <c r="W2155" s="101"/>
    </row>
    <row r="2156" spans="1:23" x14ac:dyDescent="0.25">
      <c r="A2156" s="98"/>
      <c r="H2156" s="101"/>
      <c r="I2156" s="101"/>
      <c r="J2156" s="101"/>
      <c r="K2156" s="101"/>
      <c r="L2156" s="101"/>
      <c r="M2156" s="101"/>
      <c r="N2156" s="101"/>
      <c r="O2156" s="101"/>
      <c r="P2156" s="101"/>
      <c r="Q2156" s="101"/>
      <c r="R2156" s="101"/>
      <c r="S2156" s="110"/>
      <c r="T2156" s="102"/>
      <c r="U2156" s="101"/>
      <c r="V2156" s="103"/>
      <c r="W2156" s="101"/>
    </row>
    <row r="2157" spans="1:23" x14ac:dyDescent="0.25">
      <c r="A2157" s="98"/>
      <c r="H2157" s="101"/>
      <c r="I2157" s="101"/>
      <c r="J2157" s="101"/>
      <c r="K2157" s="101"/>
      <c r="L2157" s="101"/>
      <c r="M2157" s="101"/>
      <c r="N2157" s="101"/>
      <c r="O2157" s="101"/>
      <c r="P2157" s="101"/>
      <c r="Q2157" s="101"/>
      <c r="R2157" s="101"/>
      <c r="S2157" s="110"/>
      <c r="T2157" s="102"/>
      <c r="U2157" s="101"/>
      <c r="V2157" s="103"/>
      <c r="W2157" s="101"/>
    </row>
    <row r="2158" spans="1:23" x14ac:dyDescent="0.25">
      <c r="A2158" s="98"/>
      <c r="H2158" s="101"/>
      <c r="I2158" s="101"/>
      <c r="J2158" s="101"/>
      <c r="K2158" s="101"/>
      <c r="L2158" s="101"/>
      <c r="M2158" s="101"/>
      <c r="N2158" s="101"/>
      <c r="O2158" s="101"/>
      <c r="P2158" s="101"/>
      <c r="Q2158" s="101"/>
      <c r="R2158" s="101"/>
      <c r="S2158" s="110"/>
      <c r="T2158" s="102"/>
      <c r="U2158" s="101"/>
      <c r="V2158" s="103"/>
      <c r="W2158" s="101"/>
    </row>
    <row r="2159" spans="1:23" x14ac:dyDescent="0.25">
      <c r="A2159" s="98"/>
      <c r="H2159" s="101"/>
      <c r="I2159" s="101"/>
      <c r="J2159" s="101"/>
      <c r="K2159" s="101"/>
      <c r="L2159" s="101"/>
      <c r="M2159" s="101"/>
      <c r="N2159" s="101"/>
      <c r="O2159" s="101"/>
      <c r="P2159" s="101"/>
      <c r="Q2159" s="101"/>
      <c r="R2159" s="101"/>
      <c r="S2159" s="110"/>
      <c r="T2159" s="102"/>
      <c r="U2159" s="101"/>
      <c r="V2159" s="103"/>
      <c r="W2159" s="101"/>
    </row>
    <row r="2160" spans="1:23" x14ac:dyDescent="0.25">
      <c r="A2160" s="98"/>
      <c r="H2160" s="101"/>
      <c r="I2160" s="101"/>
      <c r="J2160" s="101"/>
      <c r="K2160" s="101"/>
      <c r="L2160" s="101"/>
      <c r="M2160" s="101"/>
      <c r="N2160" s="101"/>
      <c r="O2160" s="101"/>
      <c r="P2160" s="101"/>
      <c r="Q2160" s="101"/>
      <c r="R2160" s="101"/>
      <c r="S2160" s="110"/>
      <c r="T2160" s="102"/>
      <c r="U2160" s="101"/>
      <c r="V2160" s="103"/>
      <c r="W2160" s="101"/>
    </row>
    <row r="2161" spans="1:23" x14ac:dyDescent="0.25">
      <c r="A2161" s="98"/>
      <c r="H2161" s="101"/>
      <c r="I2161" s="101"/>
      <c r="J2161" s="101"/>
      <c r="K2161" s="101"/>
      <c r="L2161" s="101"/>
      <c r="M2161" s="101"/>
      <c r="N2161" s="101"/>
      <c r="O2161" s="101"/>
      <c r="P2161" s="101"/>
      <c r="Q2161" s="101"/>
      <c r="R2161" s="101"/>
      <c r="S2161" s="110"/>
      <c r="T2161" s="102"/>
      <c r="U2161" s="101"/>
      <c r="V2161" s="103"/>
      <c r="W2161" s="101"/>
    </row>
    <row r="2162" spans="1:23" x14ac:dyDescent="0.25">
      <c r="A2162" s="98"/>
      <c r="H2162" s="101"/>
      <c r="I2162" s="101"/>
      <c r="J2162" s="101"/>
      <c r="K2162" s="101"/>
      <c r="L2162" s="101"/>
      <c r="M2162" s="101"/>
      <c r="N2162" s="101"/>
      <c r="O2162" s="101"/>
      <c r="P2162" s="101"/>
      <c r="Q2162" s="101"/>
      <c r="R2162" s="101"/>
      <c r="S2162" s="110"/>
      <c r="T2162" s="102"/>
      <c r="U2162" s="101"/>
      <c r="V2162" s="103"/>
      <c r="W2162" s="101"/>
    </row>
    <row r="2163" spans="1:23" x14ac:dyDescent="0.25">
      <c r="A2163" s="98"/>
      <c r="H2163" s="101"/>
      <c r="I2163" s="101"/>
      <c r="J2163" s="101"/>
      <c r="K2163" s="101"/>
      <c r="L2163" s="101"/>
      <c r="M2163" s="101"/>
      <c r="N2163" s="101"/>
      <c r="O2163" s="101"/>
      <c r="P2163" s="101"/>
      <c r="Q2163" s="101"/>
      <c r="R2163" s="101"/>
      <c r="S2163" s="110"/>
      <c r="T2163" s="102"/>
      <c r="U2163" s="101"/>
      <c r="V2163" s="103"/>
      <c r="W2163" s="101"/>
    </row>
    <row r="2164" spans="1:23" x14ac:dyDescent="0.25">
      <c r="A2164" s="98"/>
      <c r="H2164" s="101"/>
      <c r="I2164" s="101"/>
      <c r="J2164" s="101"/>
      <c r="K2164" s="101"/>
      <c r="L2164" s="101"/>
      <c r="M2164" s="101"/>
      <c r="N2164" s="101"/>
      <c r="O2164" s="101"/>
      <c r="P2164" s="101"/>
      <c r="Q2164" s="101"/>
      <c r="R2164" s="101"/>
      <c r="S2164" s="110"/>
      <c r="T2164" s="102"/>
      <c r="U2164" s="101"/>
      <c r="V2164" s="103"/>
      <c r="W2164" s="101"/>
    </row>
    <row r="2165" spans="1:23" x14ac:dyDescent="0.25">
      <c r="A2165" s="98"/>
      <c r="H2165" s="101"/>
      <c r="I2165" s="101"/>
      <c r="J2165" s="101"/>
      <c r="K2165" s="101"/>
      <c r="L2165" s="101"/>
      <c r="M2165" s="101"/>
      <c r="N2165" s="101"/>
      <c r="O2165" s="101"/>
      <c r="P2165" s="101"/>
      <c r="Q2165" s="101"/>
      <c r="R2165" s="101"/>
      <c r="S2165" s="110"/>
      <c r="T2165" s="102"/>
      <c r="U2165" s="101"/>
      <c r="V2165" s="103"/>
      <c r="W2165" s="101"/>
    </row>
    <row r="2166" spans="1:23" x14ac:dyDescent="0.25">
      <c r="A2166" s="98"/>
      <c r="H2166" s="101"/>
      <c r="I2166" s="101"/>
      <c r="J2166" s="101"/>
      <c r="K2166" s="101"/>
      <c r="L2166" s="101"/>
      <c r="M2166" s="101"/>
      <c r="N2166" s="101"/>
      <c r="O2166" s="101"/>
      <c r="P2166" s="101"/>
      <c r="Q2166" s="101"/>
      <c r="R2166" s="101"/>
      <c r="S2166" s="110"/>
      <c r="T2166" s="102"/>
      <c r="U2166" s="101"/>
      <c r="V2166" s="103"/>
      <c r="W2166" s="101"/>
    </row>
    <row r="2167" spans="1:23" x14ac:dyDescent="0.25">
      <c r="A2167" s="98"/>
      <c r="H2167" s="101"/>
      <c r="I2167" s="101"/>
      <c r="J2167" s="101"/>
      <c r="K2167" s="101"/>
      <c r="L2167" s="101"/>
      <c r="M2167" s="101"/>
      <c r="N2167" s="101"/>
      <c r="O2167" s="101"/>
      <c r="P2167" s="101"/>
      <c r="Q2167" s="101"/>
      <c r="R2167" s="101"/>
      <c r="S2167" s="110"/>
      <c r="T2167" s="102"/>
      <c r="U2167" s="101"/>
      <c r="V2167" s="103"/>
      <c r="W2167" s="101"/>
    </row>
    <row r="2168" spans="1:23" x14ac:dyDescent="0.25">
      <c r="A2168" s="98"/>
      <c r="H2168" s="101"/>
      <c r="I2168" s="101"/>
      <c r="J2168" s="101"/>
      <c r="K2168" s="101"/>
      <c r="L2168" s="101"/>
      <c r="M2168" s="101"/>
      <c r="N2168" s="101"/>
      <c r="O2168" s="101"/>
      <c r="P2168" s="101"/>
      <c r="Q2168" s="101"/>
      <c r="R2168" s="101"/>
      <c r="S2168" s="110"/>
      <c r="T2168" s="102"/>
      <c r="U2168" s="101"/>
      <c r="V2168" s="103"/>
      <c r="W2168" s="101"/>
    </row>
    <row r="2169" spans="1:23" x14ac:dyDescent="0.25">
      <c r="A2169" s="98"/>
      <c r="H2169" s="101"/>
      <c r="I2169" s="101"/>
      <c r="J2169" s="101"/>
      <c r="K2169" s="101"/>
      <c r="L2169" s="101"/>
      <c r="M2169" s="101"/>
      <c r="N2169" s="101"/>
      <c r="O2169" s="101"/>
      <c r="P2169" s="101"/>
      <c r="Q2169" s="101"/>
      <c r="R2169" s="101"/>
      <c r="S2169" s="110"/>
      <c r="T2169" s="102"/>
      <c r="U2169" s="101"/>
      <c r="V2169" s="103"/>
      <c r="W2169" s="101"/>
    </row>
    <row r="2170" spans="1:23" x14ac:dyDescent="0.25">
      <c r="A2170" s="98"/>
      <c r="H2170" s="101"/>
      <c r="I2170" s="101"/>
      <c r="J2170" s="101"/>
      <c r="K2170" s="101"/>
      <c r="L2170" s="101"/>
      <c r="M2170" s="101"/>
      <c r="N2170" s="101"/>
      <c r="O2170" s="101"/>
      <c r="P2170" s="101"/>
      <c r="Q2170" s="101"/>
      <c r="R2170" s="101"/>
      <c r="S2170" s="110"/>
      <c r="T2170" s="102"/>
      <c r="U2170" s="101"/>
      <c r="V2170" s="103"/>
      <c r="W2170" s="101"/>
    </row>
    <row r="2171" spans="1:23" x14ac:dyDescent="0.25">
      <c r="A2171" s="98"/>
      <c r="H2171" s="101"/>
      <c r="I2171" s="101"/>
      <c r="J2171" s="101"/>
      <c r="K2171" s="101"/>
      <c r="L2171" s="101"/>
      <c r="M2171" s="101"/>
      <c r="N2171" s="101"/>
      <c r="O2171" s="101"/>
      <c r="P2171" s="101"/>
      <c r="Q2171" s="101"/>
      <c r="R2171" s="101"/>
      <c r="S2171" s="110"/>
      <c r="T2171" s="102"/>
      <c r="U2171" s="101"/>
      <c r="V2171" s="103"/>
      <c r="W2171" s="101"/>
    </row>
    <row r="2172" spans="1:23" x14ac:dyDescent="0.25">
      <c r="A2172" s="98"/>
      <c r="H2172" s="101"/>
      <c r="I2172" s="101"/>
      <c r="J2172" s="101"/>
      <c r="K2172" s="101"/>
      <c r="L2172" s="101"/>
      <c r="M2172" s="101"/>
      <c r="N2172" s="101"/>
      <c r="O2172" s="101"/>
      <c r="P2172" s="101"/>
      <c r="Q2172" s="101"/>
      <c r="R2172" s="101"/>
      <c r="S2172" s="110"/>
      <c r="T2172" s="102"/>
      <c r="U2172" s="101"/>
      <c r="V2172" s="103"/>
      <c r="W2172" s="101"/>
    </row>
    <row r="2173" spans="1:23" x14ac:dyDescent="0.25">
      <c r="A2173" s="98"/>
      <c r="H2173" s="101"/>
      <c r="I2173" s="101"/>
      <c r="J2173" s="101"/>
      <c r="K2173" s="101"/>
      <c r="L2173" s="101"/>
      <c r="M2173" s="101"/>
      <c r="N2173" s="101"/>
      <c r="O2173" s="101"/>
      <c r="P2173" s="101"/>
      <c r="Q2173" s="101"/>
      <c r="R2173" s="101"/>
      <c r="S2173" s="110"/>
      <c r="T2173" s="102"/>
      <c r="U2173" s="101"/>
      <c r="V2173" s="103"/>
      <c r="W2173" s="101"/>
    </row>
    <row r="2174" spans="1:23" x14ac:dyDescent="0.25">
      <c r="A2174" s="98"/>
      <c r="H2174" s="101"/>
      <c r="I2174" s="101"/>
      <c r="J2174" s="101"/>
      <c r="K2174" s="101"/>
      <c r="L2174" s="101"/>
      <c r="M2174" s="101"/>
      <c r="N2174" s="101"/>
      <c r="O2174" s="101"/>
      <c r="P2174" s="101"/>
      <c r="Q2174" s="101"/>
      <c r="R2174" s="101"/>
      <c r="S2174" s="110"/>
      <c r="T2174" s="102"/>
      <c r="U2174" s="101"/>
      <c r="V2174" s="103"/>
      <c r="W2174" s="101"/>
    </row>
    <row r="2175" spans="1:23" x14ac:dyDescent="0.25">
      <c r="A2175" s="98"/>
      <c r="H2175" s="101"/>
      <c r="I2175" s="101"/>
      <c r="J2175" s="101"/>
      <c r="K2175" s="101"/>
      <c r="L2175" s="101"/>
      <c r="M2175" s="101"/>
      <c r="N2175" s="101"/>
      <c r="O2175" s="101"/>
      <c r="P2175" s="101"/>
      <c r="Q2175" s="101"/>
      <c r="R2175" s="101"/>
      <c r="S2175" s="110"/>
      <c r="T2175" s="102"/>
      <c r="U2175" s="101"/>
      <c r="V2175" s="103"/>
      <c r="W2175" s="101"/>
    </row>
    <row r="2176" spans="1:23" x14ac:dyDescent="0.25">
      <c r="A2176" s="98"/>
      <c r="H2176" s="101"/>
      <c r="I2176" s="101"/>
      <c r="J2176" s="101"/>
      <c r="K2176" s="101"/>
      <c r="L2176" s="101"/>
      <c r="M2176" s="101"/>
      <c r="N2176" s="101"/>
      <c r="O2176" s="101"/>
      <c r="P2176" s="101"/>
      <c r="Q2176" s="101"/>
      <c r="R2176" s="101"/>
      <c r="S2176" s="110"/>
      <c r="T2176" s="102"/>
      <c r="U2176" s="101"/>
      <c r="V2176" s="103"/>
      <c r="W2176" s="101"/>
    </row>
    <row r="2177" spans="1:23" x14ac:dyDescent="0.25">
      <c r="A2177" s="98"/>
      <c r="H2177" s="101"/>
      <c r="I2177" s="101"/>
      <c r="J2177" s="101"/>
      <c r="K2177" s="101"/>
      <c r="L2177" s="101"/>
      <c r="M2177" s="101"/>
      <c r="N2177" s="101"/>
      <c r="O2177" s="101"/>
      <c r="P2177" s="101"/>
      <c r="Q2177" s="101"/>
      <c r="R2177" s="101"/>
      <c r="S2177" s="110"/>
      <c r="T2177" s="102"/>
      <c r="U2177" s="101"/>
      <c r="V2177" s="103"/>
      <c r="W2177" s="101"/>
    </row>
    <row r="2178" spans="1:23" x14ac:dyDescent="0.25">
      <c r="A2178" s="98"/>
      <c r="H2178" s="101"/>
      <c r="I2178" s="101"/>
      <c r="J2178" s="101"/>
      <c r="K2178" s="101"/>
      <c r="L2178" s="101"/>
      <c r="M2178" s="101"/>
      <c r="N2178" s="101"/>
      <c r="O2178" s="101"/>
      <c r="P2178" s="101"/>
      <c r="Q2178" s="101"/>
      <c r="R2178" s="101"/>
      <c r="S2178" s="110"/>
      <c r="T2178" s="102"/>
      <c r="U2178" s="101"/>
      <c r="V2178" s="103"/>
      <c r="W2178" s="101"/>
    </row>
    <row r="2179" spans="1:23" x14ac:dyDescent="0.25">
      <c r="A2179" s="98"/>
      <c r="H2179" s="101"/>
      <c r="I2179" s="101"/>
      <c r="J2179" s="101"/>
      <c r="K2179" s="101"/>
      <c r="L2179" s="101"/>
      <c r="M2179" s="101"/>
      <c r="N2179" s="101"/>
      <c r="O2179" s="101"/>
      <c r="P2179" s="101"/>
      <c r="Q2179" s="101"/>
      <c r="R2179" s="101"/>
      <c r="S2179" s="110"/>
      <c r="T2179" s="102"/>
      <c r="U2179" s="101"/>
      <c r="V2179" s="103"/>
      <c r="W2179" s="101"/>
    </row>
    <row r="2180" spans="1:23" x14ac:dyDescent="0.25">
      <c r="A2180" s="98"/>
      <c r="H2180" s="101"/>
      <c r="I2180" s="101"/>
      <c r="J2180" s="101"/>
      <c r="K2180" s="101"/>
      <c r="L2180" s="101"/>
      <c r="M2180" s="101"/>
      <c r="N2180" s="101"/>
      <c r="O2180" s="101"/>
      <c r="P2180" s="101"/>
      <c r="Q2180" s="101"/>
      <c r="R2180" s="101"/>
      <c r="S2180" s="110"/>
      <c r="T2180" s="102"/>
      <c r="U2180" s="101"/>
      <c r="V2180" s="103"/>
      <c r="W2180" s="101"/>
    </row>
    <row r="2181" spans="1:23" x14ac:dyDescent="0.25">
      <c r="A2181" s="98"/>
      <c r="H2181" s="101"/>
      <c r="I2181" s="101"/>
      <c r="J2181" s="101"/>
      <c r="K2181" s="101"/>
      <c r="L2181" s="101"/>
      <c r="M2181" s="101"/>
      <c r="N2181" s="101"/>
      <c r="O2181" s="101"/>
      <c r="P2181" s="101"/>
      <c r="Q2181" s="101"/>
      <c r="R2181" s="101"/>
      <c r="S2181" s="110"/>
      <c r="T2181" s="102"/>
      <c r="U2181" s="101"/>
      <c r="V2181" s="103"/>
      <c r="W2181" s="101"/>
    </row>
    <row r="2182" spans="1:23" x14ac:dyDescent="0.25">
      <c r="A2182" s="98"/>
      <c r="H2182" s="101"/>
      <c r="I2182" s="101"/>
      <c r="J2182" s="101"/>
      <c r="K2182" s="101"/>
      <c r="L2182" s="101"/>
      <c r="M2182" s="101"/>
      <c r="N2182" s="101"/>
      <c r="O2182" s="101"/>
      <c r="P2182" s="101"/>
      <c r="Q2182" s="101"/>
      <c r="R2182" s="101"/>
      <c r="S2182" s="110"/>
      <c r="T2182" s="102"/>
      <c r="U2182" s="101"/>
      <c r="V2182" s="103"/>
      <c r="W2182" s="101"/>
    </row>
    <row r="2183" spans="1:23" x14ac:dyDescent="0.25">
      <c r="A2183" s="98"/>
      <c r="H2183" s="101"/>
      <c r="I2183" s="101"/>
      <c r="J2183" s="101"/>
      <c r="K2183" s="101"/>
      <c r="L2183" s="101"/>
      <c r="M2183" s="101"/>
      <c r="N2183" s="101"/>
      <c r="O2183" s="101"/>
      <c r="P2183" s="101"/>
      <c r="Q2183" s="101"/>
      <c r="R2183" s="101"/>
      <c r="S2183" s="110"/>
      <c r="T2183" s="102"/>
      <c r="U2183" s="101"/>
      <c r="V2183" s="103"/>
      <c r="W2183" s="101"/>
    </row>
    <row r="2184" spans="1:23" x14ac:dyDescent="0.25">
      <c r="A2184" s="98"/>
      <c r="H2184" s="101"/>
      <c r="I2184" s="101"/>
      <c r="J2184" s="101"/>
      <c r="K2184" s="101"/>
      <c r="L2184" s="101"/>
      <c r="M2184" s="101"/>
      <c r="N2184" s="101"/>
      <c r="O2184" s="101"/>
      <c r="P2184" s="101"/>
      <c r="Q2184" s="101"/>
      <c r="R2184" s="101"/>
      <c r="S2184" s="110"/>
      <c r="T2184" s="102"/>
      <c r="U2184" s="101"/>
      <c r="V2184" s="103"/>
      <c r="W2184" s="101"/>
    </row>
    <row r="2185" spans="1:23" x14ac:dyDescent="0.25">
      <c r="A2185" s="98"/>
      <c r="H2185" s="101"/>
      <c r="I2185" s="101"/>
      <c r="J2185" s="101"/>
      <c r="K2185" s="101"/>
      <c r="L2185" s="101"/>
      <c r="M2185" s="101"/>
      <c r="N2185" s="101"/>
      <c r="O2185" s="101"/>
      <c r="P2185" s="101"/>
      <c r="Q2185" s="101"/>
      <c r="R2185" s="101"/>
      <c r="S2185" s="110"/>
      <c r="T2185" s="102"/>
      <c r="U2185" s="101"/>
      <c r="V2185" s="103"/>
      <c r="W2185" s="101"/>
    </row>
    <row r="2186" spans="1:23" x14ac:dyDescent="0.25">
      <c r="A2186" s="98"/>
      <c r="H2186" s="101"/>
      <c r="I2186" s="101"/>
      <c r="J2186" s="101"/>
      <c r="K2186" s="101"/>
      <c r="L2186" s="101"/>
      <c r="M2186" s="101"/>
      <c r="N2186" s="101"/>
      <c r="O2186" s="101"/>
      <c r="P2186" s="101"/>
      <c r="Q2186" s="101"/>
      <c r="R2186" s="101"/>
      <c r="S2186" s="110"/>
      <c r="T2186" s="102"/>
      <c r="U2186" s="101"/>
      <c r="V2186" s="103"/>
      <c r="W2186" s="101"/>
    </row>
    <row r="2187" spans="1:23" x14ac:dyDescent="0.25">
      <c r="A2187" s="98"/>
      <c r="H2187" s="101"/>
      <c r="I2187" s="101"/>
      <c r="J2187" s="101"/>
      <c r="K2187" s="101"/>
      <c r="L2187" s="101"/>
      <c r="M2187" s="101"/>
      <c r="N2187" s="101"/>
      <c r="O2187" s="101"/>
      <c r="P2187" s="101"/>
      <c r="Q2187" s="101"/>
      <c r="R2187" s="101"/>
      <c r="S2187" s="110"/>
      <c r="T2187" s="102"/>
      <c r="U2187" s="101"/>
      <c r="V2187" s="103"/>
      <c r="W2187" s="101"/>
    </row>
    <row r="2188" spans="1:23" x14ac:dyDescent="0.25">
      <c r="A2188" s="98"/>
      <c r="H2188" s="101"/>
      <c r="I2188" s="101"/>
      <c r="J2188" s="101"/>
      <c r="K2188" s="101"/>
      <c r="L2188" s="101"/>
      <c r="M2188" s="101"/>
      <c r="N2188" s="101"/>
      <c r="O2188" s="101"/>
      <c r="P2188" s="101"/>
      <c r="Q2188" s="101"/>
      <c r="R2188" s="101"/>
      <c r="S2188" s="110"/>
      <c r="T2188" s="102"/>
      <c r="U2188" s="101"/>
      <c r="V2188" s="103"/>
      <c r="W2188" s="101"/>
    </row>
    <row r="2189" spans="1:23" x14ac:dyDescent="0.25">
      <c r="A2189" s="98"/>
      <c r="H2189" s="101"/>
      <c r="I2189" s="101"/>
      <c r="J2189" s="101"/>
      <c r="K2189" s="101"/>
      <c r="L2189" s="101"/>
      <c r="M2189" s="101"/>
      <c r="N2189" s="101"/>
      <c r="O2189" s="101"/>
      <c r="P2189" s="101"/>
      <c r="Q2189" s="101"/>
      <c r="R2189" s="101"/>
      <c r="S2189" s="110"/>
      <c r="T2189" s="102"/>
      <c r="U2189" s="101"/>
      <c r="V2189" s="103"/>
      <c r="W2189" s="101"/>
    </row>
    <row r="2190" spans="1:23" x14ac:dyDescent="0.25">
      <c r="A2190" s="98"/>
      <c r="H2190" s="101"/>
      <c r="I2190" s="101"/>
      <c r="J2190" s="101"/>
      <c r="K2190" s="101"/>
      <c r="L2190" s="101"/>
      <c r="M2190" s="101"/>
      <c r="N2190" s="101"/>
      <c r="O2190" s="101"/>
      <c r="P2190" s="101"/>
      <c r="Q2190" s="101"/>
      <c r="R2190" s="101"/>
      <c r="S2190" s="110"/>
      <c r="T2190" s="102"/>
      <c r="U2190" s="101"/>
      <c r="V2190" s="103"/>
      <c r="W2190" s="101"/>
    </row>
    <row r="2191" spans="1:23" x14ac:dyDescent="0.25">
      <c r="A2191" s="98"/>
      <c r="H2191" s="101"/>
      <c r="I2191" s="101"/>
      <c r="J2191" s="101"/>
      <c r="K2191" s="101"/>
      <c r="L2191" s="101"/>
      <c r="M2191" s="101"/>
      <c r="N2191" s="101"/>
      <c r="O2191" s="101"/>
      <c r="P2191" s="101"/>
      <c r="Q2191" s="101"/>
      <c r="R2191" s="101"/>
      <c r="S2191" s="110"/>
      <c r="T2191" s="102"/>
      <c r="U2191" s="101"/>
      <c r="V2191" s="103"/>
      <c r="W2191" s="101"/>
    </row>
    <row r="2192" spans="1:23" x14ac:dyDescent="0.25">
      <c r="A2192" s="98"/>
      <c r="H2192" s="101"/>
      <c r="I2192" s="101"/>
      <c r="J2192" s="101"/>
      <c r="K2192" s="101"/>
      <c r="L2192" s="101"/>
      <c r="M2192" s="101"/>
      <c r="N2192" s="101"/>
      <c r="O2192" s="101"/>
      <c r="P2192" s="101"/>
      <c r="Q2192" s="101"/>
      <c r="R2192" s="101"/>
      <c r="S2192" s="110"/>
      <c r="T2192" s="102"/>
      <c r="U2192" s="101"/>
      <c r="V2192" s="103"/>
      <c r="W2192" s="101"/>
    </row>
    <row r="2193" spans="1:23" x14ac:dyDescent="0.25">
      <c r="A2193" s="98"/>
      <c r="H2193" s="101"/>
      <c r="I2193" s="101"/>
      <c r="J2193" s="101"/>
      <c r="K2193" s="101"/>
      <c r="L2193" s="101"/>
      <c r="M2193" s="101"/>
      <c r="N2193" s="101"/>
      <c r="O2193" s="101"/>
      <c r="P2193" s="101"/>
      <c r="Q2193" s="101"/>
      <c r="R2193" s="101"/>
      <c r="S2193" s="110"/>
      <c r="T2193" s="102"/>
      <c r="U2193" s="101"/>
      <c r="V2193" s="103"/>
      <c r="W2193" s="101"/>
    </row>
    <row r="2194" spans="1:23" x14ac:dyDescent="0.25">
      <c r="A2194" s="98"/>
      <c r="H2194" s="101"/>
      <c r="I2194" s="101"/>
      <c r="J2194" s="101"/>
      <c r="K2194" s="101"/>
      <c r="L2194" s="101"/>
      <c r="M2194" s="101"/>
      <c r="N2194" s="101"/>
      <c r="O2194" s="101"/>
      <c r="P2194" s="101"/>
      <c r="Q2194" s="101"/>
      <c r="R2194" s="101"/>
      <c r="S2194" s="110"/>
      <c r="T2194" s="102"/>
      <c r="U2194" s="101"/>
      <c r="V2194" s="103"/>
      <c r="W2194" s="101"/>
    </row>
    <row r="2195" spans="1:23" x14ac:dyDescent="0.25">
      <c r="A2195" s="98"/>
      <c r="H2195" s="101"/>
      <c r="I2195" s="101"/>
      <c r="J2195" s="101"/>
      <c r="K2195" s="101"/>
      <c r="L2195" s="101"/>
      <c r="M2195" s="101"/>
      <c r="N2195" s="101"/>
      <c r="O2195" s="101"/>
      <c r="P2195" s="101"/>
      <c r="Q2195" s="101"/>
      <c r="R2195" s="101"/>
      <c r="S2195" s="110"/>
      <c r="T2195" s="102"/>
      <c r="U2195" s="101"/>
      <c r="V2195" s="103"/>
      <c r="W2195" s="101"/>
    </row>
    <row r="2196" spans="1:23" x14ac:dyDescent="0.25">
      <c r="A2196" s="98"/>
      <c r="H2196" s="101"/>
      <c r="I2196" s="101"/>
      <c r="J2196" s="101"/>
      <c r="K2196" s="101"/>
      <c r="L2196" s="101"/>
      <c r="M2196" s="101"/>
      <c r="N2196" s="101"/>
      <c r="O2196" s="101"/>
      <c r="P2196" s="101"/>
      <c r="Q2196" s="101"/>
      <c r="R2196" s="101"/>
      <c r="S2196" s="110"/>
      <c r="T2196" s="102"/>
      <c r="U2196" s="101"/>
      <c r="V2196" s="103"/>
      <c r="W2196" s="101"/>
    </row>
    <row r="2197" spans="1:23" x14ac:dyDescent="0.25">
      <c r="A2197" s="98"/>
      <c r="H2197" s="101"/>
      <c r="I2197" s="101"/>
      <c r="J2197" s="101"/>
      <c r="K2197" s="101"/>
      <c r="L2197" s="101"/>
      <c r="M2197" s="101"/>
      <c r="N2197" s="101"/>
      <c r="O2197" s="101"/>
      <c r="P2197" s="101"/>
      <c r="Q2197" s="101"/>
      <c r="R2197" s="101"/>
      <c r="S2197" s="110"/>
      <c r="T2197" s="102"/>
      <c r="U2197" s="101"/>
      <c r="V2197" s="103"/>
      <c r="W2197" s="101"/>
    </row>
    <row r="2198" spans="1:23" x14ac:dyDescent="0.25">
      <c r="A2198" s="98"/>
      <c r="H2198" s="101"/>
      <c r="I2198" s="101"/>
      <c r="J2198" s="101"/>
      <c r="K2198" s="101"/>
      <c r="L2198" s="101"/>
      <c r="M2198" s="101"/>
      <c r="N2198" s="101"/>
      <c r="O2198" s="101"/>
      <c r="P2198" s="101"/>
      <c r="Q2198" s="101"/>
      <c r="R2198" s="101"/>
      <c r="S2198" s="110"/>
      <c r="T2198" s="102"/>
      <c r="U2198" s="101"/>
      <c r="V2198" s="103"/>
      <c r="W2198" s="101"/>
    </row>
    <row r="2199" spans="1:23" x14ac:dyDescent="0.25">
      <c r="A2199" s="98"/>
      <c r="H2199" s="101"/>
      <c r="I2199" s="101"/>
      <c r="J2199" s="101"/>
      <c r="K2199" s="101"/>
      <c r="L2199" s="101"/>
      <c r="M2199" s="101"/>
      <c r="N2199" s="101"/>
      <c r="O2199" s="101"/>
      <c r="P2199" s="101"/>
      <c r="Q2199" s="101"/>
      <c r="R2199" s="101"/>
      <c r="S2199" s="110"/>
      <c r="T2199" s="102"/>
      <c r="U2199" s="101"/>
      <c r="V2199" s="103"/>
      <c r="W2199" s="101"/>
    </row>
    <row r="2200" spans="1:23" x14ac:dyDescent="0.25">
      <c r="A2200" s="98"/>
      <c r="H2200" s="101"/>
      <c r="I2200" s="101"/>
      <c r="J2200" s="101"/>
      <c r="K2200" s="101"/>
      <c r="L2200" s="101"/>
      <c r="M2200" s="101"/>
      <c r="N2200" s="101"/>
      <c r="O2200" s="101"/>
      <c r="P2200" s="101"/>
      <c r="Q2200" s="101"/>
      <c r="R2200" s="101"/>
      <c r="S2200" s="110"/>
      <c r="T2200" s="102"/>
      <c r="U2200" s="101"/>
      <c r="V2200" s="103"/>
      <c r="W2200" s="101"/>
    </row>
    <row r="2201" spans="1:23" x14ac:dyDescent="0.25">
      <c r="A2201" s="98"/>
      <c r="H2201" s="101"/>
      <c r="I2201" s="101"/>
      <c r="J2201" s="101"/>
      <c r="K2201" s="101"/>
      <c r="L2201" s="101"/>
      <c r="M2201" s="101"/>
      <c r="N2201" s="101"/>
      <c r="O2201" s="101"/>
      <c r="P2201" s="101"/>
      <c r="Q2201" s="101"/>
      <c r="R2201" s="101"/>
      <c r="S2201" s="110"/>
      <c r="T2201" s="102"/>
      <c r="U2201" s="101"/>
      <c r="V2201" s="103"/>
      <c r="W2201" s="101"/>
    </row>
    <row r="2202" spans="1:23" x14ac:dyDescent="0.25">
      <c r="A2202" s="98"/>
      <c r="H2202" s="101"/>
      <c r="I2202" s="101"/>
      <c r="J2202" s="101"/>
      <c r="K2202" s="101"/>
      <c r="L2202" s="101"/>
      <c r="M2202" s="101"/>
      <c r="N2202" s="101"/>
      <c r="O2202" s="101"/>
      <c r="P2202" s="101"/>
      <c r="Q2202" s="101"/>
      <c r="R2202" s="101"/>
      <c r="S2202" s="110"/>
      <c r="T2202" s="102"/>
      <c r="U2202" s="101"/>
      <c r="V2202" s="103"/>
      <c r="W2202" s="101"/>
    </row>
    <row r="2203" spans="1:23" x14ac:dyDescent="0.25">
      <c r="A2203" s="98"/>
      <c r="H2203" s="101"/>
      <c r="I2203" s="101"/>
      <c r="J2203" s="101"/>
      <c r="K2203" s="101"/>
      <c r="L2203" s="101"/>
      <c r="M2203" s="101"/>
      <c r="N2203" s="101"/>
      <c r="O2203" s="101"/>
      <c r="P2203" s="101"/>
      <c r="Q2203" s="101"/>
      <c r="R2203" s="101"/>
      <c r="S2203" s="110"/>
      <c r="T2203" s="102"/>
      <c r="U2203" s="101"/>
      <c r="V2203" s="103"/>
      <c r="W2203" s="101"/>
    </row>
    <row r="2204" spans="1:23" x14ac:dyDescent="0.25">
      <c r="A2204" s="98"/>
      <c r="H2204" s="101"/>
      <c r="I2204" s="101"/>
      <c r="J2204" s="101"/>
      <c r="K2204" s="101"/>
      <c r="L2204" s="101"/>
      <c r="M2204" s="101"/>
      <c r="N2204" s="101"/>
      <c r="O2204" s="101"/>
      <c r="P2204" s="101"/>
      <c r="Q2204" s="101"/>
      <c r="R2204" s="101"/>
      <c r="S2204" s="110"/>
      <c r="T2204" s="102"/>
      <c r="U2204" s="101"/>
      <c r="V2204" s="103"/>
      <c r="W2204" s="101"/>
    </row>
    <row r="2205" spans="1:23" x14ac:dyDescent="0.25">
      <c r="A2205" s="98"/>
      <c r="H2205" s="101"/>
      <c r="I2205" s="101"/>
      <c r="J2205" s="101"/>
      <c r="K2205" s="101"/>
      <c r="L2205" s="101"/>
      <c r="M2205" s="101"/>
      <c r="N2205" s="101"/>
      <c r="O2205" s="101"/>
      <c r="P2205" s="101"/>
      <c r="Q2205" s="101"/>
      <c r="R2205" s="101"/>
      <c r="S2205" s="110"/>
      <c r="T2205" s="102"/>
      <c r="U2205" s="101"/>
      <c r="V2205" s="103"/>
      <c r="W2205" s="101"/>
    </row>
    <row r="2206" spans="1:23" x14ac:dyDescent="0.25">
      <c r="A2206" s="98"/>
      <c r="H2206" s="101"/>
      <c r="I2206" s="101"/>
      <c r="J2206" s="101"/>
      <c r="K2206" s="101"/>
      <c r="L2206" s="101"/>
      <c r="M2206" s="101"/>
      <c r="N2206" s="101"/>
      <c r="O2206" s="101"/>
      <c r="P2206" s="101"/>
      <c r="Q2206" s="101"/>
      <c r="R2206" s="101"/>
      <c r="S2206" s="110"/>
      <c r="T2206" s="102"/>
      <c r="U2206" s="101"/>
      <c r="V2206" s="103"/>
      <c r="W2206" s="101"/>
    </row>
    <row r="2207" spans="1:23" x14ac:dyDescent="0.25">
      <c r="A2207" s="98"/>
      <c r="H2207" s="101"/>
      <c r="I2207" s="101"/>
      <c r="J2207" s="101"/>
      <c r="K2207" s="101"/>
      <c r="L2207" s="101"/>
      <c r="M2207" s="101"/>
      <c r="N2207" s="101"/>
      <c r="O2207" s="101"/>
      <c r="P2207" s="101"/>
      <c r="Q2207" s="101"/>
      <c r="R2207" s="101"/>
      <c r="S2207" s="110"/>
      <c r="T2207" s="102"/>
      <c r="U2207" s="101"/>
      <c r="V2207" s="103"/>
      <c r="W2207" s="101"/>
    </row>
    <row r="2208" spans="1:23" x14ac:dyDescent="0.25">
      <c r="A2208" s="98"/>
      <c r="H2208" s="101"/>
      <c r="I2208" s="101"/>
      <c r="J2208" s="101"/>
      <c r="K2208" s="101"/>
      <c r="L2208" s="101"/>
      <c r="M2208" s="101"/>
      <c r="N2208" s="101"/>
      <c r="O2208" s="101"/>
      <c r="P2208" s="101"/>
      <c r="Q2208" s="101"/>
      <c r="R2208" s="101"/>
      <c r="S2208" s="110"/>
      <c r="T2208" s="102"/>
      <c r="U2208" s="101"/>
      <c r="V2208" s="103"/>
      <c r="W2208" s="101"/>
    </row>
    <row r="2209" spans="1:23" x14ac:dyDescent="0.25">
      <c r="A2209" s="98"/>
      <c r="H2209" s="101"/>
      <c r="I2209" s="101"/>
      <c r="J2209" s="101"/>
      <c r="K2209" s="101"/>
      <c r="L2209" s="101"/>
      <c r="M2209" s="101"/>
      <c r="N2209" s="101"/>
      <c r="O2209" s="101"/>
      <c r="P2209" s="101"/>
      <c r="Q2209" s="101"/>
      <c r="R2209" s="101"/>
      <c r="S2209" s="110"/>
      <c r="T2209" s="102"/>
      <c r="U2209" s="101"/>
      <c r="V2209" s="103"/>
      <c r="W2209" s="101"/>
    </row>
    <row r="2210" spans="1:23" x14ac:dyDescent="0.25">
      <c r="A2210" s="98"/>
      <c r="H2210" s="101"/>
      <c r="I2210" s="101"/>
      <c r="J2210" s="101"/>
      <c r="K2210" s="101"/>
      <c r="L2210" s="101"/>
      <c r="M2210" s="101"/>
      <c r="N2210" s="101"/>
      <c r="O2210" s="101"/>
      <c r="P2210" s="101"/>
      <c r="Q2210" s="101"/>
      <c r="R2210" s="101"/>
      <c r="S2210" s="110"/>
      <c r="T2210" s="102"/>
      <c r="U2210" s="101"/>
      <c r="V2210" s="103"/>
      <c r="W2210" s="101"/>
    </row>
    <row r="2211" spans="1:23" x14ac:dyDescent="0.25">
      <c r="A2211" s="98"/>
      <c r="H2211" s="101"/>
      <c r="I2211" s="101"/>
      <c r="J2211" s="101"/>
      <c r="K2211" s="101"/>
      <c r="L2211" s="101"/>
      <c r="M2211" s="101"/>
      <c r="N2211" s="101"/>
      <c r="O2211" s="101"/>
      <c r="P2211" s="101"/>
      <c r="Q2211" s="101"/>
      <c r="R2211" s="101"/>
      <c r="S2211" s="110"/>
      <c r="T2211" s="102"/>
      <c r="U2211" s="101"/>
      <c r="V2211" s="103"/>
      <c r="W2211" s="101"/>
    </row>
    <row r="2212" spans="1:23" x14ac:dyDescent="0.25">
      <c r="A2212" s="98"/>
      <c r="H2212" s="101"/>
      <c r="I2212" s="101"/>
      <c r="J2212" s="101"/>
      <c r="K2212" s="101"/>
      <c r="L2212" s="101"/>
      <c r="M2212" s="101"/>
      <c r="N2212" s="101"/>
      <c r="O2212" s="101"/>
      <c r="P2212" s="101"/>
      <c r="Q2212" s="101"/>
      <c r="R2212" s="101"/>
      <c r="S2212" s="110"/>
      <c r="T2212" s="102"/>
      <c r="U2212" s="101"/>
      <c r="V2212" s="103"/>
      <c r="W2212" s="101"/>
    </row>
    <row r="2213" spans="1:23" x14ac:dyDescent="0.25">
      <c r="A2213" s="98"/>
      <c r="H2213" s="101"/>
      <c r="I2213" s="101"/>
      <c r="J2213" s="101"/>
      <c r="K2213" s="101"/>
      <c r="L2213" s="101"/>
      <c r="M2213" s="101"/>
      <c r="N2213" s="101"/>
      <c r="O2213" s="101"/>
      <c r="P2213" s="101"/>
      <c r="Q2213" s="101"/>
      <c r="R2213" s="101"/>
      <c r="S2213" s="110"/>
      <c r="T2213" s="102"/>
      <c r="U2213" s="101"/>
      <c r="V2213" s="103"/>
      <c r="W2213" s="101"/>
    </row>
    <row r="2214" spans="1:23" x14ac:dyDescent="0.25">
      <c r="A2214" s="98"/>
      <c r="H2214" s="101"/>
      <c r="I2214" s="101"/>
      <c r="J2214" s="101"/>
      <c r="K2214" s="101"/>
      <c r="L2214" s="101"/>
      <c r="M2214" s="101"/>
      <c r="N2214" s="101"/>
      <c r="O2214" s="101"/>
      <c r="P2214" s="101"/>
      <c r="Q2214" s="101"/>
      <c r="R2214" s="101"/>
      <c r="S2214" s="110"/>
      <c r="T2214" s="102"/>
      <c r="U2214" s="101"/>
      <c r="V2214" s="103"/>
      <c r="W2214" s="101"/>
    </row>
    <row r="2215" spans="1:23" x14ac:dyDescent="0.25">
      <c r="A2215" s="98"/>
      <c r="H2215" s="101"/>
      <c r="I2215" s="101"/>
      <c r="J2215" s="101"/>
      <c r="K2215" s="101"/>
      <c r="L2215" s="101"/>
      <c r="M2215" s="101"/>
      <c r="N2215" s="101"/>
      <c r="O2215" s="101"/>
      <c r="P2215" s="101"/>
      <c r="Q2215" s="101"/>
      <c r="R2215" s="101"/>
      <c r="S2215" s="110"/>
      <c r="T2215" s="102"/>
      <c r="U2215" s="101"/>
      <c r="V2215" s="103"/>
      <c r="W2215" s="101"/>
    </row>
    <row r="2216" spans="1:23" x14ac:dyDescent="0.25">
      <c r="A2216" s="98"/>
      <c r="H2216" s="101"/>
      <c r="I2216" s="101"/>
      <c r="J2216" s="101"/>
      <c r="K2216" s="101"/>
      <c r="L2216" s="101"/>
      <c r="M2216" s="101"/>
      <c r="N2216" s="101"/>
      <c r="O2216" s="101"/>
      <c r="P2216" s="101"/>
      <c r="Q2216" s="101"/>
      <c r="R2216" s="101"/>
      <c r="S2216" s="110"/>
      <c r="T2216" s="102"/>
      <c r="U2216" s="101"/>
      <c r="V2216" s="103"/>
      <c r="W2216" s="101"/>
    </row>
    <row r="2217" spans="1:23" x14ac:dyDescent="0.25">
      <c r="A2217" s="98"/>
      <c r="H2217" s="101"/>
      <c r="I2217" s="101"/>
      <c r="J2217" s="101"/>
      <c r="K2217" s="101"/>
      <c r="L2217" s="101"/>
      <c r="M2217" s="101"/>
      <c r="N2217" s="101"/>
      <c r="O2217" s="101"/>
      <c r="P2217" s="101"/>
      <c r="Q2217" s="101"/>
      <c r="R2217" s="101"/>
      <c r="S2217" s="110"/>
      <c r="T2217" s="102"/>
      <c r="U2217" s="101"/>
      <c r="V2217" s="103"/>
      <c r="W2217" s="101"/>
    </row>
    <row r="2218" spans="1:23" x14ac:dyDescent="0.25">
      <c r="A2218" s="98"/>
      <c r="H2218" s="101"/>
      <c r="I2218" s="101"/>
      <c r="J2218" s="101"/>
      <c r="K2218" s="101"/>
      <c r="L2218" s="101"/>
      <c r="M2218" s="101"/>
      <c r="N2218" s="101"/>
      <c r="O2218" s="101"/>
      <c r="P2218" s="101"/>
      <c r="Q2218" s="101"/>
      <c r="R2218" s="101"/>
      <c r="S2218" s="110"/>
      <c r="T2218" s="102"/>
      <c r="U2218" s="101"/>
      <c r="V2218" s="103"/>
      <c r="W2218" s="101"/>
    </row>
    <row r="2219" spans="1:23" x14ac:dyDescent="0.25">
      <c r="A2219" s="98"/>
      <c r="H2219" s="101"/>
      <c r="I2219" s="101"/>
      <c r="J2219" s="101"/>
      <c r="K2219" s="101"/>
      <c r="L2219" s="101"/>
      <c r="M2219" s="101"/>
      <c r="N2219" s="101"/>
      <c r="O2219" s="101"/>
      <c r="P2219" s="101"/>
      <c r="Q2219" s="101"/>
      <c r="R2219" s="101"/>
      <c r="S2219" s="110"/>
      <c r="T2219" s="102"/>
      <c r="U2219" s="101"/>
      <c r="V2219" s="103"/>
      <c r="W2219" s="101"/>
    </row>
    <row r="2220" spans="1:23" x14ac:dyDescent="0.25">
      <c r="A2220" s="98"/>
      <c r="H2220" s="101"/>
      <c r="I2220" s="101"/>
      <c r="J2220" s="101"/>
      <c r="K2220" s="101"/>
      <c r="L2220" s="101"/>
      <c r="M2220" s="101"/>
      <c r="N2220" s="101"/>
      <c r="O2220" s="101"/>
      <c r="P2220" s="101"/>
      <c r="Q2220" s="101"/>
      <c r="R2220" s="101"/>
      <c r="S2220" s="110"/>
      <c r="T2220" s="102"/>
      <c r="U2220" s="101"/>
      <c r="V2220" s="103"/>
      <c r="W2220" s="101"/>
    </row>
    <row r="2221" spans="1:23" x14ac:dyDescent="0.25">
      <c r="A2221" s="98"/>
      <c r="H2221" s="101"/>
      <c r="I2221" s="101"/>
      <c r="J2221" s="101"/>
      <c r="K2221" s="101"/>
      <c r="L2221" s="101"/>
      <c r="M2221" s="101"/>
      <c r="N2221" s="101"/>
      <c r="O2221" s="101"/>
      <c r="P2221" s="101"/>
      <c r="Q2221" s="101"/>
      <c r="R2221" s="101"/>
      <c r="S2221" s="110"/>
      <c r="T2221" s="102"/>
      <c r="U2221" s="101"/>
      <c r="V2221" s="103"/>
      <c r="W2221" s="101"/>
    </row>
    <row r="2222" spans="1:23" x14ac:dyDescent="0.25">
      <c r="A2222" s="98"/>
      <c r="H2222" s="101"/>
      <c r="I2222" s="101"/>
      <c r="J2222" s="101"/>
      <c r="K2222" s="101"/>
      <c r="L2222" s="101"/>
      <c r="M2222" s="101"/>
      <c r="N2222" s="101"/>
      <c r="O2222" s="101"/>
      <c r="P2222" s="101"/>
      <c r="Q2222" s="101"/>
      <c r="R2222" s="101"/>
      <c r="S2222" s="110"/>
      <c r="T2222" s="102"/>
      <c r="U2222" s="101"/>
      <c r="V2222" s="103"/>
      <c r="W2222" s="101"/>
    </row>
    <row r="2223" spans="1:23" x14ac:dyDescent="0.25">
      <c r="A2223" s="98"/>
      <c r="H2223" s="101"/>
      <c r="I2223" s="101"/>
      <c r="J2223" s="101"/>
      <c r="K2223" s="101"/>
      <c r="L2223" s="101"/>
      <c r="M2223" s="101"/>
      <c r="N2223" s="101"/>
      <c r="O2223" s="101"/>
      <c r="P2223" s="101"/>
      <c r="Q2223" s="101"/>
      <c r="R2223" s="101"/>
      <c r="S2223" s="110"/>
      <c r="T2223" s="102"/>
      <c r="U2223" s="101"/>
      <c r="V2223" s="103"/>
      <c r="W2223" s="101"/>
    </row>
    <row r="2224" spans="1:23" x14ac:dyDescent="0.25">
      <c r="A2224" s="98"/>
      <c r="H2224" s="101"/>
      <c r="I2224" s="101"/>
      <c r="J2224" s="101"/>
      <c r="K2224" s="101"/>
      <c r="L2224" s="101"/>
      <c r="M2224" s="101"/>
      <c r="N2224" s="101"/>
      <c r="O2224" s="101"/>
      <c r="P2224" s="101"/>
      <c r="Q2224" s="101"/>
      <c r="R2224" s="101"/>
      <c r="S2224" s="110"/>
      <c r="T2224" s="102"/>
      <c r="U2224" s="101"/>
      <c r="V2224" s="103"/>
      <c r="W2224" s="101"/>
    </row>
    <row r="2225" spans="1:23" x14ac:dyDescent="0.25">
      <c r="A2225" s="98"/>
      <c r="H2225" s="101"/>
      <c r="I2225" s="101"/>
      <c r="J2225" s="101"/>
      <c r="K2225" s="101"/>
      <c r="L2225" s="101"/>
      <c r="M2225" s="101"/>
      <c r="N2225" s="101"/>
      <c r="O2225" s="101"/>
      <c r="P2225" s="101"/>
      <c r="Q2225" s="101"/>
      <c r="R2225" s="101"/>
      <c r="S2225" s="110"/>
      <c r="T2225" s="102"/>
      <c r="U2225" s="101"/>
      <c r="V2225" s="103"/>
      <c r="W2225" s="101"/>
    </row>
    <row r="2226" spans="1:23" x14ac:dyDescent="0.25">
      <c r="A2226" s="98"/>
      <c r="H2226" s="101"/>
      <c r="I2226" s="101"/>
      <c r="J2226" s="101"/>
      <c r="K2226" s="101"/>
      <c r="L2226" s="101"/>
      <c r="M2226" s="101"/>
      <c r="N2226" s="101"/>
      <c r="O2226" s="101"/>
      <c r="P2226" s="101"/>
      <c r="Q2226" s="101"/>
      <c r="R2226" s="101"/>
      <c r="S2226" s="110"/>
      <c r="T2226" s="102"/>
      <c r="U2226" s="101"/>
      <c r="V2226" s="103"/>
      <c r="W2226" s="101"/>
    </row>
    <row r="2227" spans="1:23" x14ac:dyDescent="0.25">
      <c r="A2227" s="98"/>
      <c r="H2227" s="101"/>
      <c r="I2227" s="101"/>
      <c r="J2227" s="101"/>
      <c r="K2227" s="101"/>
      <c r="L2227" s="101"/>
      <c r="M2227" s="101"/>
      <c r="N2227" s="101"/>
      <c r="O2227" s="101"/>
      <c r="P2227" s="101"/>
      <c r="Q2227" s="101"/>
      <c r="R2227" s="101"/>
      <c r="S2227" s="110"/>
      <c r="T2227" s="102"/>
      <c r="U2227" s="101"/>
      <c r="V2227" s="103"/>
      <c r="W2227" s="101"/>
    </row>
    <row r="2228" spans="1:23" x14ac:dyDescent="0.25">
      <c r="A2228" s="98"/>
      <c r="H2228" s="101"/>
      <c r="I2228" s="101"/>
      <c r="J2228" s="101"/>
      <c r="K2228" s="101"/>
      <c r="L2228" s="101"/>
      <c r="M2228" s="101"/>
      <c r="N2228" s="101"/>
      <c r="O2228" s="101"/>
      <c r="P2228" s="101"/>
      <c r="Q2228" s="101"/>
      <c r="R2228" s="101"/>
      <c r="S2228" s="110"/>
      <c r="T2228" s="102"/>
      <c r="U2228" s="101"/>
      <c r="V2228" s="103"/>
      <c r="W2228" s="101"/>
    </row>
    <row r="2229" spans="1:23" x14ac:dyDescent="0.25">
      <c r="A2229" s="98"/>
      <c r="H2229" s="101"/>
      <c r="I2229" s="101"/>
      <c r="J2229" s="101"/>
      <c r="K2229" s="101"/>
      <c r="L2229" s="101"/>
      <c r="M2229" s="101"/>
      <c r="N2229" s="101"/>
      <c r="O2229" s="101"/>
      <c r="P2229" s="101"/>
      <c r="Q2229" s="101"/>
      <c r="R2229" s="101"/>
      <c r="S2229" s="110"/>
      <c r="T2229" s="102"/>
      <c r="U2229" s="101"/>
      <c r="V2229" s="103"/>
      <c r="W2229" s="101"/>
    </row>
    <row r="2230" spans="1:23" x14ac:dyDescent="0.25">
      <c r="A2230" s="98"/>
      <c r="H2230" s="101"/>
      <c r="I2230" s="101"/>
      <c r="J2230" s="101"/>
      <c r="K2230" s="101"/>
      <c r="L2230" s="101"/>
      <c r="M2230" s="101"/>
      <c r="N2230" s="101"/>
      <c r="O2230" s="101"/>
      <c r="P2230" s="101"/>
      <c r="Q2230" s="101"/>
      <c r="R2230" s="101"/>
      <c r="S2230" s="110"/>
      <c r="T2230" s="102"/>
      <c r="U2230" s="101"/>
      <c r="V2230" s="103"/>
      <c r="W2230" s="101"/>
    </row>
    <row r="2231" spans="1:23" x14ac:dyDescent="0.25">
      <c r="A2231" s="98"/>
      <c r="H2231" s="101"/>
      <c r="I2231" s="101"/>
      <c r="J2231" s="101"/>
      <c r="K2231" s="101"/>
      <c r="L2231" s="101"/>
      <c r="M2231" s="101"/>
      <c r="N2231" s="101"/>
      <c r="O2231" s="101"/>
      <c r="P2231" s="101"/>
      <c r="Q2231" s="101"/>
      <c r="R2231" s="101"/>
      <c r="S2231" s="110"/>
      <c r="T2231" s="102"/>
      <c r="U2231" s="101"/>
      <c r="V2231" s="103"/>
      <c r="W2231" s="101"/>
    </row>
    <row r="2232" spans="1:23" x14ac:dyDescent="0.25">
      <c r="A2232" s="98"/>
      <c r="H2232" s="101"/>
      <c r="I2232" s="101"/>
      <c r="J2232" s="101"/>
      <c r="K2232" s="101"/>
      <c r="L2232" s="101"/>
      <c r="M2232" s="101"/>
      <c r="N2232" s="101"/>
      <c r="O2232" s="101"/>
      <c r="P2232" s="101"/>
      <c r="Q2232" s="101"/>
      <c r="R2232" s="101"/>
      <c r="S2232" s="110"/>
      <c r="T2232" s="102"/>
      <c r="U2232" s="101"/>
      <c r="V2232" s="103"/>
      <c r="W2232" s="101"/>
    </row>
    <row r="2233" spans="1:23" x14ac:dyDescent="0.25">
      <c r="A2233" s="98"/>
      <c r="H2233" s="101"/>
      <c r="I2233" s="101"/>
      <c r="J2233" s="101"/>
      <c r="K2233" s="101"/>
      <c r="L2233" s="101"/>
      <c r="M2233" s="101"/>
      <c r="N2233" s="101"/>
      <c r="O2233" s="101"/>
      <c r="P2233" s="101"/>
      <c r="Q2233" s="101"/>
      <c r="R2233" s="101"/>
      <c r="S2233" s="110"/>
      <c r="T2233" s="102"/>
      <c r="U2233" s="101"/>
      <c r="V2233" s="103"/>
      <c r="W2233" s="101"/>
    </row>
    <row r="2234" spans="1:23" x14ac:dyDescent="0.25">
      <c r="A2234" s="98"/>
      <c r="H2234" s="101"/>
      <c r="I2234" s="101"/>
      <c r="J2234" s="101"/>
      <c r="K2234" s="101"/>
      <c r="L2234" s="101"/>
      <c r="M2234" s="101"/>
      <c r="N2234" s="101"/>
      <c r="O2234" s="101"/>
      <c r="P2234" s="101"/>
      <c r="Q2234" s="101"/>
      <c r="R2234" s="101"/>
      <c r="S2234" s="110"/>
      <c r="T2234" s="102"/>
      <c r="U2234" s="101"/>
      <c r="V2234" s="103"/>
      <c r="W2234" s="101"/>
    </row>
    <row r="2235" spans="1:23" x14ac:dyDescent="0.25">
      <c r="A2235" s="98"/>
      <c r="H2235" s="101"/>
      <c r="I2235" s="101"/>
      <c r="J2235" s="101"/>
      <c r="K2235" s="101"/>
      <c r="L2235" s="101"/>
      <c r="M2235" s="101"/>
      <c r="N2235" s="101"/>
      <c r="O2235" s="101"/>
      <c r="P2235" s="101"/>
      <c r="Q2235" s="101"/>
      <c r="R2235" s="101"/>
      <c r="S2235" s="110"/>
      <c r="T2235" s="102"/>
      <c r="U2235" s="101"/>
      <c r="V2235" s="103"/>
      <c r="W2235" s="101"/>
    </row>
    <row r="2236" spans="1:23" x14ac:dyDescent="0.25">
      <c r="A2236" s="98"/>
      <c r="H2236" s="101"/>
      <c r="I2236" s="101"/>
      <c r="J2236" s="101"/>
      <c r="K2236" s="101"/>
      <c r="L2236" s="101"/>
      <c r="M2236" s="101"/>
      <c r="N2236" s="101"/>
      <c r="O2236" s="101"/>
      <c r="P2236" s="101"/>
      <c r="Q2236" s="101"/>
      <c r="R2236" s="101"/>
      <c r="S2236" s="110"/>
      <c r="T2236" s="102"/>
      <c r="U2236" s="101"/>
      <c r="V2236" s="103"/>
      <c r="W2236" s="101"/>
    </row>
    <row r="2237" spans="1:23" x14ac:dyDescent="0.25">
      <c r="A2237" s="98"/>
      <c r="H2237" s="101"/>
      <c r="I2237" s="101"/>
      <c r="J2237" s="101"/>
      <c r="K2237" s="101"/>
      <c r="L2237" s="101"/>
      <c r="M2237" s="101"/>
      <c r="N2237" s="101"/>
      <c r="O2237" s="101"/>
      <c r="P2237" s="101"/>
      <c r="Q2237" s="101"/>
      <c r="R2237" s="101"/>
      <c r="S2237" s="110"/>
      <c r="T2237" s="102"/>
      <c r="U2237" s="101"/>
      <c r="V2237" s="103"/>
      <c r="W2237" s="101"/>
    </row>
    <row r="2238" spans="1:23" x14ac:dyDescent="0.25">
      <c r="A2238" s="98"/>
      <c r="H2238" s="101"/>
      <c r="I2238" s="101"/>
      <c r="J2238" s="101"/>
      <c r="K2238" s="101"/>
      <c r="L2238" s="101"/>
      <c r="M2238" s="101"/>
      <c r="N2238" s="101"/>
      <c r="O2238" s="101"/>
      <c r="P2238" s="101"/>
      <c r="Q2238" s="101"/>
      <c r="R2238" s="101"/>
      <c r="S2238" s="110"/>
      <c r="T2238" s="102"/>
      <c r="U2238" s="101"/>
      <c r="V2238" s="103"/>
      <c r="W2238" s="101"/>
    </row>
    <row r="2239" spans="1:23" x14ac:dyDescent="0.25">
      <c r="A2239" s="98"/>
      <c r="H2239" s="101"/>
      <c r="I2239" s="101"/>
      <c r="J2239" s="101"/>
      <c r="K2239" s="101"/>
      <c r="L2239" s="101"/>
      <c r="M2239" s="101"/>
      <c r="N2239" s="101"/>
      <c r="O2239" s="101"/>
      <c r="P2239" s="101"/>
      <c r="Q2239" s="101"/>
      <c r="R2239" s="101"/>
      <c r="S2239" s="110"/>
      <c r="T2239" s="102"/>
      <c r="U2239" s="101"/>
      <c r="V2239" s="103"/>
      <c r="W2239" s="101"/>
    </row>
    <row r="2240" spans="1:23" x14ac:dyDescent="0.25">
      <c r="A2240" s="98"/>
      <c r="H2240" s="101"/>
      <c r="I2240" s="101"/>
      <c r="J2240" s="101"/>
      <c r="K2240" s="101"/>
      <c r="L2240" s="101"/>
      <c r="M2240" s="101"/>
      <c r="N2240" s="101"/>
      <c r="O2240" s="101"/>
      <c r="P2240" s="101"/>
      <c r="Q2240" s="101"/>
      <c r="R2240" s="101"/>
      <c r="S2240" s="110"/>
      <c r="T2240" s="102"/>
      <c r="U2240" s="101"/>
      <c r="V2240" s="103"/>
      <c r="W2240" s="101"/>
    </row>
    <row r="2241" spans="1:23" x14ac:dyDescent="0.25">
      <c r="A2241" s="98"/>
      <c r="H2241" s="101"/>
      <c r="I2241" s="101"/>
      <c r="J2241" s="101"/>
      <c r="K2241" s="101"/>
      <c r="L2241" s="101"/>
      <c r="M2241" s="101"/>
      <c r="N2241" s="101"/>
      <c r="O2241" s="101"/>
      <c r="P2241" s="101"/>
      <c r="Q2241" s="101"/>
      <c r="R2241" s="101"/>
      <c r="S2241" s="110"/>
      <c r="T2241" s="102"/>
      <c r="U2241" s="101"/>
      <c r="V2241" s="103"/>
      <c r="W2241" s="101"/>
    </row>
    <row r="2242" spans="1:23" x14ac:dyDescent="0.25">
      <c r="A2242" s="98"/>
      <c r="H2242" s="101"/>
      <c r="I2242" s="101"/>
      <c r="J2242" s="101"/>
      <c r="K2242" s="101"/>
      <c r="L2242" s="101"/>
      <c r="M2242" s="101"/>
      <c r="N2242" s="101"/>
      <c r="O2242" s="101"/>
      <c r="P2242" s="101"/>
      <c r="Q2242" s="101"/>
      <c r="R2242" s="101"/>
      <c r="S2242" s="110"/>
      <c r="T2242" s="102"/>
      <c r="U2242" s="101"/>
      <c r="V2242" s="103"/>
      <c r="W2242" s="101"/>
    </row>
    <row r="2243" spans="1:23" x14ac:dyDescent="0.25">
      <c r="A2243" s="98"/>
      <c r="H2243" s="101"/>
      <c r="I2243" s="101"/>
      <c r="J2243" s="101"/>
      <c r="K2243" s="101"/>
      <c r="L2243" s="101"/>
      <c r="M2243" s="101"/>
      <c r="N2243" s="101"/>
      <c r="O2243" s="101"/>
      <c r="P2243" s="101"/>
      <c r="Q2243" s="101"/>
      <c r="R2243" s="101"/>
      <c r="S2243" s="110"/>
      <c r="T2243" s="102"/>
      <c r="U2243" s="101"/>
      <c r="V2243" s="103"/>
      <c r="W2243" s="101"/>
    </row>
    <row r="2244" spans="1:23" x14ac:dyDescent="0.25">
      <c r="A2244" s="98"/>
      <c r="H2244" s="101"/>
      <c r="I2244" s="101"/>
      <c r="J2244" s="101"/>
      <c r="K2244" s="101"/>
      <c r="L2244" s="101"/>
      <c r="M2244" s="101"/>
      <c r="N2244" s="101"/>
      <c r="O2244" s="101"/>
      <c r="P2244" s="101"/>
      <c r="Q2244" s="101"/>
      <c r="R2244" s="101"/>
      <c r="S2244" s="110"/>
      <c r="T2244" s="102"/>
      <c r="U2244" s="101"/>
      <c r="V2244" s="103"/>
      <c r="W2244" s="101"/>
    </row>
    <row r="2245" spans="1:23" x14ac:dyDescent="0.25">
      <c r="A2245" s="98"/>
      <c r="H2245" s="101"/>
      <c r="I2245" s="101"/>
      <c r="J2245" s="101"/>
      <c r="K2245" s="101"/>
      <c r="L2245" s="101"/>
      <c r="M2245" s="101"/>
      <c r="N2245" s="101"/>
      <c r="O2245" s="101"/>
      <c r="P2245" s="101"/>
      <c r="Q2245" s="101"/>
      <c r="R2245" s="101"/>
      <c r="S2245" s="110"/>
      <c r="T2245" s="102"/>
      <c r="U2245" s="101"/>
      <c r="V2245" s="103"/>
      <c r="W2245" s="101"/>
    </row>
    <row r="2246" spans="1:23" x14ac:dyDescent="0.25">
      <c r="A2246" s="98"/>
      <c r="H2246" s="101"/>
      <c r="I2246" s="101"/>
      <c r="J2246" s="101"/>
      <c r="K2246" s="101"/>
      <c r="L2246" s="101"/>
      <c r="M2246" s="101"/>
      <c r="N2246" s="101"/>
      <c r="O2246" s="101"/>
      <c r="P2246" s="101"/>
      <c r="Q2246" s="101"/>
      <c r="R2246" s="101"/>
      <c r="S2246" s="110"/>
      <c r="T2246" s="102"/>
      <c r="U2246" s="101"/>
      <c r="V2246" s="103"/>
      <c r="W2246" s="101"/>
    </row>
    <row r="2247" spans="1:23" x14ac:dyDescent="0.25">
      <c r="A2247" s="98"/>
      <c r="H2247" s="101"/>
      <c r="I2247" s="101"/>
      <c r="J2247" s="101"/>
      <c r="K2247" s="101"/>
      <c r="L2247" s="101"/>
      <c r="M2247" s="101"/>
      <c r="N2247" s="101"/>
      <c r="O2247" s="101"/>
      <c r="P2247" s="101"/>
      <c r="Q2247" s="101"/>
      <c r="R2247" s="101"/>
      <c r="S2247" s="110"/>
      <c r="T2247" s="102"/>
      <c r="U2247" s="101"/>
      <c r="V2247" s="103"/>
      <c r="W2247" s="101"/>
    </row>
    <row r="2248" spans="1:23" x14ac:dyDescent="0.25">
      <c r="A2248" s="98"/>
      <c r="H2248" s="101"/>
      <c r="I2248" s="101"/>
      <c r="J2248" s="101"/>
      <c r="K2248" s="101"/>
      <c r="L2248" s="101"/>
      <c r="M2248" s="101"/>
      <c r="N2248" s="101"/>
      <c r="O2248" s="101"/>
      <c r="P2248" s="101"/>
      <c r="Q2248" s="101"/>
      <c r="R2248" s="101"/>
      <c r="S2248" s="110"/>
      <c r="T2248" s="102"/>
      <c r="U2248" s="101"/>
      <c r="V2248" s="103"/>
      <c r="W2248" s="101"/>
    </row>
    <row r="2249" spans="1:23" x14ac:dyDescent="0.25">
      <c r="A2249" s="98"/>
      <c r="H2249" s="101"/>
      <c r="I2249" s="101"/>
      <c r="J2249" s="101"/>
      <c r="K2249" s="101"/>
      <c r="L2249" s="101"/>
      <c r="M2249" s="101"/>
      <c r="N2249" s="101"/>
      <c r="O2249" s="101"/>
      <c r="P2249" s="101"/>
      <c r="Q2249" s="101"/>
      <c r="R2249" s="101"/>
      <c r="S2249" s="110"/>
      <c r="T2249" s="102"/>
      <c r="U2249" s="101"/>
      <c r="V2249" s="103"/>
      <c r="W2249" s="101"/>
    </row>
    <row r="2250" spans="1:23" x14ac:dyDescent="0.25">
      <c r="A2250" s="98"/>
      <c r="H2250" s="101"/>
      <c r="I2250" s="101"/>
      <c r="J2250" s="101"/>
      <c r="K2250" s="101"/>
      <c r="L2250" s="101"/>
      <c r="M2250" s="101"/>
      <c r="N2250" s="101"/>
      <c r="O2250" s="101"/>
      <c r="P2250" s="101"/>
      <c r="Q2250" s="101"/>
      <c r="R2250" s="101"/>
      <c r="S2250" s="110"/>
      <c r="T2250" s="102"/>
      <c r="U2250" s="101"/>
      <c r="V2250" s="103"/>
      <c r="W2250" s="101"/>
    </row>
    <row r="2251" spans="1:23" x14ac:dyDescent="0.25">
      <c r="A2251" s="98"/>
      <c r="H2251" s="101"/>
      <c r="I2251" s="101"/>
      <c r="J2251" s="101"/>
      <c r="K2251" s="101"/>
      <c r="L2251" s="101"/>
      <c r="M2251" s="101"/>
      <c r="N2251" s="101"/>
      <c r="O2251" s="101"/>
      <c r="P2251" s="101"/>
      <c r="Q2251" s="101"/>
      <c r="R2251" s="101"/>
      <c r="S2251" s="110"/>
      <c r="T2251" s="102"/>
      <c r="U2251" s="101"/>
      <c r="V2251" s="103"/>
      <c r="W2251" s="101"/>
    </row>
    <row r="2252" spans="1:23" x14ac:dyDescent="0.25">
      <c r="A2252" s="98"/>
      <c r="H2252" s="101"/>
      <c r="I2252" s="101"/>
      <c r="J2252" s="101"/>
      <c r="K2252" s="101"/>
      <c r="L2252" s="101"/>
      <c r="M2252" s="101"/>
      <c r="N2252" s="101"/>
      <c r="O2252" s="101"/>
      <c r="P2252" s="101"/>
      <c r="Q2252" s="101"/>
      <c r="R2252" s="101"/>
      <c r="S2252" s="110"/>
      <c r="T2252" s="102"/>
      <c r="U2252" s="101"/>
      <c r="V2252" s="103"/>
      <c r="W2252" s="101"/>
    </row>
    <row r="2253" spans="1:23" x14ac:dyDescent="0.25">
      <c r="A2253" s="98"/>
      <c r="H2253" s="101"/>
      <c r="I2253" s="101"/>
      <c r="J2253" s="101"/>
      <c r="K2253" s="101"/>
      <c r="L2253" s="101"/>
      <c r="M2253" s="101"/>
      <c r="N2253" s="101"/>
      <c r="O2253" s="101"/>
      <c r="P2253" s="101"/>
      <c r="Q2253" s="101"/>
      <c r="R2253" s="101"/>
      <c r="S2253" s="110"/>
      <c r="T2253" s="102"/>
      <c r="U2253" s="101"/>
      <c r="V2253" s="103"/>
      <c r="W2253" s="101"/>
    </row>
    <row r="2254" spans="1:23" x14ac:dyDescent="0.25">
      <c r="A2254" s="98"/>
      <c r="H2254" s="101"/>
      <c r="I2254" s="101"/>
      <c r="J2254" s="101"/>
      <c r="K2254" s="101"/>
      <c r="L2254" s="101"/>
      <c r="M2254" s="101"/>
      <c r="N2254" s="101"/>
      <c r="O2254" s="101"/>
      <c r="P2254" s="101"/>
      <c r="Q2254" s="101"/>
      <c r="R2254" s="101"/>
      <c r="S2254" s="110"/>
      <c r="T2254" s="102"/>
      <c r="U2254" s="101"/>
      <c r="V2254" s="103"/>
      <c r="W2254" s="101"/>
    </row>
    <row r="2255" spans="1:23" x14ac:dyDescent="0.25">
      <c r="A2255" s="98"/>
      <c r="H2255" s="101"/>
      <c r="I2255" s="101"/>
      <c r="J2255" s="101"/>
      <c r="K2255" s="101"/>
      <c r="L2255" s="101"/>
      <c r="M2255" s="101"/>
      <c r="N2255" s="101"/>
      <c r="O2255" s="101"/>
      <c r="P2255" s="101"/>
      <c r="Q2255" s="101"/>
      <c r="R2255" s="101"/>
      <c r="S2255" s="110"/>
      <c r="T2255" s="102"/>
      <c r="U2255" s="101"/>
      <c r="V2255" s="103"/>
      <c r="W2255" s="101"/>
    </row>
    <row r="2256" spans="1:23" x14ac:dyDescent="0.25">
      <c r="A2256" s="98"/>
      <c r="H2256" s="101"/>
      <c r="I2256" s="101"/>
      <c r="J2256" s="101"/>
      <c r="K2256" s="101"/>
      <c r="L2256" s="101"/>
      <c r="M2256" s="101"/>
      <c r="N2256" s="101"/>
      <c r="O2256" s="101"/>
      <c r="P2256" s="101"/>
      <c r="Q2256" s="101"/>
      <c r="R2256" s="101"/>
      <c r="S2256" s="110"/>
      <c r="T2256" s="102"/>
      <c r="U2256" s="101"/>
      <c r="V2256" s="103"/>
      <c r="W2256" s="101"/>
    </row>
    <row r="2257" spans="1:23" x14ac:dyDescent="0.25">
      <c r="A2257" s="98"/>
      <c r="H2257" s="101"/>
      <c r="I2257" s="101"/>
      <c r="J2257" s="101"/>
      <c r="K2257" s="101"/>
      <c r="L2257" s="101"/>
      <c r="M2257" s="101"/>
      <c r="N2257" s="101"/>
      <c r="O2257" s="101"/>
      <c r="P2257" s="101"/>
      <c r="Q2257" s="101"/>
      <c r="R2257" s="101"/>
      <c r="S2257" s="110"/>
      <c r="T2257" s="102"/>
      <c r="U2257" s="101"/>
      <c r="V2257" s="103"/>
      <c r="W2257" s="101"/>
    </row>
    <row r="2258" spans="1:23" x14ac:dyDescent="0.25">
      <c r="A2258" s="98"/>
      <c r="H2258" s="101"/>
      <c r="I2258" s="101"/>
      <c r="J2258" s="101"/>
      <c r="K2258" s="101"/>
      <c r="L2258" s="101"/>
      <c r="M2258" s="101"/>
      <c r="N2258" s="101"/>
      <c r="O2258" s="101"/>
      <c r="P2258" s="101"/>
      <c r="Q2258" s="101"/>
      <c r="R2258" s="101"/>
      <c r="S2258" s="110"/>
      <c r="T2258" s="102"/>
      <c r="U2258" s="101"/>
      <c r="V2258" s="103"/>
      <c r="W2258" s="101"/>
    </row>
    <row r="2259" spans="1:23" x14ac:dyDescent="0.25">
      <c r="A2259" s="98"/>
      <c r="H2259" s="101"/>
      <c r="I2259" s="101"/>
      <c r="J2259" s="101"/>
      <c r="K2259" s="101"/>
      <c r="L2259" s="101"/>
      <c r="M2259" s="101"/>
      <c r="N2259" s="101"/>
      <c r="O2259" s="101"/>
      <c r="P2259" s="101"/>
      <c r="Q2259" s="101"/>
      <c r="R2259" s="101"/>
      <c r="S2259" s="110"/>
      <c r="T2259" s="102"/>
      <c r="U2259" s="101"/>
      <c r="V2259" s="103"/>
      <c r="W2259" s="101"/>
    </row>
    <row r="2260" spans="1:23" x14ac:dyDescent="0.25">
      <c r="A2260" s="98"/>
      <c r="H2260" s="101"/>
      <c r="I2260" s="101"/>
      <c r="J2260" s="101"/>
      <c r="K2260" s="101"/>
      <c r="L2260" s="101"/>
      <c r="M2260" s="101"/>
      <c r="N2260" s="101"/>
      <c r="O2260" s="101"/>
      <c r="P2260" s="101"/>
      <c r="Q2260" s="101"/>
      <c r="R2260" s="101"/>
      <c r="S2260" s="110"/>
      <c r="T2260" s="102"/>
      <c r="U2260" s="101"/>
      <c r="V2260" s="103"/>
      <c r="W2260" s="101"/>
    </row>
    <row r="2261" spans="1:23" x14ac:dyDescent="0.25">
      <c r="A2261" s="98"/>
      <c r="H2261" s="101"/>
      <c r="I2261" s="101"/>
      <c r="J2261" s="101"/>
      <c r="K2261" s="101"/>
      <c r="L2261" s="101"/>
      <c r="M2261" s="101"/>
      <c r="N2261" s="101"/>
      <c r="O2261" s="101"/>
      <c r="P2261" s="101"/>
      <c r="Q2261" s="101"/>
      <c r="R2261" s="101"/>
      <c r="S2261" s="110"/>
      <c r="T2261" s="102"/>
      <c r="U2261" s="101"/>
      <c r="V2261" s="103"/>
      <c r="W2261" s="101"/>
    </row>
    <row r="2262" spans="1:23" x14ac:dyDescent="0.25">
      <c r="A2262" s="98"/>
      <c r="H2262" s="101"/>
      <c r="I2262" s="101"/>
      <c r="J2262" s="101"/>
      <c r="K2262" s="101"/>
      <c r="L2262" s="101"/>
      <c r="M2262" s="101"/>
      <c r="N2262" s="101"/>
      <c r="O2262" s="101"/>
      <c r="P2262" s="101"/>
      <c r="Q2262" s="101"/>
      <c r="R2262" s="101"/>
      <c r="S2262" s="110"/>
      <c r="T2262" s="102"/>
      <c r="U2262" s="101"/>
      <c r="V2262" s="103"/>
      <c r="W2262" s="101"/>
    </row>
    <row r="2263" spans="1:23" x14ac:dyDescent="0.25">
      <c r="A2263" s="98"/>
      <c r="H2263" s="101"/>
      <c r="I2263" s="101"/>
      <c r="J2263" s="101"/>
      <c r="K2263" s="101"/>
      <c r="L2263" s="101"/>
      <c r="M2263" s="101"/>
      <c r="N2263" s="101"/>
      <c r="O2263" s="101"/>
      <c r="P2263" s="101"/>
      <c r="Q2263" s="101"/>
      <c r="R2263" s="101"/>
      <c r="S2263" s="110"/>
      <c r="T2263" s="102"/>
      <c r="U2263" s="101"/>
      <c r="V2263" s="103"/>
      <c r="W2263" s="101"/>
    </row>
    <row r="2264" spans="1:23" x14ac:dyDescent="0.25">
      <c r="A2264" s="98"/>
      <c r="H2264" s="101"/>
      <c r="I2264" s="101"/>
      <c r="J2264" s="101"/>
      <c r="K2264" s="101"/>
      <c r="L2264" s="101"/>
      <c r="M2264" s="101"/>
      <c r="N2264" s="101"/>
      <c r="O2264" s="101"/>
      <c r="P2264" s="101"/>
      <c r="Q2264" s="101"/>
      <c r="R2264" s="101"/>
      <c r="S2264" s="110"/>
      <c r="T2264" s="102"/>
      <c r="U2264" s="101"/>
      <c r="V2264" s="103"/>
      <c r="W2264" s="101"/>
    </row>
    <row r="2265" spans="1:23" x14ac:dyDescent="0.25">
      <c r="A2265" s="98"/>
      <c r="H2265" s="101"/>
      <c r="I2265" s="101"/>
      <c r="J2265" s="101"/>
      <c r="K2265" s="101"/>
      <c r="L2265" s="101"/>
      <c r="M2265" s="101"/>
      <c r="N2265" s="101"/>
      <c r="O2265" s="101"/>
      <c r="P2265" s="101"/>
      <c r="Q2265" s="101"/>
      <c r="R2265" s="101"/>
      <c r="S2265" s="110"/>
      <c r="T2265" s="102"/>
      <c r="U2265" s="101"/>
      <c r="V2265" s="103"/>
      <c r="W2265" s="101"/>
    </row>
    <row r="2266" spans="1:23" x14ac:dyDescent="0.25">
      <c r="A2266" s="98"/>
      <c r="H2266" s="101"/>
      <c r="I2266" s="101"/>
      <c r="J2266" s="101"/>
      <c r="K2266" s="101"/>
      <c r="L2266" s="101"/>
      <c r="M2266" s="101"/>
      <c r="N2266" s="101"/>
      <c r="O2266" s="101"/>
      <c r="P2266" s="101"/>
      <c r="Q2266" s="101"/>
      <c r="R2266" s="101"/>
      <c r="S2266" s="110"/>
      <c r="T2266" s="102"/>
      <c r="U2266" s="101"/>
      <c r="V2266" s="103"/>
      <c r="W2266" s="101"/>
    </row>
    <row r="2267" spans="1:23" x14ac:dyDescent="0.25">
      <c r="A2267" s="98"/>
      <c r="H2267" s="101"/>
      <c r="I2267" s="101"/>
      <c r="J2267" s="101"/>
      <c r="K2267" s="101"/>
      <c r="L2267" s="101"/>
      <c r="M2267" s="101"/>
      <c r="N2267" s="101"/>
      <c r="O2267" s="101"/>
      <c r="P2267" s="101"/>
      <c r="Q2267" s="101"/>
      <c r="R2267" s="101"/>
      <c r="S2267" s="110"/>
      <c r="T2267" s="102"/>
      <c r="U2267" s="101"/>
      <c r="V2267" s="103"/>
      <c r="W2267" s="101"/>
    </row>
    <row r="2268" spans="1:23" x14ac:dyDescent="0.25">
      <c r="A2268" s="98"/>
      <c r="H2268" s="101"/>
      <c r="I2268" s="101"/>
      <c r="J2268" s="101"/>
      <c r="K2268" s="101"/>
      <c r="L2268" s="101"/>
      <c r="M2268" s="101"/>
      <c r="N2268" s="101"/>
      <c r="O2268" s="101"/>
      <c r="P2268" s="101"/>
      <c r="Q2268" s="101"/>
      <c r="R2268" s="101"/>
      <c r="S2268" s="110"/>
      <c r="T2268" s="102"/>
      <c r="U2268" s="101"/>
      <c r="V2268" s="103"/>
      <c r="W2268" s="101"/>
    </row>
    <row r="2269" spans="1:23" x14ac:dyDescent="0.25">
      <c r="A2269" s="98"/>
      <c r="H2269" s="101"/>
      <c r="I2269" s="101"/>
      <c r="J2269" s="101"/>
      <c r="K2269" s="101"/>
      <c r="L2269" s="101"/>
      <c r="M2269" s="101"/>
      <c r="N2269" s="101"/>
      <c r="O2269" s="101"/>
      <c r="P2269" s="101"/>
      <c r="Q2269" s="101"/>
      <c r="R2269" s="101"/>
      <c r="S2269" s="110"/>
      <c r="T2269" s="102"/>
      <c r="U2269" s="101"/>
      <c r="V2269" s="103"/>
      <c r="W2269" s="101"/>
    </row>
    <row r="2270" spans="1:23" x14ac:dyDescent="0.25">
      <c r="A2270" s="98"/>
      <c r="H2270" s="101"/>
      <c r="I2270" s="101"/>
      <c r="J2270" s="101"/>
      <c r="K2270" s="101"/>
      <c r="L2270" s="101"/>
      <c r="M2270" s="101"/>
      <c r="N2270" s="101"/>
      <c r="O2270" s="101"/>
      <c r="P2270" s="101"/>
      <c r="Q2270" s="101"/>
      <c r="R2270" s="101"/>
      <c r="S2270" s="110"/>
      <c r="T2270" s="102"/>
      <c r="U2270" s="101"/>
      <c r="V2270" s="103"/>
      <c r="W2270" s="101"/>
    </row>
    <row r="2271" spans="1:23" x14ac:dyDescent="0.25">
      <c r="A2271" s="98"/>
      <c r="H2271" s="101"/>
      <c r="I2271" s="101"/>
      <c r="J2271" s="101"/>
      <c r="K2271" s="101"/>
      <c r="L2271" s="101"/>
      <c r="M2271" s="101"/>
      <c r="N2271" s="101"/>
      <c r="O2271" s="101"/>
      <c r="P2271" s="101"/>
      <c r="Q2271" s="101"/>
      <c r="R2271" s="101"/>
      <c r="S2271" s="110"/>
      <c r="T2271" s="102"/>
      <c r="U2271" s="101"/>
      <c r="V2271" s="103"/>
      <c r="W2271" s="101"/>
    </row>
    <row r="2272" spans="1:23" x14ac:dyDescent="0.25">
      <c r="A2272" s="98"/>
      <c r="H2272" s="101"/>
      <c r="I2272" s="101"/>
      <c r="J2272" s="101"/>
      <c r="K2272" s="101"/>
      <c r="L2272" s="101"/>
      <c r="M2272" s="101"/>
      <c r="N2272" s="101"/>
      <c r="O2272" s="101"/>
      <c r="P2272" s="101"/>
      <c r="Q2272" s="101"/>
      <c r="R2272" s="101"/>
      <c r="S2272" s="110"/>
      <c r="T2272" s="102"/>
      <c r="U2272" s="101"/>
      <c r="V2272" s="103"/>
      <c r="W2272" s="101"/>
    </row>
    <row r="2273" spans="1:23" x14ac:dyDescent="0.25">
      <c r="A2273" s="98"/>
      <c r="H2273" s="101"/>
      <c r="I2273" s="101"/>
      <c r="J2273" s="101"/>
      <c r="K2273" s="101"/>
      <c r="L2273" s="101"/>
      <c r="M2273" s="101"/>
      <c r="N2273" s="101"/>
      <c r="O2273" s="101"/>
      <c r="P2273" s="101"/>
      <c r="Q2273" s="101"/>
      <c r="R2273" s="101"/>
      <c r="S2273" s="110"/>
      <c r="T2273" s="102"/>
      <c r="U2273" s="101"/>
      <c r="V2273" s="103"/>
      <c r="W2273" s="101"/>
    </row>
    <row r="2274" spans="1:23" x14ac:dyDescent="0.25">
      <c r="A2274" s="98"/>
      <c r="H2274" s="101"/>
      <c r="I2274" s="101"/>
      <c r="J2274" s="101"/>
      <c r="K2274" s="101"/>
      <c r="L2274" s="101"/>
      <c r="M2274" s="101"/>
      <c r="N2274" s="101"/>
      <c r="O2274" s="101"/>
      <c r="P2274" s="101"/>
      <c r="Q2274" s="101"/>
      <c r="R2274" s="101"/>
      <c r="S2274" s="110"/>
      <c r="T2274" s="102"/>
      <c r="U2274" s="101"/>
      <c r="V2274" s="103"/>
      <c r="W2274" s="101"/>
    </row>
    <row r="2275" spans="1:23" x14ac:dyDescent="0.25">
      <c r="A2275" s="98"/>
      <c r="H2275" s="101"/>
      <c r="I2275" s="101"/>
      <c r="J2275" s="101"/>
      <c r="K2275" s="101"/>
      <c r="L2275" s="101"/>
      <c r="M2275" s="101"/>
      <c r="N2275" s="101"/>
      <c r="O2275" s="101"/>
      <c r="P2275" s="101"/>
      <c r="Q2275" s="101"/>
      <c r="R2275" s="101"/>
      <c r="S2275" s="110"/>
      <c r="T2275" s="102"/>
      <c r="U2275" s="101"/>
      <c r="V2275" s="103"/>
      <c r="W2275" s="101"/>
    </row>
    <row r="2276" spans="1:23" x14ac:dyDescent="0.25">
      <c r="A2276" s="98"/>
      <c r="H2276" s="101"/>
      <c r="I2276" s="101"/>
      <c r="J2276" s="101"/>
      <c r="K2276" s="101"/>
      <c r="L2276" s="101"/>
      <c r="M2276" s="101"/>
      <c r="N2276" s="101"/>
      <c r="O2276" s="101"/>
      <c r="P2276" s="101"/>
      <c r="Q2276" s="101"/>
      <c r="R2276" s="101"/>
      <c r="S2276" s="110"/>
      <c r="T2276" s="102"/>
      <c r="U2276" s="101"/>
      <c r="V2276" s="103"/>
      <c r="W2276" s="101"/>
    </row>
    <row r="2277" spans="1:23" x14ac:dyDescent="0.25">
      <c r="A2277" s="98"/>
      <c r="H2277" s="101"/>
      <c r="I2277" s="101"/>
      <c r="J2277" s="101"/>
      <c r="K2277" s="101"/>
      <c r="L2277" s="101"/>
      <c r="M2277" s="101"/>
      <c r="N2277" s="101"/>
      <c r="O2277" s="101"/>
      <c r="P2277" s="101"/>
      <c r="Q2277" s="101"/>
      <c r="R2277" s="101"/>
      <c r="S2277" s="110"/>
      <c r="T2277" s="102"/>
      <c r="U2277" s="101"/>
      <c r="V2277" s="103"/>
      <c r="W2277" s="101"/>
    </row>
    <row r="2278" spans="1:23" x14ac:dyDescent="0.25">
      <c r="A2278" s="98"/>
      <c r="H2278" s="101"/>
      <c r="I2278" s="101"/>
      <c r="J2278" s="101"/>
      <c r="K2278" s="101"/>
      <c r="L2278" s="101"/>
      <c r="M2278" s="101"/>
      <c r="N2278" s="101"/>
      <c r="O2278" s="101"/>
      <c r="P2278" s="101"/>
      <c r="Q2278" s="101"/>
      <c r="R2278" s="101"/>
      <c r="S2278" s="110"/>
      <c r="T2278" s="102"/>
      <c r="U2278" s="101"/>
      <c r="V2278" s="103"/>
      <c r="W2278" s="101"/>
    </row>
    <row r="2279" spans="1:23" x14ac:dyDescent="0.25">
      <c r="A2279" s="98"/>
      <c r="H2279" s="101"/>
      <c r="I2279" s="101"/>
      <c r="J2279" s="101"/>
      <c r="K2279" s="101"/>
      <c r="L2279" s="101"/>
      <c r="M2279" s="101"/>
      <c r="N2279" s="101"/>
      <c r="O2279" s="101"/>
      <c r="P2279" s="101"/>
      <c r="Q2279" s="101"/>
      <c r="R2279" s="101"/>
      <c r="S2279" s="110"/>
      <c r="T2279" s="102"/>
      <c r="U2279" s="101"/>
      <c r="V2279" s="103"/>
      <c r="W2279" s="101"/>
    </row>
    <row r="2280" spans="1:23" x14ac:dyDescent="0.25">
      <c r="A2280" s="98"/>
      <c r="H2280" s="101"/>
      <c r="I2280" s="101"/>
      <c r="J2280" s="101"/>
      <c r="K2280" s="101"/>
      <c r="L2280" s="101"/>
      <c r="M2280" s="101"/>
      <c r="N2280" s="101"/>
      <c r="O2280" s="101"/>
      <c r="P2280" s="101"/>
      <c r="Q2280" s="101"/>
      <c r="R2280" s="101"/>
      <c r="S2280" s="110"/>
      <c r="T2280" s="102"/>
      <c r="U2280" s="101"/>
      <c r="V2280" s="103"/>
      <c r="W2280" s="101"/>
    </row>
    <row r="2281" spans="1:23" x14ac:dyDescent="0.25">
      <c r="A2281" s="98"/>
      <c r="H2281" s="101"/>
      <c r="I2281" s="101"/>
      <c r="J2281" s="101"/>
      <c r="K2281" s="101"/>
      <c r="L2281" s="101"/>
      <c r="M2281" s="101"/>
      <c r="N2281" s="101"/>
      <c r="O2281" s="101"/>
      <c r="P2281" s="101"/>
      <c r="Q2281" s="101"/>
      <c r="R2281" s="101"/>
      <c r="S2281" s="110"/>
      <c r="T2281" s="102"/>
      <c r="U2281" s="101"/>
      <c r="V2281" s="103"/>
      <c r="W2281" s="101"/>
    </row>
    <row r="2282" spans="1:23" x14ac:dyDescent="0.25">
      <c r="A2282" s="98"/>
      <c r="H2282" s="101"/>
      <c r="I2282" s="101"/>
      <c r="J2282" s="101"/>
      <c r="K2282" s="101"/>
      <c r="L2282" s="101"/>
      <c r="M2282" s="101"/>
      <c r="N2282" s="101"/>
      <c r="O2282" s="101"/>
      <c r="P2282" s="101"/>
      <c r="Q2282" s="101"/>
      <c r="R2282" s="101"/>
      <c r="S2282" s="110"/>
      <c r="T2282" s="102"/>
      <c r="U2282" s="101"/>
      <c r="V2282" s="103"/>
      <c r="W2282" s="101"/>
    </row>
    <row r="2283" spans="1:23" x14ac:dyDescent="0.25">
      <c r="A2283" s="98"/>
      <c r="H2283" s="101"/>
      <c r="I2283" s="101"/>
      <c r="J2283" s="101"/>
      <c r="K2283" s="101"/>
      <c r="L2283" s="101"/>
      <c r="M2283" s="101"/>
      <c r="N2283" s="101"/>
      <c r="O2283" s="101"/>
      <c r="P2283" s="101"/>
      <c r="Q2283" s="101"/>
      <c r="R2283" s="101"/>
      <c r="S2283" s="110"/>
      <c r="T2283" s="102"/>
      <c r="U2283" s="101"/>
      <c r="V2283" s="103"/>
      <c r="W2283" s="101"/>
    </row>
    <row r="2284" spans="1:23" x14ac:dyDescent="0.25">
      <c r="A2284" s="98"/>
      <c r="H2284" s="101"/>
      <c r="I2284" s="101"/>
      <c r="J2284" s="101"/>
      <c r="K2284" s="101"/>
      <c r="L2284" s="101"/>
      <c r="M2284" s="101"/>
      <c r="N2284" s="101"/>
      <c r="O2284" s="101"/>
      <c r="P2284" s="101"/>
      <c r="Q2284" s="101"/>
      <c r="R2284" s="101"/>
      <c r="S2284" s="110"/>
      <c r="T2284" s="102"/>
      <c r="U2284" s="101"/>
      <c r="V2284" s="103"/>
      <c r="W2284" s="101"/>
    </row>
    <row r="2285" spans="1:23" x14ac:dyDescent="0.25">
      <c r="A2285" s="98"/>
      <c r="H2285" s="101"/>
      <c r="I2285" s="101"/>
      <c r="J2285" s="101"/>
      <c r="K2285" s="101"/>
      <c r="L2285" s="101"/>
      <c r="M2285" s="101"/>
      <c r="N2285" s="101"/>
      <c r="O2285" s="101"/>
      <c r="P2285" s="101"/>
      <c r="Q2285" s="101"/>
      <c r="R2285" s="101"/>
      <c r="S2285" s="110"/>
      <c r="T2285" s="102"/>
      <c r="U2285" s="101"/>
      <c r="V2285" s="103"/>
      <c r="W2285" s="101"/>
    </row>
    <row r="2286" spans="1:23" x14ac:dyDescent="0.25">
      <c r="A2286" s="98"/>
      <c r="H2286" s="101"/>
      <c r="I2286" s="101"/>
      <c r="J2286" s="101"/>
      <c r="K2286" s="101"/>
      <c r="L2286" s="101"/>
      <c r="M2286" s="101"/>
      <c r="N2286" s="101"/>
      <c r="O2286" s="101"/>
      <c r="P2286" s="101"/>
      <c r="Q2286" s="101"/>
      <c r="R2286" s="101"/>
      <c r="S2286" s="110"/>
      <c r="T2286" s="102"/>
      <c r="U2286" s="101"/>
      <c r="V2286" s="103"/>
      <c r="W2286" s="101"/>
    </row>
    <row r="2287" spans="1:23" x14ac:dyDescent="0.25">
      <c r="A2287" s="98"/>
      <c r="H2287" s="101"/>
      <c r="I2287" s="101"/>
      <c r="J2287" s="101"/>
      <c r="K2287" s="101"/>
      <c r="L2287" s="101"/>
      <c r="M2287" s="101"/>
      <c r="N2287" s="101"/>
      <c r="O2287" s="101"/>
      <c r="P2287" s="101"/>
      <c r="Q2287" s="101"/>
      <c r="R2287" s="101"/>
      <c r="S2287" s="110"/>
      <c r="T2287" s="102"/>
      <c r="U2287" s="101"/>
      <c r="V2287" s="103"/>
      <c r="W2287" s="101"/>
    </row>
    <row r="2288" spans="1:23" x14ac:dyDescent="0.25">
      <c r="A2288" s="98"/>
      <c r="H2288" s="101"/>
      <c r="I2288" s="101"/>
      <c r="J2288" s="101"/>
      <c r="K2288" s="101"/>
      <c r="L2288" s="101"/>
      <c r="M2288" s="101"/>
      <c r="N2288" s="101"/>
      <c r="O2288" s="101"/>
      <c r="P2288" s="101"/>
      <c r="Q2288" s="101"/>
      <c r="R2288" s="101"/>
      <c r="S2288" s="110"/>
      <c r="T2288" s="102"/>
      <c r="U2288" s="101"/>
      <c r="V2288" s="103"/>
      <c r="W2288" s="101"/>
    </row>
    <row r="2289" spans="1:23" x14ac:dyDescent="0.25">
      <c r="A2289" s="98"/>
      <c r="H2289" s="101"/>
      <c r="I2289" s="101"/>
      <c r="J2289" s="101"/>
      <c r="K2289" s="101"/>
      <c r="L2289" s="101"/>
      <c r="M2289" s="101"/>
      <c r="N2289" s="101"/>
      <c r="O2289" s="101"/>
      <c r="P2289" s="101"/>
      <c r="Q2289" s="101"/>
      <c r="R2289" s="101"/>
      <c r="S2289" s="110"/>
      <c r="T2289" s="102"/>
      <c r="U2289" s="101"/>
      <c r="V2289" s="103"/>
      <c r="W2289" s="101"/>
    </row>
    <row r="2290" spans="1:23" x14ac:dyDescent="0.25">
      <c r="A2290" s="98"/>
      <c r="H2290" s="101"/>
      <c r="I2290" s="101"/>
      <c r="J2290" s="101"/>
      <c r="K2290" s="101"/>
      <c r="L2290" s="101"/>
      <c r="M2290" s="101"/>
      <c r="N2290" s="101"/>
      <c r="O2290" s="101"/>
      <c r="P2290" s="101"/>
      <c r="Q2290" s="101"/>
      <c r="R2290" s="101"/>
      <c r="S2290" s="110"/>
      <c r="T2290" s="102"/>
      <c r="U2290" s="101"/>
      <c r="V2290" s="103"/>
      <c r="W2290" s="101"/>
    </row>
    <row r="2291" spans="1:23" x14ac:dyDescent="0.25">
      <c r="A2291" s="98"/>
      <c r="H2291" s="101"/>
      <c r="I2291" s="101"/>
      <c r="J2291" s="101"/>
      <c r="K2291" s="101"/>
      <c r="L2291" s="101"/>
      <c r="M2291" s="101"/>
      <c r="N2291" s="101"/>
      <c r="O2291" s="101"/>
      <c r="P2291" s="101"/>
      <c r="Q2291" s="101"/>
      <c r="R2291" s="101"/>
      <c r="S2291" s="110"/>
      <c r="T2291" s="102"/>
      <c r="U2291" s="101"/>
      <c r="V2291" s="103"/>
      <c r="W2291" s="101"/>
    </row>
    <row r="2292" spans="1:23" x14ac:dyDescent="0.25">
      <c r="A2292" s="98"/>
      <c r="H2292" s="101"/>
      <c r="I2292" s="101"/>
      <c r="J2292" s="101"/>
      <c r="K2292" s="101"/>
      <c r="L2292" s="101"/>
      <c r="M2292" s="101"/>
      <c r="N2292" s="101"/>
      <c r="O2292" s="101"/>
      <c r="P2292" s="101"/>
      <c r="Q2292" s="101"/>
      <c r="R2292" s="101"/>
      <c r="S2292" s="110"/>
      <c r="T2292" s="102"/>
      <c r="U2292" s="101"/>
      <c r="V2292" s="103"/>
      <c r="W2292" s="101"/>
    </row>
    <row r="2293" spans="1:23" x14ac:dyDescent="0.25">
      <c r="A2293" s="98"/>
      <c r="H2293" s="101"/>
      <c r="I2293" s="101"/>
      <c r="J2293" s="101"/>
      <c r="K2293" s="101"/>
      <c r="L2293" s="101"/>
      <c r="M2293" s="101"/>
      <c r="N2293" s="101"/>
      <c r="O2293" s="101"/>
      <c r="P2293" s="101"/>
      <c r="Q2293" s="101"/>
      <c r="R2293" s="101"/>
      <c r="S2293" s="110"/>
      <c r="T2293" s="102"/>
      <c r="U2293" s="101"/>
      <c r="V2293" s="103"/>
      <c r="W2293" s="101"/>
    </row>
    <row r="2294" spans="1:23" x14ac:dyDescent="0.25">
      <c r="A2294" s="98"/>
      <c r="H2294" s="101"/>
      <c r="I2294" s="101"/>
      <c r="J2294" s="101"/>
      <c r="K2294" s="101"/>
      <c r="L2294" s="101"/>
      <c r="M2294" s="101"/>
      <c r="N2294" s="101"/>
      <c r="O2294" s="101"/>
      <c r="P2294" s="101"/>
      <c r="Q2294" s="101"/>
      <c r="R2294" s="101"/>
      <c r="S2294" s="110"/>
      <c r="T2294" s="102"/>
      <c r="U2294" s="101"/>
      <c r="V2294" s="103"/>
      <c r="W2294" s="101"/>
    </row>
    <row r="2295" spans="1:23" x14ac:dyDescent="0.25">
      <c r="A2295" s="98"/>
      <c r="H2295" s="101"/>
      <c r="I2295" s="101"/>
      <c r="J2295" s="101"/>
      <c r="K2295" s="101"/>
      <c r="L2295" s="101"/>
      <c r="M2295" s="101"/>
      <c r="N2295" s="101"/>
      <c r="O2295" s="101"/>
      <c r="P2295" s="101"/>
      <c r="Q2295" s="101"/>
      <c r="R2295" s="101"/>
      <c r="S2295" s="110"/>
      <c r="T2295" s="102"/>
      <c r="U2295" s="101"/>
      <c r="V2295" s="103"/>
      <c r="W2295" s="101"/>
    </row>
    <row r="2296" spans="1:23" x14ac:dyDescent="0.25">
      <c r="A2296" s="98"/>
      <c r="H2296" s="101"/>
      <c r="I2296" s="101"/>
      <c r="J2296" s="101"/>
      <c r="K2296" s="101"/>
      <c r="L2296" s="101"/>
      <c r="M2296" s="101"/>
      <c r="N2296" s="101"/>
      <c r="O2296" s="101"/>
      <c r="P2296" s="101"/>
      <c r="Q2296" s="101"/>
      <c r="R2296" s="101"/>
      <c r="S2296" s="110"/>
      <c r="T2296" s="102"/>
      <c r="U2296" s="101"/>
      <c r="V2296" s="103"/>
      <c r="W2296" s="101"/>
    </row>
    <row r="2297" spans="1:23" x14ac:dyDescent="0.25">
      <c r="A2297" s="98"/>
      <c r="H2297" s="101"/>
      <c r="I2297" s="101"/>
      <c r="J2297" s="101"/>
      <c r="K2297" s="101"/>
      <c r="L2297" s="101"/>
      <c r="M2297" s="101"/>
      <c r="N2297" s="101"/>
      <c r="O2297" s="101"/>
      <c r="P2297" s="101"/>
      <c r="Q2297" s="101"/>
      <c r="R2297" s="101"/>
      <c r="S2297" s="110"/>
      <c r="T2297" s="102"/>
      <c r="U2297" s="101"/>
      <c r="V2297" s="103"/>
      <c r="W2297" s="101"/>
    </row>
    <row r="2298" spans="1:23" x14ac:dyDescent="0.25">
      <c r="A2298" s="98"/>
      <c r="H2298" s="101"/>
      <c r="I2298" s="101"/>
      <c r="J2298" s="101"/>
      <c r="K2298" s="101"/>
      <c r="L2298" s="101"/>
      <c r="M2298" s="101"/>
      <c r="N2298" s="101"/>
      <c r="O2298" s="101"/>
      <c r="P2298" s="101"/>
      <c r="Q2298" s="101"/>
      <c r="R2298" s="101"/>
      <c r="S2298" s="110"/>
      <c r="T2298" s="102"/>
      <c r="U2298" s="101"/>
      <c r="V2298" s="103"/>
      <c r="W2298" s="101"/>
    </row>
    <row r="2299" spans="1:23" x14ac:dyDescent="0.25">
      <c r="A2299" s="98"/>
      <c r="H2299" s="101"/>
      <c r="I2299" s="101"/>
      <c r="J2299" s="101"/>
      <c r="K2299" s="101"/>
      <c r="L2299" s="101"/>
      <c r="M2299" s="101"/>
      <c r="N2299" s="101"/>
      <c r="O2299" s="101"/>
      <c r="P2299" s="101"/>
      <c r="Q2299" s="101"/>
      <c r="R2299" s="101"/>
      <c r="S2299" s="110"/>
      <c r="T2299" s="102"/>
      <c r="U2299" s="101"/>
      <c r="V2299" s="103"/>
      <c r="W2299" s="101"/>
    </row>
    <row r="2300" spans="1:23" x14ac:dyDescent="0.25">
      <c r="A2300" s="98"/>
      <c r="H2300" s="101"/>
      <c r="I2300" s="101"/>
      <c r="J2300" s="101"/>
      <c r="K2300" s="101"/>
      <c r="L2300" s="101"/>
      <c r="M2300" s="101"/>
      <c r="N2300" s="101"/>
      <c r="O2300" s="101"/>
      <c r="P2300" s="101"/>
      <c r="Q2300" s="101"/>
      <c r="R2300" s="101"/>
      <c r="S2300" s="110"/>
      <c r="T2300" s="102"/>
      <c r="U2300" s="101"/>
      <c r="V2300" s="103"/>
      <c r="W2300" s="101"/>
    </row>
    <row r="2301" spans="1:23" x14ac:dyDescent="0.25">
      <c r="A2301" s="98"/>
      <c r="H2301" s="101"/>
      <c r="I2301" s="101"/>
      <c r="J2301" s="101"/>
      <c r="K2301" s="101"/>
      <c r="L2301" s="101"/>
      <c r="M2301" s="101"/>
      <c r="N2301" s="101"/>
      <c r="O2301" s="101"/>
      <c r="P2301" s="101"/>
      <c r="Q2301" s="101"/>
      <c r="R2301" s="101"/>
      <c r="S2301" s="110"/>
      <c r="T2301" s="102"/>
      <c r="U2301" s="101"/>
      <c r="V2301" s="103"/>
      <c r="W2301" s="101"/>
    </row>
    <row r="2302" spans="1:23" x14ac:dyDescent="0.25">
      <c r="A2302" s="98"/>
      <c r="H2302" s="101"/>
      <c r="I2302" s="101"/>
      <c r="J2302" s="101"/>
      <c r="K2302" s="101"/>
      <c r="L2302" s="101"/>
      <c r="M2302" s="101"/>
      <c r="N2302" s="101"/>
      <c r="O2302" s="101"/>
      <c r="P2302" s="101"/>
      <c r="Q2302" s="101"/>
      <c r="R2302" s="101"/>
      <c r="S2302" s="110"/>
      <c r="T2302" s="102"/>
      <c r="U2302" s="101"/>
      <c r="V2302" s="103"/>
      <c r="W2302" s="101"/>
    </row>
    <row r="2303" spans="1:23" x14ac:dyDescent="0.25">
      <c r="A2303" s="98"/>
      <c r="H2303" s="101"/>
      <c r="I2303" s="101"/>
      <c r="J2303" s="101"/>
      <c r="K2303" s="101"/>
      <c r="L2303" s="101"/>
      <c r="M2303" s="101"/>
      <c r="N2303" s="101"/>
      <c r="O2303" s="101"/>
      <c r="P2303" s="101"/>
      <c r="Q2303" s="101"/>
      <c r="R2303" s="101"/>
      <c r="S2303" s="110"/>
      <c r="T2303" s="102"/>
      <c r="U2303" s="101"/>
      <c r="V2303" s="103"/>
      <c r="W2303" s="101"/>
    </row>
    <row r="2304" spans="1:23" x14ac:dyDescent="0.25">
      <c r="A2304" s="98"/>
      <c r="H2304" s="101"/>
      <c r="I2304" s="101"/>
      <c r="J2304" s="101"/>
      <c r="K2304" s="101"/>
      <c r="L2304" s="101"/>
      <c r="M2304" s="101"/>
      <c r="N2304" s="101"/>
      <c r="O2304" s="101"/>
      <c r="P2304" s="101"/>
      <c r="Q2304" s="101"/>
      <c r="R2304" s="101"/>
      <c r="S2304" s="110"/>
      <c r="T2304" s="102"/>
      <c r="U2304" s="101"/>
      <c r="V2304" s="103"/>
      <c r="W2304" s="101"/>
    </row>
    <row r="2305" spans="1:23" x14ac:dyDescent="0.25">
      <c r="A2305" s="98"/>
      <c r="H2305" s="101"/>
      <c r="I2305" s="101"/>
      <c r="J2305" s="101"/>
      <c r="K2305" s="101"/>
      <c r="L2305" s="101"/>
      <c r="M2305" s="101"/>
      <c r="N2305" s="101"/>
      <c r="O2305" s="101"/>
      <c r="P2305" s="101"/>
      <c r="Q2305" s="101"/>
      <c r="R2305" s="101"/>
      <c r="S2305" s="110"/>
      <c r="T2305" s="102"/>
      <c r="U2305" s="101"/>
      <c r="V2305" s="103"/>
      <c r="W2305" s="101"/>
    </row>
    <row r="2306" spans="1:23" x14ac:dyDescent="0.25">
      <c r="A2306" s="98"/>
      <c r="H2306" s="101"/>
      <c r="I2306" s="101"/>
      <c r="J2306" s="101"/>
      <c r="K2306" s="101"/>
      <c r="L2306" s="101"/>
      <c r="M2306" s="101"/>
      <c r="N2306" s="101"/>
      <c r="O2306" s="101"/>
      <c r="P2306" s="101"/>
      <c r="Q2306" s="101"/>
      <c r="R2306" s="101"/>
      <c r="S2306" s="110"/>
      <c r="T2306" s="102"/>
      <c r="U2306" s="101"/>
      <c r="V2306" s="103"/>
      <c r="W2306" s="101"/>
    </row>
    <row r="2307" spans="1:23" x14ac:dyDescent="0.25">
      <c r="A2307" s="98"/>
      <c r="H2307" s="101"/>
      <c r="I2307" s="101"/>
      <c r="J2307" s="101"/>
      <c r="K2307" s="101"/>
      <c r="L2307" s="101"/>
      <c r="M2307" s="101"/>
      <c r="N2307" s="101"/>
      <c r="O2307" s="101"/>
      <c r="P2307" s="101"/>
      <c r="Q2307" s="101"/>
      <c r="R2307" s="101"/>
      <c r="S2307" s="110"/>
      <c r="T2307" s="102"/>
      <c r="U2307" s="101"/>
      <c r="V2307" s="103"/>
      <c r="W2307" s="101"/>
    </row>
    <row r="2308" spans="1:23" x14ac:dyDescent="0.25">
      <c r="A2308" s="98"/>
      <c r="H2308" s="101"/>
      <c r="I2308" s="101"/>
      <c r="J2308" s="101"/>
      <c r="K2308" s="101"/>
      <c r="L2308" s="101"/>
      <c r="M2308" s="101"/>
      <c r="N2308" s="101"/>
      <c r="O2308" s="101"/>
      <c r="P2308" s="101"/>
      <c r="Q2308" s="101"/>
      <c r="R2308" s="101"/>
      <c r="S2308" s="110"/>
      <c r="T2308" s="102"/>
      <c r="U2308" s="101"/>
      <c r="V2308" s="103"/>
      <c r="W2308" s="101"/>
    </row>
    <row r="2309" spans="1:23" x14ac:dyDescent="0.25">
      <c r="A2309" s="98"/>
      <c r="H2309" s="101"/>
      <c r="I2309" s="101"/>
      <c r="J2309" s="101"/>
      <c r="K2309" s="101"/>
      <c r="L2309" s="101"/>
      <c r="M2309" s="101"/>
      <c r="N2309" s="101"/>
      <c r="O2309" s="101"/>
      <c r="P2309" s="101"/>
      <c r="Q2309" s="101"/>
      <c r="R2309" s="101"/>
      <c r="S2309" s="110"/>
      <c r="T2309" s="102"/>
      <c r="U2309" s="101"/>
      <c r="V2309" s="103"/>
      <c r="W2309" s="101"/>
    </row>
    <row r="2310" spans="1:23" x14ac:dyDescent="0.25">
      <c r="A2310" s="98"/>
      <c r="H2310" s="101"/>
      <c r="I2310" s="101"/>
      <c r="J2310" s="101"/>
      <c r="K2310" s="101"/>
      <c r="L2310" s="101"/>
      <c r="M2310" s="101"/>
      <c r="N2310" s="101"/>
      <c r="O2310" s="101"/>
      <c r="P2310" s="101"/>
      <c r="Q2310" s="101"/>
      <c r="R2310" s="101"/>
      <c r="S2310" s="110"/>
      <c r="T2310" s="102"/>
      <c r="U2310" s="101"/>
      <c r="V2310" s="103"/>
      <c r="W2310" s="101"/>
    </row>
    <row r="2311" spans="1:23" x14ac:dyDescent="0.25">
      <c r="A2311" s="98"/>
      <c r="H2311" s="101"/>
      <c r="I2311" s="101"/>
      <c r="J2311" s="101"/>
      <c r="K2311" s="101"/>
      <c r="L2311" s="101"/>
      <c r="M2311" s="101"/>
      <c r="N2311" s="101"/>
      <c r="O2311" s="101"/>
      <c r="P2311" s="101"/>
      <c r="Q2311" s="101"/>
      <c r="R2311" s="101"/>
      <c r="S2311" s="110"/>
      <c r="T2311" s="102"/>
      <c r="U2311" s="101"/>
      <c r="V2311" s="103"/>
      <c r="W2311" s="101"/>
    </row>
    <row r="2312" spans="1:23" x14ac:dyDescent="0.25">
      <c r="A2312" s="98"/>
      <c r="H2312" s="101"/>
      <c r="I2312" s="101"/>
      <c r="J2312" s="101"/>
      <c r="K2312" s="101"/>
      <c r="L2312" s="101"/>
      <c r="M2312" s="101"/>
      <c r="N2312" s="101"/>
      <c r="O2312" s="101"/>
      <c r="P2312" s="101"/>
      <c r="Q2312" s="101"/>
      <c r="R2312" s="101"/>
      <c r="S2312" s="110"/>
      <c r="T2312" s="102"/>
      <c r="U2312" s="101"/>
      <c r="V2312" s="103"/>
      <c r="W2312" s="101"/>
    </row>
    <row r="2313" spans="1:23" x14ac:dyDescent="0.25">
      <c r="A2313" s="98"/>
      <c r="H2313" s="101"/>
      <c r="I2313" s="101"/>
      <c r="J2313" s="101"/>
      <c r="K2313" s="101"/>
      <c r="L2313" s="101"/>
      <c r="M2313" s="101"/>
      <c r="N2313" s="101"/>
      <c r="O2313" s="101"/>
      <c r="P2313" s="101"/>
      <c r="Q2313" s="101"/>
      <c r="R2313" s="101"/>
      <c r="S2313" s="110"/>
      <c r="T2313" s="102"/>
      <c r="U2313" s="101"/>
      <c r="V2313" s="103"/>
      <c r="W2313" s="101"/>
    </row>
    <row r="2314" spans="1:23" x14ac:dyDescent="0.25">
      <c r="A2314" s="98"/>
      <c r="H2314" s="101"/>
      <c r="I2314" s="101"/>
      <c r="J2314" s="101"/>
      <c r="K2314" s="101"/>
      <c r="L2314" s="101"/>
      <c r="M2314" s="101"/>
      <c r="N2314" s="101"/>
      <c r="O2314" s="101"/>
      <c r="P2314" s="101"/>
      <c r="Q2314" s="101"/>
      <c r="R2314" s="101"/>
      <c r="S2314" s="110"/>
      <c r="T2314" s="102"/>
      <c r="U2314" s="101"/>
      <c r="V2314" s="103"/>
      <c r="W2314" s="101"/>
    </row>
    <row r="2315" spans="1:23" x14ac:dyDescent="0.25">
      <c r="A2315" s="98"/>
      <c r="H2315" s="101"/>
      <c r="I2315" s="101"/>
      <c r="J2315" s="101"/>
      <c r="K2315" s="101"/>
      <c r="L2315" s="101"/>
      <c r="M2315" s="101"/>
      <c r="N2315" s="101"/>
      <c r="O2315" s="101"/>
      <c r="P2315" s="101"/>
      <c r="Q2315" s="101"/>
      <c r="R2315" s="101"/>
      <c r="S2315" s="110"/>
      <c r="T2315" s="102"/>
      <c r="U2315" s="101"/>
      <c r="V2315" s="103"/>
      <c r="W2315" s="101"/>
    </row>
    <row r="2316" spans="1:23" x14ac:dyDescent="0.25">
      <c r="A2316" s="98"/>
      <c r="H2316" s="101"/>
      <c r="I2316" s="101"/>
      <c r="J2316" s="101"/>
      <c r="K2316" s="101"/>
      <c r="L2316" s="101"/>
      <c r="M2316" s="101"/>
      <c r="N2316" s="101"/>
      <c r="O2316" s="101"/>
      <c r="P2316" s="101"/>
      <c r="Q2316" s="101"/>
      <c r="R2316" s="101"/>
      <c r="S2316" s="110"/>
      <c r="T2316" s="102"/>
      <c r="U2316" s="101"/>
      <c r="V2316" s="103"/>
      <c r="W2316" s="101"/>
    </row>
    <row r="2317" spans="1:23" x14ac:dyDescent="0.25">
      <c r="A2317" s="98"/>
      <c r="H2317" s="101"/>
      <c r="I2317" s="101"/>
      <c r="J2317" s="101"/>
      <c r="K2317" s="101"/>
      <c r="L2317" s="101"/>
      <c r="M2317" s="101"/>
      <c r="N2317" s="101"/>
      <c r="O2317" s="101"/>
      <c r="P2317" s="101"/>
      <c r="Q2317" s="101"/>
      <c r="R2317" s="101"/>
      <c r="S2317" s="110"/>
      <c r="T2317" s="102"/>
      <c r="U2317" s="101"/>
      <c r="V2317" s="103"/>
      <c r="W2317" s="101"/>
    </row>
    <row r="2318" spans="1:23" x14ac:dyDescent="0.25">
      <c r="A2318" s="98"/>
      <c r="H2318" s="101"/>
      <c r="I2318" s="101"/>
      <c r="J2318" s="101"/>
      <c r="K2318" s="101"/>
      <c r="L2318" s="101"/>
      <c r="M2318" s="101"/>
      <c r="N2318" s="101"/>
      <c r="O2318" s="101"/>
      <c r="P2318" s="101"/>
      <c r="Q2318" s="101"/>
      <c r="R2318" s="101"/>
      <c r="S2318" s="110"/>
      <c r="T2318" s="102"/>
      <c r="U2318" s="101"/>
      <c r="V2318" s="103"/>
      <c r="W2318" s="101"/>
    </row>
    <row r="2319" spans="1:23" x14ac:dyDescent="0.25">
      <c r="A2319" s="98"/>
      <c r="H2319" s="101"/>
      <c r="I2319" s="101"/>
      <c r="J2319" s="101"/>
      <c r="K2319" s="101"/>
      <c r="L2319" s="101"/>
      <c r="M2319" s="101"/>
      <c r="N2319" s="101"/>
      <c r="O2319" s="101"/>
      <c r="P2319" s="101"/>
      <c r="Q2319" s="101"/>
      <c r="R2319" s="101"/>
      <c r="S2319" s="110"/>
      <c r="T2319" s="102"/>
      <c r="U2319" s="101"/>
      <c r="V2319" s="103"/>
      <c r="W2319" s="101"/>
    </row>
    <row r="2320" spans="1:23" x14ac:dyDescent="0.25">
      <c r="A2320" s="98"/>
      <c r="H2320" s="101"/>
      <c r="I2320" s="101"/>
      <c r="J2320" s="101"/>
      <c r="K2320" s="101"/>
      <c r="L2320" s="101"/>
      <c r="M2320" s="101"/>
      <c r="N2320" s="101"/>
      <c r="O2320" s="101"/>
      <c r="P2320" s="101"/>
      <c r="Q2320" s="101"/>
      <c r="R2320" s="101"/>
      <c r="S2320" s="110"/>
      <c r="T2320" s="102"/>
      <c r="U2320" s="101"/>
      <c r="V2320" s="103"/>
      <c r="W2320" s="101"/>
    </row>
    <row r="2321" spans="1:23" x14ac:dyDescent="0.25">
      <c r="A2321" s="98"/>
      <c r="H2321" s="101"/>
      <c r="I2321" s="101"/>
      <c r="J2321" s="101"/>
      <c r="K2321" s="101"/>
      <c r="L2321" s="101"/>
      <c r="M2321" s="101"/>
      <c r="N2321" s="101"/>
      <c r="O2321" s="101"/>
      <c r="P2321" s="101"/>
      <c r="Q2321" s="101"/>
      <c r="R2321" s="101"/>
      <c r="S2321" s="110"/>
      <c r="T2321" s="102"/>
      <c r="U2321" s="101"/>
      <c r="V2321" s="103"/>
      <c r="W2321" s="101"/>
    </row>
    <row r="2322" spans="1:23" x14ac:dyDescent="0.25">
      <c r="A2322" s="98"/>
      <c r="H2322" s="101"/>
      <c r="I2322" s="101"/>
      <c r="J2322" s="101"/>
      <c r="K2322" s="101"/>
      <c r="L2322" s="101"/>
      <c r="M2322" s="101"/>
      <c r="N2322" s="101"/>
      <c r="O2322" s="101"/>
      <c r="P2322" s="101"/>
      <c r="Q2322" s="101"/>
      <c r="R2322" s="101"/>
      <c r="S2322" s="110"/>
      <c r="T2322" s="102"/>
      <c r="U2322" s="101"/>
      <c r="V2322" s="103"/>
      <c r="W2322" s="101"/>
    </row>
    <row r="2323" spans="1:23" x14ac:dyDescent="0.25">
      <c r="A2323" s="98"/>
      <c r="H2323" s="101"/>
      <c r="I2323" s="101"/>
      <c r="J2323" s="101"/>
      <c r="K2323" s="101"/>
      <c r="L2323" s="101"/>
      <c r="M2323" s="101"/>
      <c r="N2323" s="101"/>
      <c r="O2323" s="101"/>
      <c r="P2323" s="101"/>
      <c r="Q2323" s="101"/>
      <c r="R2323" s="101"/>
      <c r="S2323" s="110"/>
      <c r="T2323" s="102"/>
      <c r="U2323" s="101"/>
      <c r="V2323" s="103"/>
      <c r="W2323" s="101"/>
    </row>
    <row r="2324" spans="1:23" x14ac:dyDescent="0.25">
      <c r="A2324" s="98"/>
      <c r="H2324" s="101"/>
      <c r="I2324" s="101"/>
      <c r="J2324" s="101"/>
      <c r="K2324" s="101"/>
      <c r="L2324" s="101"/>
      <c r="M2324" s="101"/>
      <c r="N2324" s="101"/>
      <c r="O2324" s="101"/>
      <c r="P2324" s="101"/>
      <c r="Q2324" s="101"/>
      <c r="R2324" s="101"/>
      <c r="S2324" s="110"/>
      <c r="T2324" s="102"/>
      <c r="U2324" s="101"/>
      <c r="V2324" s="103"/>
      <c r="W2324" s="101"/>
    </row>
    <row r="2325" spans="1:23" x14ac:dyDescent="0.25">
      <c r="A2325" s="98"/>
      <c r="H2325" s="101"/>
      <c r="I2325" s="101"/>
      <c r="J2325" s="101"/>
      <c r="K2325" s="101"/>
      <c r="L2325" s="101"/>
      <c r="M2325" s="101"/>
      <c r="N2325" s="101"/>
      <c r="O2325" s="101"/>
      <c r="P2325" s="101"/>
      <c r="Q2325" s="101"/>
      <c r="R2325" s="101"/>
      <c r="S2325" s="110"/>
      <c r="T2325" s="102"/>
      <c r="U2325" s="101"/>
      <c r="V2325" s="103"/>
      <c r="W2325" s="101"/>
    </row>
    <row r="2326" spans="1:23" x14ac:dyDescent="0.25">
      <c r="A2326" s="98"/>
      <c r="H2326" s="101"/>
      <c r="I2326" s="101"/>
      <c r="J2326" s="101"/>
      <c r="K2326" s="101"/>
      <c r="L2326" s="101"/>
      <c r="M2326" s="101"/>
      <c r="N2326" s="101"/>
      <c r="O2326" s="101"/>
      <c r="P2326" s="101"/>
      <c r="Q2326" s="101"/>
      <c r="R2326" s="101"/>
      <c r="S2326" s="110"/>
      <c r="T2326" s="102"/>
      <c r="U2326" s="101"/>
      <c r="V2326" s="103"/>
      <c r="W2326" s="101"/>
    </row>
    <row r="2327" spans="1:23" x14ac:dyDescent="0.25">
      <c r="A2327" s="98"/>
      <c r="H2327" s="101"/>
      <c r="I2327" s="101"/>
      <c r="J2327" s="101"/>
      <c r="K2327" s="101"/>
      <c r="L2327" s="101"/>
      <c r="M2327" s="101"/>
      <c r="N2327" s="101"/>
      <c r="O2327" s="101"/>
      <c r="P2327" s="101"/>
      <c r="Q2327" s="101"/>
      <c r="R2327" s="101"/>
      <c r="S2327" s="110"/>
      <c r="T2327" s="102"/>
      <c r="U2327" s="101"/>
      <c r="V2327" s="103"/>
      <c r="W2327" s="101"/>
    </row>
    <row r="2328" spans="1:23" x14ac:dyDescent="0.25">
      <c r="A2328" s="98"/>
      <c r="H2328" s="101"/>
      <c r="I2328" s="101"/>
      <c r="J2328" s="101"/>
      <c r="K2328" s="101"/>
      <c r="L2328" s="101"/>
      <c r="M2328" s="101"/>
      <c r="N2328" s="101"/>
      <c r="O2328" s="101"/>
      <c r="P2328" s="101"/>
      <c r="Q2328" s="101"/>
      <c r="R2328" s="101"/>
      <c r="S2328" s="110"/>
      <c r="T2328" s="102"/>
      <c r="U2328" s="101"/>
      <c r="V2328" s="103"/>
      <c r="W2328" s="101"/>
    </row>
    <row r="2329" spans="1:23" x14ac:dyDescent="0.25">
      <c r="A2329" s="98"/>
      <c r="H2329" s="101"/>
      <c r="I2329" s="101"/>
      <c r="J2329" s="101"/>
      <c r="K2329" s="101"/>
      <c r="L2329" s="101"/>
      <c r="M2329" s="101"/>
      <c r="N2329" s="101"/>
      <c r="O2329" s="101"/>
      <c r="P2329" s="101"/>
      <c r="Q2329" s="101"/>
      <c r="R2329" s="101"/>
      <c r="S2329" s="110"/>
      <c r="T2329" s="102"/>
      <c r="U2329" s="101"/>
      <c r="V2329" s="103"/>
      <c r="W2329" s="101"/>
    </row>
    <row r="2330" spans="1:23" x14ac:dyDescent="0.25">
      <c r="A2330" s="98"/>
      <c r="H2330" s="101"/>
      <c r="I2330" s="101"/>
      <c r="J2330" s="101"/>
      <c r="K2330" s="101"/>
      <c r="L2330" s="101"/>
      <c r="M2330" s="101"/>
      <c r="N2330" s="101"/>
      <c r="O2330" s="101"/>
      <c r="P2330" s="101"/>
      <c r="Q2330" s="101"/>
      <c r="R2330" s="101"/>
      <c r="S2330" s="110"/>
      <c r="T2330" s="102"/>
      <c r="U2330" s="101"/>
      <c r="V2330" s="103"/>
      <c r="W2330" s="101"/>
    </row>
    <row r="2331" spans="1:23" x14ac:dyDescent="0.25">
      <c r="A2331" s="98"/>
      <c r="H2331" s="101"/>
      <c r="I2331" s="101"/>
      <c r="J2331" s="101"/>
      <c r="K2331" s="101"/>
      <c r="L2331" s="101"/>
      <c r="M2331" s="101"/>
      <c r="N2331" s="101"/>
      <c r="O2331" s="101"/>
      <c r="P2331" s="101"/>
      <c r="Q2331" s="101"/>
      <c r="R2331" s="101"/>
      <c r="S2331" s="110"/>
      <c r="T2331" s="102"/>
      <c r="U2331" s="101"/>
      <c r="V2331" s="103"/>
      <c r="W2331" s="101"/>
    </row>
    <row r="2332" spans="1:23" x14ac:dyDescent="0.25">
      <c r="A2332" s="98"/>
      <c r="H2332" s="101"/>
      <c r="I2332" s="101"/>
      <c r="J2332" s="101"/>
      <c r="K2332" s="101"/>
      <c r="L2332" s="101"/>
      <c r="M2332" s="101"/>
      <c r="N2332" s="101"/>
      <c r="O2332" s="101"/>
      <c r="P2332" s="101"/>
      <c r="Q2332" s="101"/>
      <c r="R2332" s="101"/>
      <c r="S2332" s="110"/>
      <c r="T2332" s="102"/>
      <c r="U2332" s="101"/>
      <c r="V2332" s="103"/>
      <c r="W2332" s="101"/>
    </row>
    <row r="2333" spans="1:23" x14ac:dyDescent="0.25">
      <c r="A2333" s="98"/>
      <c r="H2333" s="101"/>
      <c r="I2333" s="101"/>
      <c r="J2333" s="101"/>
      <c r="K2333" s="101"/>
      <c r="L2333" s="101"/>
      <c r="M2333" s="101"/>
      <c r="N2333" s="101"/>
      <c r="O2333" s="101"/>
      <c r="P2333" s="101"/>
      <c r="Q2333" s="101"/>
      <c r="R2333" s="101"/>
      <c r="S2333" s="110"/>
      <c r="T2333" s="102"/>
      <c r="U2333" s="101"/>
      <c r="V2333" s="103"/>
      <c r="W2333" s="101"/>
    </row>
    <row r="2334" spans="1:23" x14ac:dyDescent="0.25">
      <c r="A2334" s="98"/>
      <c r="H2334" s="101"/>
      <c r="I2334" s="101"/>
      <c r="J2334" s="101"/>
      <c r="K2334" s="101"/>
      <c r="L2334" s="101"/>
      <c r="M2334" s="101"/>
      <c r="N2334" s="101"/>
      <c r="O2334" s="101"/>
      <c r="P2334" s="101"/>
      <c r="Q2334" s="101"/>
      <c r="R2334" s="101"/>
      <c r="S2334" s="110"/>
      <c r="T2334" s="102"/>
      <c r="U2334" s="101"/>
      <c r="V2334" s="103"/>
      <c r="W2334" s="101"/>
    </row>
    <row r="2335" spans="1:23" x14ac:dyDescent="0.25">
      <c r="A2335" s="98"/>
      <c r="H2335" s="101"/>
      <c r="I2335" s="101"/>
      <c r="J2335" s="101"/>
      <c r="K2335" s="101"/>
      <c r="L2335" s="101"/>
      <c r="M2335" s="101"/>
      <c r="N2335" s="101"/>
      <c r="O2335" s="101"/>
      <c r="P2335" s="101"/>
      <c r="Q2335" s="101"/>
      <c r="R2335" s="101"/>
      <c r="S2335" s="110"/>
      <c r="T2335" s="102"/>
      <c r="U2335" s="101"/>
      <c r="V2335" s="103"/>
      <c r="W2335" s="101"/>
    </row>
    <row r="2336" spans="1:23" x14ac:dyDescent="0.25">
      <c r="A2336" s="98"/>
      <c r="H2336" s="101"/>
      <c r="I2336" s="101"/>
      <c r="J2336" s="101"/>
      <c r="K2336" s="101"/>
      <c r="L2336" s="101"/>
      <c r="M2336" s="101"/>
      <c r="N2336" s="101"/>
      <c r="O2336" s="101"/>
      <c r="P2336" s="101"/>
      <c r="Q2336" s="101"/>
      <c r="R2336" s="101"/>
      <c r="S2336" s="110"/>
      <c r="T2336" s="102"/>
      <c r="U2336" s="101"/>
      <c r="V2336" s="103"/>
      <c r="W2336" s="101"/>
    </row>
    <row r="2337" spans="1:23" x14ac:dyDescent="0.25">
      <c r="A2337" s="98"/>
      <c r="H2337" s="101"/>
      <c r="I2337" s="101"/>
      <c r="J2337" s="101"/>
      <c r="K2337" s="101"/>
      <c r="L2337" s="101"/>
      <c r="M2337" s="101"/>
      <c r="N2337" s="101"/>
      <c r="O2337" s="101"/>
      <c r="P2337" s="101"/>
      <c r="Q2337" s="101"/>
      <c r="R2337" s="101"/>
      <c r="S2337" s="110"/>
      <c r="T2337" s="102"/>
      <c r="U2337" s="101"/>
      <c r="V2337" s="103"/>
      <c r="W2337" s="101"/>
    </row>
    <row r="2338" spans="1:23" x14ac:dyDescent="0.25">
      <c r="A2338" s="98"/>
      <c r="H2338" s="101"/>
      <c r="I2338" s="101"/>
      <c r="J2338" s="101"/>
      <c r="K2338" s="101"/>
      <c r="L2338" s="101"/>
      <c r="M2338" s="101"/>
      <c r="N2338" s="101"/>
      <c r="O2338" s="101"/>
      <c r="P2338" s="101"/>
      <c r="Q2338" s="101"/>
      <c r="R2338" s="101"/>
      <c r="S2338" s="110"/>
      <c r="T2338" s="102"/>
      <c r="U2338" s="101"/>
      <c r="V2338" s="103"/>
      <c r="W2338" s="101"/>
    </row>
    <row r="2339" spans="1:23" x14ac:dyDescent="0.25">
      <c r="A2339" s="98"/>
      <c r="H2339" s="101"/>
      <c r="I2339" s="101"/>
      <c r="J2339" s="101"/>
      <c r="K2339" s="101"/>
      <c r="L2339" s="101"/>
      <c r="M2339" s="101"/>
      <c r="N2339" s="101"/>
      <c r="O2339" s="101"/>
      <c r="P2339" s="101"/>
      <c r="Q2339" s="101"/>
      <c r="R2339" s="101"/>
      <c r="S2339" s="110"/>
      <c r="T2339" s="102"/>
      <c r="U2339" s="101"/>
      <c r="V2339" s="103"/>
      <c r="W2339" s="101"/>
    </row>
    <row r="2340" spans="1:23" x14ac:dyDescent="0.25">
      <c r="A2340" s="98"/>
      <c r="H2340" s="101"/>
      <c r="I2340" s="101"/>
      <c r="J2340" s="101"/>
      <c r="K2340" s="101"/>
      <c r="L2340" s="101"/>
      <c r="M2340" s="101"/>
      <c r="N2340" s="101"/>
      <c r="O2340" s="101"/>
      <c r="P2340" s="101"/>
      <c r="Q2340" s="101"/>
      <c r="R2340" s="101"/>
      <c r="S2340" s="110"/>
      <c r="T2340" s="102"/>
      <c r="U2340" s="101"/>
      <c r="V2340" s="103"/>
      <c r="W2340" s="101"/>
    </row>
    <row r="2341" spans="1:23" x14ac:dyDescent="0.25">
      <c r="A2341" s="98"/>
      <c r="H2341" s="101"/>
      <c r="I2341" s="101"/>
      <c r="J2341" s="101"/>
      <c r="K2341" s="101"/>
      <c r="L2341" s="101"/>
      <c r="M2341" s="101"/>
      <c r="N2341" s="101"/>
      <c r="O2341" s="101"/>
      <c r="P2341" s="101"/>
      <c r="Q2341" s="101"/>
      <c r="R2341" s="101"/>
      <c r="S2341" s="110"/>
      <c r="T2341" s="102"/>
      <c r="U2341" s="101"/>
      <c r="V2341" s="103"/>
      <c r="W2341" s="101"/>
    </row>
    <row r="2342" spans="1:23" x14ac:dyDescent="0.25">
      <c r="A2342" s="98"/>
      <c r="H2342" s="101"/>
      <c r="I2342" s="101"/>
      <c r="J2342" s="101"/>
      <c r="K2342" s="101"/>
      <c r="L2342" s="101"/>
      <c r="M2342" s="101"/>
      <c r="N2342" s="101"/>
      <c r="O2342" s="101"/>
      <c r="P2342" s="101"/>
      <c r="Q2342" s="101"/>
      <c r="R2342" s="101"/>
      <c r="S2342" s="110"/>
      <c r="T2342" s="102"/>
      <c r="U2342" s="101"/>
      <c r="V2342" s="103"/>
      <c r="W2342" s="101"/>
    </row>
    <row r="2343" spans="1:23" x14ac:dyDescent="0.25">
      <c r="A2343" s="98"/>
      <c r="H2343" s="101"/>
      <c r="I2343" s="101"/>
      <c r="J2343" s="101"/>
      <c r="K2343" s="101"/>
      <c r="L2343" s="101"/>
      <c r="M2343" s="101"/>
      <c r="N2343" s="101"/>
      <c r="O2343" s="101"/>
      <c r="P2343" s="101"/>
      <c r="Q2343" s="101"/>
      <c r="R2343" s="101"/>
      <c r="S2343" s="110"/>
      <c r="T2343" s="102"/>
      <c r="U2343" s="101"/>
      <c r="V2343" s="103"/>
      <c r="W2343" s="101"/>
    </row>
    <row r="2344" spans="1:23" x14ac:dyDescent="0.25">
      <c r="A2344" s="98"/>
      <c r="H2344" s="101"/>
      <c r="I2344" s="101"/>
      <c r="J2344" s="101"/>
      <c r="K2344" s="101"/>
      <c r="L2344" s="101"/>
      <c r="M2344" s="101"/>
      <c r="N2344" s="101"/>
      <c r="O2344" s="101"/>
      <c r="P2344" s="101"/>
      <c r="Q2344" s="101"/>
      <c r="R2344" s="101"/>
      <c r="S2344" s="110"/>
      <c r="T2344" s="102"/>
      <c r="U2344" s="101"/>
      <c r="V2344" s="103"/>
      <c r="W2344" s="101"/>
    </row>
    <row r="2345" spans="1:23" x14ac:dyDescent="0.25">
      <c r="A2345" s="98"/>
      <c r="H2345" s="101"/>
      <c r="I2345" s="101"/>
      <c r="J2345" s="101"/>
      <c r="K2345" s="101"/>
      <c r="L2345" s="101"/>
      <c r="M2345" s="101"/>
      <c r="N2345" s="101"/>
      <c r="O2345" s="101"/>
      <c r="P2345" s="101"/>
      <c r="Q2345" s="101"/>
      <c r="R2345" s="101"/>
      <c r="S2345" s="110"/>
      <c r="T2345" s="102"/>
      <c r="U2345" s="101"/>
      <c r="V2345" s="103"/>
      <c r="W2345" s="101"/>
    </row>
    <row r="2346" spans="1:23" x14ac:dyDescent="0.25">
      <c r="A2346" s="98"/>
      <c r="H2346" s="101"/>
      <c r="I2346" s="101"/>
      <c r="J2346" s="101"/>
      <c r="K2346" s="101"/>
      <c r="L2346" s="101"/>
      <c r="M2346" s="101"/>
      <c r="N2346" s="101"/>
      <c r="O2346" s="101"/>
      <c r="P2346" s="101"/>
      <c r="Q2346" s="101"/>
      <c r="R2346" s="101"/>
      <c r="S2346" s="110"/>
      <c r="T2346" s="102"/>
      <c r="U2346" s="101"/>
      <c r="V2346" s="103"/>
      <c r="W2346" s="101"/>
    </row>
    <row r="2347" spans="1:23" x14ac:dyDescent="0.25">
      <c r="A2347" s="98"/>
      <c r="H2347" s="101"/>
      <c r="I2347" s="101"/>
      <c r="J2347" s="101"/>
      <c r="K2347" s="101"/>
      <c r="L2347" s="101"/>
      <c r="M2347" s="101"/>
      <c r="N2347" s="101"/>
      <c r="O2347" s="101"/>
      <c r="P2347" s="101"/>
      <c r="Q2347" s="101"/>
      <c r="R2347" s="101"/>
      <c r="S2347" s="110"/>
      <c r="T2347" s="102"/>
      <c r="U2347" s="101"/>
      <c r="V2347" s="103"/>
      <c r="W2347" s="101"/>
    </row>
    <row r="2348" spans="1:23" x14ac:dyDescent="0.25">
      <c r="A2348" s="98"/>
      <c r="H2348" s="101"/>
      <c r="I2348" s="101"/>
      <c r="J2348" s="101"/>
      <c r="K2348" s="101"/>
      <c r="L2348" s="101"/>
      <c r="M2348" s="101"/>
      <c r="N2348" s="101"/>
      <c r="O2348" s="101"/>
      <c r="P2348" s="101"/>
      <c r="Q2348" s="101"/>
      <c r="R2348" s="101"/>
      <c r="S2348" s="110"/>
      <c r="T2348" s="102"/>
      <c r="U2348" s="101"/>
      <c r="V2348" s="103"/>
      <c r="W2348" s="101"/>
    </row>
    <row r="2349" spans="1:23" x14ac:dyDescent="0.25">
      <c r="A2349" s="98"/>
      <c r="H2349" s="101"/>
      <c r="I2349" s="101"/>
      <c r="J2349" s="101"/>
      <c r="K2349" s="101"/>
      <c r="L2349" s="101"/>
      <c r="M2349" s="101"/>
      <c r="N2349" s="101"/>
      <c r="O2349" s="101"/>
      <c r="P2349" s="101"/>
      <c r="Q2349" s="101"/>
      <c r="R2349" s="101"/>
      <c r="S2349" s="110"/>
      <c r="T2349" s="102"/>
      <c r="U2349" s="101"/>
      <c r="V2349" s="103"/>
      <c r="W2349" s="101"/>
    </row>
    <row r="2350" spans="1:23" x14ac:dyDescent="0.25">
      <c r="A2350" s="98"/>
      <c r="H2350" s="101"/>
      <c r="I2350" s="101"/>
      <c r="J2350" s="101"/>
      <c r="K2350" s="101"/>
      <c r="L2350" s="101"/>
      <c r="M2350" s="101"/>
      <c r="N2350" s="101"/>
      <c r="O2350" s="101"/>
      <c r="P2350" s="101"/>
      <c r="Q2350" s="101"/>
      <c r="R2350" s="101"/>
      <c r="S2350" s="110"/>
      <c r="T2350" s="102"/>
      <c r="U2350" s="101"/>
      <c r="V2350" s="103"/>
      <c r="W2350" s="101"/>
    </row>
    <row r="2351" spans="1:23" x14ac:dyDescent="0.25">
      <c r="A2351" s="98"/>
      <c r="H2351" s="101"/>
      <c r="I2351" s="101"/>
      <c r="J2351" s="101"/>
      <c r="K2351" s="101"/>
      <c r="L2351" s="101"/>
      <c r="M2351" s="101"/>
      <c r="N2351" s="101"/>
      <c r="O2351" s="101"/>
      <c r="P2351" s="101"/>
      <c r="Q2351" s="101"/>
      <c r="R2351" s="101"/>
      <c r="S2351" s="110"/>
      <c r="T2351" s="102"/>
      <c r="U2351" s="101"/>
      <c r="V2351" s="103"/>
      <c r="W2351" s="101"/>
    </row>
    <row r="2352" spans="1:23" x14ac:dyDescent="0.25">
      <c r="A2352" s="98"/>
      <c r="H2352" s="101"/>
      <c r="I2352" s="101"/>
      <c r="J2352" s="101"/>
      <c r="K2352" s="101"/>
      <c r="L2352" s="101"/>
      <c r="M2352" s="101"/>
      <c r="N2352" s="101"/>
      <c r="O2352" s="101"/>
      <c r="P2352" s="101"/>
      <c r="Q2352" s="101"/>
      <c r="R2352" s="101"/>
      <c r="S2352" s="110"/>
      <c r="T2352" s="102"/>
      <c r="U2352" s="101"/>
      <c r="V2352" s="103"/>
      <c r="W2352" s="101"/>
    </row>
    <row r="2353" spans="1:23" x14ac:dyDescent="0.25">
      <c r="A2353" s="98"/>
      <c r="H2353" s="101"/>
      <c r="I2353" s="101"/>
      <c r="J2353" s="101"/>
      <c r="K2353" s="101"/>
      <c r="L2353" s="101"/>
      <c r="M2353" s="101"/>
      <c r="N2353" s="101"/>
      <c r="O2353" s="101"/>
      <c r="P2353" s="101"/>
      <c r="Q2353" s="101"/>
      <c r="R2353" s="101"/>
      <c r="S2353" s="110"/>
      <c r="T2353" s="102"/>
      <c r="U2353" s="101"/>
      <c r="V2353" s="103"/>
      <c r="W2353" s="101"/>
    </row>
    <row r="2354" spans="1:23" x14ac:dyDescent="0.25">
      <c r="A2354" s="98"/>
      <c r="H2354" s="101"/>
      <c r="I2354" s="101"/>
      <c r="J2354" s="101"/>
      <c r="K2354" s="101"/>
      <c r="L2354" s="101"/>
      <c r="M2354" s="101"/>
      <c r="N2354" s="101"/>
      <c r="O2354" s="101"/>
      <c r="P2354" s="101"/>
      <c r="Q2354" s="101"/>
      <c r="R2354" s="101"/>
      <c r="S2354" s="110"/>
      <c r="T2354" s="102"/>
      <c r="U2354" s="101"/>
      <c r="V2354" s="103"/>
      <c r="W2354" s="101"/>
    </row>
    <row r="2355" spans="1:23" x14ac:dyDescent="0.25">
      <c r="A2355" s="98"/>
      <c r="H2355" s="101"/>
      <c r="I2355" s="101"/>
      <c r="J2355" s="101"/>
      <c r="K2355" s="101"/>
      <c r="L2355" s="101"/>
      <c r="M2355" s="101"/>
      <c r="N2355" s="101"/>
      <c r="O2355" s="101"/>
      <c r="P2355" s="101"/>
      <c r="Q2355" s="101"/>
      <c r="R2355" s="101"/>
      <c r="S2355" s="110"/>
      <c r="T2355" s="102"/>
      <c r="U2355" s="101"/>
      <c r="V2355" s="103"/>
      <c r="W2355" s="101"/>
    </row>
    <row r="2356" spans="1:23" x14ac:dyDescent="0.25">
      <c r="A2356" s="98"/>
      <c r="H2356" s="101"/>
      <c r="I2356" s="101"/>
      <c r="J2356" s="101"/>
      <c r="K2356" s="101"/>
      <c r="L2356" s="101"/>
      <c r="M2356" s="101"/>
      <c r="N2356" s="101"/>
      <c r="O2356" s="101"/>
      <c r="P2356" s="101"/>
      <c r="Q2356" s="101"/>
      <c r="R2356" s="101"/>
      <c r="S2356" s="110"/>
      <c r="T2356" s="102"/>
      <c r="U2356" s="101"/>
      <c r="V2356" s="103"/>
      <c r="W2356" s="101"/>
    </row>
    <row r="2357" spans="1:23" x14ac:dyDescent="0.25">
      <c r="A2357" s="98"/>
      <c r="H2357" s="101"/>
      <c r="I2357" s="101"/>
      <c r="J2357" s="101"/>
      <c r="K2357" s="101"/>
      <c r="L2357" s="101"/>
      <c r="M2357" s="101"/>
      <c r="N2357" s="101"/>
      <c r="O2357" s="101"/>
      <c r="P2357" s="101"/>
      <c r="Q2357" s="101"/>
      <c r="R2357" s="101"/>
      <c r="S2357" s="110"/>
      <c r="T2357" s="102"/>
      <c r="U2357" s="101"/>
      <c r="V2357" s="103"/>
      <c r="W2357" s="101"/>
    </row>
    <row r="2358" spans="1:23" x14ac:dyDescent="0.25">
      <c r="A2358" s="98"/>
      <c r="H2358" s="101"/>
      <c r="I2358" s="101"/>
      <c r="J2358" s="101"/>
      <c r="K2358" s="101"/>
      <c r="L2358" s="101"/>
      <c r="M2358" s="101"/>
      <c r="N2358" s="101"/>
      <c r="O2358" s="101"/>
      <c r="P2358" s="101"/>
      <c r="Q2358" s="101"/>
      <c r="R2358" s="101"/>
      <c r="S2358" s="110"/>
      <c r="T2358" s="102"/>
      <c r="U2358" s="101"/>
      <c r="V2358" s="103"/>
      <c r="W2358" s="101"/>
    </row>
    <row r="2359" spans="1:23" x14ac:dyDescent="0.25">
      <c r="A2359" s="98"/>
      <c r="H2359" s="101"/>
      <c r="I2359" s="101"/>
      <c r="J2359" s="101"/>
      <c r="K2359" s="101"/>
      <c r="L2359" s="101"/>
      <c r="M2359" s="101"/>
      <c r="N2359" s="101"/>
      <c r="O2359" s="101"/>
      <c r="P2359" s="101"/>
      <c r="Q2359" s="101"/>
      <c r="R2359" s="101"/>
      <c r="S2359" s="110"/>
      <c r="T2359" s="102"/>
      <c r="U2359" s="101"/>
      <c r="V2359" s="103"/>
      <c r="W2359" s="101"/>
    </row>
    <row r="2360" spans="1:23" x14ac:dyDescent="0.25">
      <c r="A2360" s="98"/>
      <c r="H2360" s="101"/>
      <c r="I2360" s="101"/>
      <c r="J2360" s="101"/>
      <c r="K2360" s="101"/>
      <c r="L2360" s="101"/>
      <c r="M2360" s="101"/>
      <c r="N2360" s="101"/>
      <c r="O2360" s="101"/>
      <c r="P2360" s="101"/>
      <c r="Q2360" s="101"/>
      <c r="R2360" s="101"/>
      <c r="S2360" s="110"/>
      <c r="T2360" s="102"/>
      <c r="U2360" s="101"/>
      <c r="V2360" s="103"/>
      <c r="W2360" s="101"/>
    </row>
    <row r="2361" spans="1:23" x14ac:dyDescent="0.25">
      <c r="A2361" s="98"/>
      <c r="H2361" s="101"/>
      <c r="I2361" s="101"/>
      <c r="J2361" s="101"/>
      <c r="K2361" s="101"/>
      <c r="L2361" s="101"/>
      <c r="M2361" s="101"/>
      <c r="N2361" s="101"/>
      <c r="O2361" s="101"/>
      <c r="P2361" s="101"/>
      <c r="Q2361" s="101"/>
      <c r="R2361" s="101"/>
      <c r="S2361" s="110"/>
      <c r="T2361" s="102"/>
      <c r="U2361" s="101"/>
      <c r="V2361" s="103"/>
      <c r="W2361" s="101"/>
    </row>
    <row r="2362" spans="1:23" x14ac:dyDescent="0.25">
      <c r="A2362" s="98"/>
      <c r="H2362" s="101"/>
      <c r="I2362" s="101"/>
      <c r="J2362" s="101"/>
      <c r="K2362" s="101"/>
      <c r="L2362" s="101"/>
      <c r="M2362" s="101"/>
      <c r="N2362" s="101"/>
      <c r="O2362" s="101"/>
      <c r="P2362" s="101"/>
      <c r="Q2362" s="101"/>
      <c r="R2362" s="101"/>
      <c r="S2362" s="110"/>
      <c r="T2362" s="102"/>
      <c r="U2362" s="101"/>
      <c r="V2362" s="103"/>
      <c r="W2362" s="101"/>
    </row>
    <row r="2363" spans="1:23" x14ac:dyDescent="0.25">
      <c r="A2363" s="98"/>
      <c r="H2363" s="101"/>
      <c r="I2363" s="101"/>
      <c r="J2363" s="101"/>
      <c r="K2363" s="101"/>
      <c r="L2363" s="101"/>
      <c r="M2363" s="101"/>
      <c r="N2363" s="101"/>
      <c r="O2363" s="101"/>
      <c r="P2363" s="101"/>
      <c r="Q2363" s="101"/>
      <c r="R2363" s="101"/>
      <c r="S2363" s="110"/>
      <c r="T2363" s="102"/>
      <c r="U2363" s="101"/>
      <c r="V2363" s="103"/>
      <c r="W2363" s="101"/>
    </row>
    <row r="2364" spans="1:23" x14ac:dyDescent="0.25">
      <c r="A2364" s="98"/>
      <c r="H2364" s="101"/>
      <c r="I2364" s="101"/>
      <c r="J2364" s="101"/>
      <c r="K2364" s="101"/>
      <c r="L2364" s="101"/>
      <c r="M2364" s="101"/>
      <c r="N2364" s="101"/>
      <c r="O2364" s="101"/>
      <c r="P2364" s="101"/>
      <c r="Q2364" s="101"/>
      <c r="R2364" s="101"/>
      <c r="S2364" s="110"/>
      <c r="T2364" s="102"/>
      <c r="U2364" s="101"/>
      <c r="V2364" s="103"/>
      <c r="W2364" s="101"/>
    </row>
    <row r="2365" spans="1:23" x14ac:dyDescent="0.25">
      <c r="A2365" s="98"/>
      <c r="H2365" s="101"/>
      <c r="I2365" s="101"/>
      <c r="J2365" s="101"/>
      <c r="K2365" s="101"/>
      <c r="L2365" s="101"/>
      <c r="M2365" s="101"/>
      <c r="N2365" s="101"/>
      <c r="O2365" s="101"/>
      <c r="P2365" s="101"/>
      <c r="Q2365" s="101"/>
      <c r="R2365" s="101"/>
      <c r="S2365" s="110"/>
      <c r="T2365" s="102"/>
      <c r="U2365" s="101"/>
      <c r="V2365" s="103"/>
      <c r="W2365" s="101"/>
    </row>
    <row r="2366" spans="1:23" x14ac:dyDescent="0.25">
      <c r="A2366" s="98"/>
      <c r="H2366" s="101"/>
      <c r="I2366" s="101"/>
      <c r="J2366" s="101"/>
      <c r="K2366" s="101"/>
      <c r="L2366" s="101"/>
      <c r="M2366" s="101"/>
      <c r="N2366" s="101"/>
      <c r="O2366" s="101"/>
      <c r="P2366" s="101"/>
      <c r="Q2366" s="101"/>
      <c r="R2366" s="101"/>
      <c r="S2366" s="110"/>
      <c r="T2366" s="102"/>
      <c r="U2366" s="101"/>
      <c r="V2366" s="103"/>
      <c r="W2366" s="101"/>
    </row>
    <row r="2367" spans="1:23" x14ac:dyDescent="0.25">
      <c r="A2367" s="98"/>
      <c r="H2367" s="101"/>
      <c r="I2367" s="101"/>
      <c r="J2367" s="101"/>
      <c r="K2367" s="101"/>
      <c r="L2367" s="101"/>
      <c r="M2367" s="101"/>
      <c r="N2367" s="101"/>
      <c r="O2367" s="101"/>
      <c r="P2367" s="101"/>
      <c r="Q2367" s="101"/>
      <c r="R2367" s="101"/>
      <c r="S2367" s="110"/>
      <c r="T2367" s="102"/>
      <c r="U2367" s="101"/>
      <c r="V2367" s="103"/>
      <c r="W2367" s="101"/>
    </row>
    <row r="2368" spans="1:23" x14ac:dyDescent="0.25">
      <c r="A2368" s="98"/>
      <c r="H2368" s="101"/>
      <c r="I2368" s="101"/>
      <c r="J2368" s="101"/>
      <c r="K2368" s="101"/>
      <c r="L2368" s="101"/>
      <c r="M2368" s="101"/>
      <c r="N2368" s="101"/>
      <c r="O2368" s="101"/>
      <c r="P2368" s="101"/>
      <c r="Q2368" s="101"/>
      <c r="R2368" s="101"/>
      <c r="S2368" s="110"/>
      <c r="T2368" s="102"/>
      <c r="U2368" s="101"/>
      <c r="V2368" s="103"/>
      <c r="W2368" s="101"/>
    </row>
    <row r="2369" spans="1:23" x14ac:dyDescent="0.25">
      <c r="A2369" s="98"/>
      <c r="H2369" s="101"/>
      <c r="I2369" s="101"/>
      <c r="J2369" s="101"/>
      <c r="K2369" s="101"/>
      <c r="L2369" s="101"/>
      <c r="M2369" s="101"/>
      <c r="N2369" s="101"/>
      <c r="O2369" s="101"/>
      <c r="P2369" s="101"/>
      <c r="Q2369" s="101"/>
      <c r="R2369" s="101"/>
      <c r="S2369" s="110"/>
      <c r="T2369" s="102"/>
      <c r="U2369" s="101"/>
      <c r="V2369" s="103"/>
      <c r="W2369" s="101"/>
    </row>
    <row r="2370" spans="1:23" x14ac:dyDescent="0.25">
      <c r="A2370" s="98"/>
      <c r="H2370" s="101"/>
      <c r="I2370" s="101"/>
      <c r="J2370" s="101"/>
      <c r="K2370" s="101"/>
      <c r="L2370" s="101"/>
      <c r="M2370" s="101"/>
      <c r="N2370" s="101"/>
      <c r="O2370" s="101"/>
      <c r="P2370" s="101"/>
      <c r="Q2370" s="101"/>
      <c r="R2370" s="101"/>
      <c r="S2370" s="110"/>
      <c r="T2370" s="102"/>
      <c r="U2370" s="101"/>
      <c r="V2370" s="103"/>
      <c r="W2370" s="101"/>
    </row>
    <row r="2371" spans="1:23" x14ac:dyDescent="0.25">
      <c r="A2371" s="98"/>
      <c r="H2371" s="101"/>
      <c r="I2371" s="101"/>
      <c r="J2371" s="101"/>
      <c r="K2371" s="101"/>
      <c r="L2371" s="101"/>
      <c r="M2371" s="101"/>
      <c r="N2371" s="101"/>
      <c r="O2371" s="101"/>
      <c r="P2371" s="101"/>
      <c r="Q2371" s="101"/>
      <c r="R2371" s="101"/>
      <c r="S2371" s="110"/>
      <c r="T2371" s="102"/>
      <c r="U2371" s="101"/>
      <c r="V2371" s="103"/>
      <c r="W2371" s="101"/>
    </row>
    <row r="2372" spans="1:23" x14ac:dyDescent="0.25">
      <c r="A2372" s="98"/>
      <c r="H2372" s="101"/>
      <c r="I2372" s="101"/>
      <c r="J2372" s="101"/>
      <c r="K2372" s="101"/>
      <c r="L2372" s="101"/>
      <c r="M2372" s="101"/>
      <c r="N2372" s="101"/>
      <c r="O2372" s="101"/>
      <c r="P2372" s="101"/>
      <c r="Q2372" s="101"/>
      <c r="R2372" s="101"/>
      <c r="S2372" s="110"/>
      <c r="T2372" s="102"/>
      <c r="U2372" s="101"/>
      <c r="V2372" s="103"/>
      <c r="W2372" s="101"/>
    </row>
    <row r="2373" spans="1:23" x14ac:dyDescent="0.25">
      <c r="A2373" s="98"/>
      <c r="H2373" s="101"/>
      <c r="I2373" s="101"/>
      <c r="J2373" s="101"/>
      <c r="K2373" s="101"/>
      <c r="L2373" s="101"/>
      <c r="M2373" s="101"/>
      <c r="N2373" s="101"/>
      <c r="O2373" s="101"/>
      <c r="P2373" s="101"/>
      <c r="Q2373" s="101"/>
      <c r="R2373" s="101"/>
      <c r="S2373" s="110"/>
      <c r="T2373" s="102"/>
      <c r="U2373" s="101"/>
      <c r="V2373" s="103"/>
      <c r="W2373" s="101"/>
    </row>
    <row r="2374" spans="1:23" x14ac:dyDescent="0.25">
      <c r="A2374" s="98"/>
      <c r="H2374" s="101"/>
      <c r="I2374" s="101"/>
      <c r="J2374" s="101"/>
      <c r="K2374" s="101"/>
      <c r="L2374" s="101"/>
      <c r="M2374" s="101"/>
      <c r="N2374" s="101"/>
      <c r="O2374" s="101"/>
      <c r="P2374" s="101"/>
      <c r="Q2374" s="101"/>
      <c r="R2374" s="101"/>
      <c r="S2374" s="110"/>
      <c r="T2374" s="102"/>
      <c r="U2374" s="101"/>
      <c r="V2374" s="103"/>
      <c r="W2374" s="101"/>
    </row>
    <row r="2375" spans="1:23" x14ac:dyDescent="0.25">
      <c r="A2375" s="98"/>
      <c r="H2375" s="101"/>
      <c r="I2375" s="101"/>
      <c r="J2375" s="101"/>
      <c r="K2375" s="101"/>
      <c r="L2375" s="101"/>
      <c r="M2375" s="101"/>
      <c r="N2375" s="101"/>
      <c r="O2375" s="101"/>
      <c r="P2375" s="101"/>
      <c r="Q2375" s="101"/>
      <c r="R2375" s="101"/>
      <c r="S2375" s="110"/>
      <c r="T2375" s="102"/>
      <c r="U2375" s="101"/>
      <c r="V2375" s="103"/>
      <c r="W2375" s="101"/>
    </row>
    <row r="2376" spans="1:23" x14ac:dyDescent="0.25">
      <c r="A2376" s="98"/>
      <c r="H2376" s="101"/>
      <c r="I2376" s="101"/>
      <c r="J2376" s="101"/>
      <c r="K2376" s="101"/>
      <c r="L2376" s="101"/>
      <c r="M2376" s="101"/>
      <c r="N2376" s="101"/>
      <c r="O2376" s="101"/>
      <c r="P2376" s="101"/>
      <c r="Q2376" s="101"/>
      <c r="R2376" s="101"/>
      <c r="S2376" s="110"/>
      <c r="T2376" s="102"/>
      <c r="U2376" s="101"/>
      <c r="V2376" s="103"/>
      <c r="W2376" s="101"/>
    </row>
    <row r="2377" spans="1:23" x14ac:dyDescent="0.25">
      <c r="A2377" s="98"/>
      <c r="H2377" s="101"/>
      <c r="I2377" s="101"/>
      <c r="J2377" s="101"/>
      <c r="K2377" s="101"/>
      <c r="L2377" s="101"/>
      <c r="M2377" s="101"/>
      <c r="N2377" s="101"/>
      <c r="O2377" s="101"/>
      <c r="P2377" s="101"/>
      <c r="Q2377" s="101"/>
      <c r="R2377" s="101"/>
      <c r="S2377" s="110"/>
      <c r="T2377" s="102"/>
      <c r="U2377" s="101"/>
      <c r="V2377" s="103"/>
      <c r="W2377" s="101"/>
    </row>
    <row r="2378" spans="1:23" x14ac:dyDescent="0.25">
      <c r="A2378" s="98"/>
      <c r="H2378" s="101"/>
      <c r="I2378" s="101"/>
      <c r="J2378" s="101"/>
      <c r="K2378" s="101"/>
      <c r="L2378" s="101"/>
      <c r="M2378" s="101"/>
      <c r="N2378" s="101"/>
      <c r="O2378" s="101"/>
      <c r="P2378" s="101"/>
      <c r="Q2378" s="101"/>
      <c r="R2378" s="101"/>
      <c r="S2378" s="110"/>
      <c r="T2378" s="102"/>
      <c r="U2378" s="101"/>
      <c r="V2378" s="103"/>
      <c r="W2378" s="101"/>
    </row>
    <row r="2379" spans="1:23" x14ac:dyDescent="0.25">
      <c r="A2379" s="98"/>
      <c r="H2379" s="101"/>
      <c r="I2379" s="101"/>
      <c r="J2379" s="101"/>
      <c r="K2379" s="101"/>
      <c r="L2379" s="101"/>
      <c r="M2379" s="101"/>
      <c r="N2379" s="101"/>
      <c r="O2379" s="101"/>
      <c r="P2379" s="101"/>
      <c r="Q2379" s="101"/>
      <c r="R2379" s="101"/>
      <c r="S2379" s="110"/>
      <c r="T2379" s="102"/>
      <c r="U2379" s="101"/>
      <c r="V2379" s="103"/>
      <c r="W2379" s="101"/>
    </row>
    <row r="2380" spans="1:23" x14ac:dyDescent="0.25">
      <c r="A2380" s="98"/>
      <c r="H2380" s="101"/>
      <c r="I2380" s="101"/>
      <c r="J2380" s="101"/>
      <c r="K2380" s="101"/>
      <c r="L2380" s="101"/>
      <c r="M2380" s="101"/>
      <c r="N2380" s="101"/>
      <c r="O2380" s="101"/>
      <c r="P2380" s="101"/>
      <c r="Q2380" s="101"/>
      <c r="R2380" s="101"/>
      <c r="S2380" s="110"/>
      <c r="T2380" s="102"/>
      <c r="U2380" s="101"/>
      <c r="V2380" s="103"/>
      <c r="W2380" s="101"/>
    </row>
    <row r="2381" spans="1:23" x14ac:dyDescent="0.25">
      <c r="A2381" s="98"/>
      <c r="H2381" s="101"/>
      <c r="I2381" s="101"/>
      <c r="J2381" s="101"/>
      <c r="K2381" s="101"/>
      <c r="L2381" s="101"/>
      <c r="M2381" s="101"/>
      <c r="N2381" s="101"/>
      <c r="O2381" s="101"/>
      <c r="P2381" s="101"/>
      <c r="Q2381" s="101"/>
      <c r="R2381" s="101"/>
      <c r="S2381" s="110"/>
      <c r="T2381" s="102"/>
      <c r="U2381" s="101"/>
      <c r="V2381" s="103"/>
      <c r="W2381" s="101"/>
    </row>
    <row r="2382" spans="1:23" x14ac:dyDescent="0.25">
      <c r="A2382" s="98"/>
      <c r="H2382" s="101"/>
      <c r="I2382" s="101"/>
      <c r="J2382" s="101"/>
      <c r="K2382" s="101"/>
      <c r="L2382" s="101"/>
      <c r="M2382" s="101"/>
      <c r="N2382" s="101"/>
      <c r="O2382" s="101"/>
      <c r="P2382" s="101"/>
      <c r="Q2382" s="101"/>
      <c r="R2382" s="101"/>
      <c r="S2382" s="110"/>
      <c r="T2382" s="102"/>
      <c r="U2382" s="101"/>
      <c r="V2382" s="103"/>
      <c r="W2382" s="101"/>
    </row>
    <row r="2383" spans="1:23" x14ac:dyDescent="0.25">
      <c r="A2383" s="98"/>
      <c r="H2383" s="101"/>
      <c r="I2383" s="101"/>
      <c r="J2383" s="101"/>
      <c r="K2383" s="101"/>
      <c r="L2383" s="101"/>
      <c r="M2383" s="101"/>
      <c r="N2383" s="101"/>
      <c r="O2383" s="101"/>
      <c r="P2383" s="101"/>
      <c r="Q2383" s="101"/>
      <c r="R2383" s="101"/>
      <c r="S2383" s="110"/>
      <c r="T2383" s="102"/>
      <c r="U2383" s="101"/>
      <c r="V2383" s="103"/>
      <c r="W2383" s="101"/>
    </row>
    <row r="2384" spans="1:23" x14ac:dyDescent="0.25">
      <c r="A2384" s="98"/>
      <c r="H2384" s="101"/>
      <c r="I2384" s="101"/>
      <c r="J2384" s="101"/>
      <c r="K2384" s="101"/>
      <c r="L2384" s="101"/>
      <c r="M2384" s="101"/>
      <c r="N2384" s="101"/>
      <c r="O2384" s="101"/>
      <c r="P2384" s="101"/>
      <c r="Q2384" s="101"/>
      <c r="R2384" s="101"/>
      <c r="S2384" s="110"/>
      <c r="T2384" s="102"/>
      <c r="U2384" s="101"/>
      <c r="V2384" s="103"/>
      <c r="W2384" s="101"/>
    </row>
    <row r="2385" spans="1:23" x14ac:dyDescent="0.25">
      <c r="A2385" s="98"/>
      <c r="H2385" s="101"/>
      <c r="I2385" s="101"/>
      <c r="J2385" s="101"/>
      <c r="K2385" s="101"/>
      <c r="L2385" s="101"/>
      <c r="M2385" s="101"/>
      <c r="N2385" s="101"/>
      <c r="O2385" s="101"/>
      <c r="P2385" s="101"/>
      <c r="Q2385" s="101"/>
      <c r="R2385" s="101"/>
      <c r="S2385" s="110"/>
      <c r="T2385" s="102"/>
      <c r="U2385" s="101"/>
      <c r="V2385" s="103"/>
      <c r="W2385" s="101"/>
    </row>
    <row r="2386" spans="1:23" x14ac:dyDescent="0.25">
      <c r="A2386" s="98"/>
      <c r="H2386" s="101"/>
      <c r="I2386" s="101"/>
      <c r="J2386" s="101"/>
      <c r="K2386" s="101"/>
      <c r="L2386" s="101"/>
      <c r="M2386" s="101"/>
      <c r="N2386" s="101"/>
      <c r="O2386" s="101"/>
      <c r="P2386" s="101"/>
      <c r="Q2386" s="101"/>
      <c r="R2386" s="101"/>
      <c r="S2386" s="110"/>
      <c r="T2386" s="102"/>
      <c r="U2386" s="101"/>
      <c r="V2386" s="103"/>
      <c r="W2386" s="101"/>
    </row>
    <row r="2387" spans="1:23" x14ac:dyDescent="0.25">
      <c r="A2387" s="98"/>
      <c r="H2387" s="101"/>
      <c r="I2387" s="101"/>
      <c r="J2387" s="101"/>
      <c r="K2387" s="101"/>
      <c r="L2387" s="101"/>
      <c r="M2387" s="101"/>
      <c r="N2387" s="101"/>
      <c r="O2387" s="101"/>
      <c r="P2387" s="101"/>
      <c r="Q2387" s="101"/>
      <c r="R2387" s="101"/>
      <c r="S2387" s="110"/>
      <c r="T2387" s="102"/>
      <c r="U2387" s="101"/>
      <c r="V2387" s="103"/>
      <c r="W2387" s="101"/>
    </row>
    <row r="2388" spans="1:23" x14ac:dyDescent="0.25">
      <c r="A2388" s="98"/>
      <c r="H2388" s="101"/>
      <c r="I2388" s="101"/>
      <c r="J2388" s="101"/>
      <c r="K2388" s="101"/>
      <c r="L2388" s="101"/>
      <c r="M2388" s="101"/>
      <c r="N2388" s="101"/>
      <c r="O2388" s="101"/>
      <c r="P2388" s="101"/>
      <c r="Q2388" s="101"/>
      <c r="R2388" s="101"/>
      <c r="S2388" s="110"/>
      <c r="T2388" s="102"/>
      <c r="U2388" s="101"/>
      <c r="V2388" s="103"/>
      <c r="W2388" s="101"/>
    </row>
    <row r="2389" spans="1:23" x14ac:dyDescent="0.25">
      <c r="A2389" s="98"/>
      <c r="H2389" s="101"/>
      <c r="I2389" s="101"/>
      <c r="J2389" s="101"/>
      <c r="K2389" s="101"/>
      <c r="L2389" s="101"/>
      <c r="M2389" s="101"/>
      <c r="N2389" s="101"/>
      <c r="O2389" s="101"/>
      <c r="P2389" s="101"/>
      <c r="Q2389" s="101"/>
      <c r="R2389" s="101"/>
      <c r="S2389" s="110"/>
      <c r="T2389" s="102"/>
      <c r="U2389" s="101"/>
      <c r="V2389" s="103"/>
      <c r="W2389" s="101"/>
    </row>
    <row r="2390" spans="1:23" x14ac:dyDescent="0.25">
      <c r="A2390" s="98"/>
      <c r="H2390" s="101"/>
      <c r="I2390" s="101"/>
      <c r="J2390" s="101"/>
      <c r="K2390" s="101"/>
      <c r="L2390" s="101"/>
      <c r="M2390" s="101"/>
      <c r="N2390" s="101"/>
      <c r="O2390" s="101"/>
      <c r="P2390" s="101"/>
      <c r="Q2390" s="101"/>
      <c r="R2390" s="101"/>
      <c r="S2390" s="110"/>
      <c r="T2390" s="102"/>
      <c r="U2390" s="101"/>
      <c r="V2390" s="103"/>
      <c r="W2390" s="101"/>
    </row>
    <row r="2391" spans="1:23" x14ac:dyDescent="0.25">
      <c r="A2391" s="98"/>
      <c r="H2391" s="101"/>
      <c r="I2391" s="101"/>
      <c r="J2391" s="101"/>
      <c r="K2391" s="101"/>
      <c r="L2391" s="101"/>
      <c r="M2391" s="101"/>
      <c r="N2391" s="101"/>
      <c r="O2391" s="101"/>
      <c r="P2391" s="101"/>
      <c r="Q2391" s="101"/>
      <c r="R2391" s="101"/>
      <c r="S2391" s="110"/>
      <c r="T2391" s="102"/>
      <c r="U2391" s="101"/>
      <c r="V2391" s="103"/>
      <c r="W2391" s="101"/>
    </row>
    <row r="2392" spans="1:23" x14ac:dyDescent="0.25">
      <c r="A2392" s="98"/>
      <c r="H2392" s="101"/>
      <c r="I2392" s="101"/>
      <c r="J2392" s="101"/>
      <c r="K2392" s="101"/>
      <c r="L2392" s="101"/>
      <c r="M2392" s="101"/>
      <c r="N2392" s="101"/>
      <c r="O2392" s="101"/>
      <c r="P2392" s="101"/>
      <c r="Q2392" s="101"/>
      <c r="R2392" s="101"/>
      <c r="S2392" s="110"/>
      <c r="T2392" s="102"/>
      <c r="U2392" s="101"/>
      <c r="V2392" s="103"/>
      <c r="W2392" s="101"/>
    </row>
    <row r="2393" spans="1:23" x14ac:dyDescent="0.25">
      <c r="A2393" s="98"/>
      <c r="H2393" s="101"/>
      <c r="I2393" s="101"/>
      <c r="J2393" s="101"/>
      <c r="K2393" s="101"/>
      <c r="L2393" s="101"/>
      <c r="M2393" s="101"/>
      <c r="N2393" s="101"/>
      <c r="O2393" s="101"/>
      <c r="P2393" s="101"/>
      <c r="Q2393" s="101"/>
      <c r="R2393" s="101"/>
      <c r="S2393" s="110"/>
      <c r="T2393" s="102"/>
      <c r="U2393" s="101"/>
      <c r="V2393" s="103"/>
      <c r="W2393" s="101"/>
    </row>
    <row r="2394" spans="1:23" x14ac:dyDescent="0.25">
      <c r="A2394" s="98"/>
      <c r="H2394" s="101"/>
      <c r="I2394" s="101"/>
      <c r="J2394" s="101"/>
      <c r="K2394" s="101"/>
      <c r="L2394" s="101"/>
      <c r="M2394" s="101"/>
      <c r="N2394" s="101"/>
      <c r="O2394" s="101"/>
      <c r="P2394" s="101"/>
      <c r="Q2394" s="101"/>
      <c r="R2394" s="101"/>
      <c r="S2394" s="110"/>
      <c r="T2394" s="102"/>
      <c r="U2394" s="101"/>
      <c r="V2394" s="103"/>
      <c r="W2394" s="101"/>
    </row>
    <row r="2395" spans="1:23" x14ac:dyDescent="0.25">
      <c r="A2395" s="98"/>
      <c r="H2395" s="101"/>
      <c r="I2395" s="101"/>
      <c r="J2395" s="101"/>
      <c r="K2395" s="101"/>
      <c r="L2395" s="101"/>
      <c r="M2395" s="101"/>
      <c r="N2395" s="101"/>
      <c r="O2395" s="101"/>
      <c r="P2395" s="101"/>
      <c r="Q2395" s="101"/>
      <c r="R2395" s="101"/>
      <c r="S2395" s="110"/>
      <c r="T2395" s="102"/>
      <c r="U2395" s="101"/>
      <c r="V2395" s="103"/>
      <c r="W2395" s="101"/>
    </row>
    <row r="2396" spans="1:23" x14ac:dyDescent="0.25">
      <c r="A2396" s="98"/>
      <c r="H2396" s="101"/>
      <c r="I2396" s="101"/>
      <c r="J2396" s="101"/>
      <c r="K2396" s="101"/>
      <c r="L2396" s="101"/>
      <c r="M2396" s="101"/>
      <c r="N2396" s="101"/>
      <c r="O2396" s="101"/>
      <c r="P2396" s="101"/>
      <c r="Q2396" s="101"/>
      <c r="R2396" s="101"/>
      <c r="S2396" s="110"/>
      <c r="T2396" s="102"/>
      <c r="U2396" s="101"/>
      <c r="V2396" s="103"/>
      <c r="W2396" s="101"/>
    </row>
    <row r="2397" spans="1:23" x14ac:dyDescent="0.25">
      <c r="A2397" s="98"/>
      <c r="H2397" s="101"/>
      <c r="I2397" s="101"/>
      <c r="J2397" s="101"/>
      <c r="K2397" s="101"/>
      <c r="L2397" s="101"/>
      <c r="M2397" s="101"/>
      <c r="N2397" s="101"/>
      <c r="O2397" s="101"/>
      <c r="P2397" s="101"/>
      <c r="Q2397" s="101"/>
      <c r="R2397" s="101"/>
      <c r="S2397" s="110"/>
      <c r="T2397" s="102"/>
      <c r="U2397" s="101"/>
      <c r="V2397" s="103"/>
      <c r="W2397" s="101"/>
    </row>
    <row r="2398" spans="1:23" x14ac:dyDescent="0.25">
      <c r="A2398" s="98"/>
      <c r="H2398" s="101"/>
      <c r="I2398" s="101"/>
      <c r="J2398" s="101"/>
      <c r="K2398" s="101"/>
      <c r="L2398" s="101"/>
      <c r="M2398" s="101"/>
      <c r="N2398" s="101"/>
      <c r="O2398" s="101"/>
      <c r="P2398" s="101"/>
      <c r="Q2398" s="101"/>
      <c r="R2398" s="101"/>
      <c r="S2398" s="110"/>
      <c r="T2398" s="102"/>
      <c r="U2398" s="101"/>
      <c r="V2398" s="103"/>
      <c r="W2398" s="101"/>
    </row>
    <row r="2399" spans="1:23" x14ac:dyDescent="0.25">
      <c r="A2399" s="98"/>
      <c r="H2399" s="101"/>
      <c r="I2399" s="101"/>
      <c r="J2399" s="101"/>
      <c r="K2399" s="101"/>
      <c r="L2399" s="101"/>
      <c r="M2399" s="101"/>
      <c r="N2399" s="101"/>
      <c r="O2399" s="101"/>
      <c r="P2399" s="101"/>
      <c r="Q2399" s="101"/>
      <c r="R2399" s="101"/>
      <c r="S2399" s="110"/>
      <c r="T2399" s="102"/>
      <c r="U2399" s="101"/>
      <c r="V2399" s="103"/>
      <c r="W2399" s="101"/>
    </row>
    <row r="2400" spans="1:23" x14ac:dyDescent="0.25">
      <c r="A2400" s="98"/>
      <c r="H2400" s="101"/>
      <c r="I2400" s="101"/>
      <c r="J2400" s="101"/>
      <c r="K2400" s="101"/>
      <c r="L2400" s="101"/>
      <c r="M2400" s="101"/>
      <c r="N2400" s="101"/>
      <c r="O2400" s="101"/>
      <c r="P2400" s="101"/>
      <c r="Q2400" s="101"/>
      <c r="R2400" s="101"/>
      <c r="S2400" s="110"/>
      <c r="T2400" s="102"/>
      <c r="U2400" s="101"/>
      <c r="V2400" s="103"/>
      <c r="W2400" s="101"/>
    </row>
    <row r="2401" spans="1:23" x14ac:dyDescent="0.25">
      <c r="A2401" s="98"/>
      <c r="H2401" s="101"/>
      <c r="I2401" s="101"/>
      <c r="J2401" s="101"/>
      <c r="K2401" s="101"/>
      <c r="L2401" s="101"/>
      <c r="M2401" s="101"/>
      <c r="N2401" s="101"/>
      <c r="O2401" s="101"/>
      <c r="P2401" s="101"/>
      <c r="Q2401" s="101"/>
      <c r="R2401" s="101"/>
      <c r="S2401" s="110"/>
      <c r="T2401" s="102"/>
      <c r="U2401" s="101"/>
      <c r="V2401" s="103"/>
      <c r="W2401" s="101"/>
    </row>
    <row r="2402" spans="1:23" x14ac:dyDescent="0.25">
      <c r="A2402" s="98"/>
      <c r="H2402" s="101"/>
      <c r="I2402" s="101"/>
      <c r="J2402" s="101"/>
      <c r="K2402" s="101"/>
      <c r="L2402" s="101"/>
      <c r="M2402" s="101"/>
      <c r="N2402" s="101"/>
      <c r="O2402" s="101"/>
      <c r="P2402" s="101"/>
      <c r="Q2402" s="101"/>
      <c r="R2402" s="101"/>
      <c r="S2402" s="110"/>
      <c r="T2402" s="102"/>
      <c r="U2402" s="101"/>
      <c r="V2402" s="103"/>
      <c r="W2402" s="101"/>
    </row>
    <row r="2403" spans="1:23" x14ac:dyDescent="0.25">
      <c r="A2403" s="98"/>
      <c r="H2403" s="101"/>
      <c r="I2403" s="101"/>
      <c r="J2403" s="101"/>
      <c r="K2403" s="101"/>
      <c r="L2403" s="101"/>
      <c r="M2403" s="101"/>
      <c r="N2403" s="101"/>
      <c r="O2403" s="101"/>
      <c r="P2403" s="101"/>
      <c r="Q2403" s="101"/>
      <c r="R2403" s="101"/>
      <c r="S2403" s="110"/>
      <c r="T2403" s="102"/>
      <c r="U2403" s="101"/>
      <c r="V2403" s="103"/>
      <c r="W2403" s="101"/>
    </row>
    <row r="2404" spans="1:23" x14ac:dyDescent="0.25">
      <c r="A2404" s="98"/>
      <c r="H2404" s="101"/>
      <c r="I2404" s="101"/>
      <c r="J2404" s="101"/>
      <c r="K2404" s="101"/>
      <c r="L2404" s="101"/>
      <c r="M2404" s="101"/>
      <c r="N2404" s="101"/>
      <c r="O2404" s="101"/>
      <c r="P2404" s="101"/>
      <c r="Q2404" s="101"/>
      <c r="R2404" s="101"/>
      <c r="S2404" s="110"/>
      <c r="T2404" s="102"/>
      <c r="U2404" s="101"/>
      <c r="V2404" s="103"/>
      <c r="W2404" s="101"/>
    </row>
    <row r="2405" spans="1:23" x14ac:dyDescent="0.25">
      <c r="A2405" s="98"/>
      <c r="H2405" s="101"/>
      <c r="I2405" s="101"/>
      <c r="J2405" s="101"/>
      <c r="K2405" s="101"/>
      <c r="L2405" s="101"/>
      <c r="M2405" s="101"/>
      <c r="N2405" s="101"/>
      <c r="O2405" s="101"/>
      <c r="P2405" s="101"/>
      <c r="Q2405" s="101"/>
      <c r="R2405" s="101"/>
      <c r="S2405" s="110"/>
      <c r="T2405" s="102"/>
      <c r="U2405" s="101"/>
      <c r="V2405" s="103"/>
      <c r="W2405" s="101"/>
    </row>
    <row r="2406" spans="1:23" x14ac:dyDescent="0.25">
      <c r="A2406" s="98"/>
      <c r="H2406" s="101"/>
      <c r="I2406" s="101"/>
      <c r="J2406" s="101"/>
      <c r="K2406" s="101"/>
      <c r="L2406" s="101"/>
      <c r="M2406" s="101"/>
      <c r="N2406" s="101"/>
      <c r="O2406" s="101"/>
      <c r="P2406" s="101"/>
      <c r="Q2406" s="101"/>
      <c r="R2406" s="101"/>
      <c r="S2406" s="110"/>
      <c r="T2406" s="102"/>
      <c r="U2406" s="101"/>
      <c r="V2406" s="103"/>
      <c r="W2406" s="101"/>
    </row>
    <row r="2407" spans="1:23" x14ac:dyDescent="0.25">
      <c r="A2407" s="98"/>
      <c r="H2407" s="101"/>
      <c r="I2407" s="101"/>
      <c r="J2407" s="101"/>
      <c r="K2407" s="101"/>
      <c r="L2407" s="101"/>
      <c r="M2407" s="101"/>
      <c r="N2407" s="101"/>
      <c r="O2407" s="101"/>
      <c r="P2407" s="101"/>
      <c r="Q2407" s="101"/>
      <c r="R2407" s="101"/>
      <c r="S2407" s="110"/>
      <c r="T2407" s="102"/>
      <c r="U2407" s="101"/>
      <c r="V2407" s="103"/>
      <c r="W2407" s="101"/>
    </row>
    <row r="2408" spans="1:23" x14ac:dyDescent="0.25">
      <c r="A2408" s="98"/>
      <c r="H2408" s="101"/>
      <c r="I2408" s="101"/>
      <c r="J2408" s="101"/>
      <c r="K2408" s="101"/>
      <c r="L2408" s="101"/>
      <c r="M2408" s="101"/>
      <c r="N2408" s="101"/>
      <c r="O2408" s="101"/>
      <c r="P2408" s="101"/>
      <c r="Q2408" s="101"/>
      <c r="R2408" s="101"/>
      <c r="S2408" s="110"/>
      <c r="T2408" s="102"/>
      <c r="U2408" s="101"/>
      <c r="V2408" s="103"/>
      <c r="W2408" s="101"/>
    </row>
    <row r="2409" spans="1:23" x14ac:dyDescent="0.25">
      <c r="A2409" s="98"/>
      <c r="H2409" s="101"/>
      <c r="I2409" s="101"/>
      <c r="J2409" s="101"/>
      <c r="K2409" s="101"/>
      <c r="L2409" s="101"/>
      <c r="M2409" s="101"/>
      <c r="N2409" s="101"/>
      <c r="O2409" s="101"/>
      <c r="P2409" s="101"/>
      <c r="Q2409" s="101"/>
      <c r="R2409" s="101"/>
      <c r="S2409" s="110"/>
      <c r="T2409" s="102"/>
      <c r="U2409" s="101"/>
      <c r="V2409" s="103"/>
      <c r="W2409" s="101"/>
    </row>
    <row r="2410" spans="1:23" x14ac:dyDescent="0.25">
      <c r="A2410" s="98"/>
      <c r="H2410" s="101"/>
      <c r="I2410" s="101"/>
      <c r="J2410" s="101"/>
      <c r="K2410" s="101"/>
      <c r="L2410" s="101"/>
      <c r="M2410" s="101"/>
      <c r="N2410" s="101"/>
      <c r="O2410" s="101"/>
      <c r="P2410" s="101"/>
      <c r="Q2410" s="101"/>
      <c r="R2410" s="101"/>
      <c r="S2410" s="110"/>
      <c r="T2410" s="102"/>
      <c r="U2410" s="101"/>
      <c r="V2410" s="103"/>
      <c r="W2410" s="101"/>
    </row>
    <row r="2411" spans="1:23" x14ac:dyDescent="0.25">
      <c r="A2411" s="98"/>
      <c r="H2411" s="101"/>
      <c r="I2411" s="101"/>
      <c r="J2411" s="101"/>
      <c r="K2411" s="101"/>
      <c r="L2411" s="101"/>
      <c r="M2411" s="101"/>
      <c r="N2411" s="101"/>
      <c r="O2411" s="101"/>
      <c r="P2411" s="101"/>
      <c r="Q2411" s="101"/>
      <c r="R2411" s="101"/>
      <c r="S2411" s="110"/>
      <c r="T2411" s="102"/>
      <c r="U2411" s="101"/>
      <c r="V2411" s="103"/>
      <c r="W2411" s="101"/>
    </row>
    <row r="2412" spans="1:23" x14ac:dyDescent="0.25">
      <c r="A2412" s="98"/>
      <c r="H2412" s="101"/>
      <c r="I2412" s="101"/>
      <c r="J2412" s="101"/>
      <c r="K2412" s="101"/>
      <c r="L2412" s="101"/>
      <c r="M2412" s="101"/>
      <c r="N2412" s="101"/>
      <c r="O2412" s="101"/>
      <c r="P2412" s="101"/>
      <c r="Q2412" s="101"/>
      <c r="R2412" s="101"/>
      <c r="S2412" s="110"/>
      <c r="T2412" s="102"/>
      <c r="U2412" s="101"/>
      <c r="V2412" s="103"/>
      <c r="W2412" s="101"/>
    </row>
    <row r="2413" spans="1:23" x14ac:dyDescent="0.25">
      <c r="A2413" s="98"/>
      <c r="H2413" s="101"/>
      <c r="I2413" s="101"/>
      <c r="J2413" s="101"/>
      <c r="K2413" s="101"/>
      <c r="L2413" s="101"/>
      <c r="M2413" s="101"/>
      <c r="N2413" s="101"/>
      <c r="O2413" s="101"/>
      <c r="P2413" s="101"/>
      <c r="Q2413" s="101"/>
      <c r="R2413" s="101"/>
      <c r="S2413" s="110"/>
      <c r="T2413" s="102"/>
      <c r="U2413" s="101"/>
      <c r="V2413" s="103"/>
      <c r="W2413" s="101"/>
    </row>
    <row r="2414" spans="1:23" x14ac:dyDescent="0.25">
      <c r="A2414" s="98"/>
      <c r="H2414" s="101"/>
      <c r="I2414" s="101"/>
      <c r="J2414" s="101"/>
      <c r="K2414" s="101"/>
      <c r="L2414" s="101"/>
      <c r="M2414" s="101"/>
      <c r="N2414" s="101"/>
      <c r="O2414" s="101"/>
      <c r="P2414" s="101"/>
      <c r="Q2414" s="101"/>
      <c r="R2414" s="101"/>
      <c r="S2414" s="110"/>
      <c r="T2414" s="102"/>
      <c r="U2414" s="101"/>
      <c r="V2414" s="103"/>
      <c r="W2414" s="101"/>
    </row>
    <row r="2415" spans="1:23" x14ac:dyDescent="0.25">
      <c r="A2415" s="98"/>
      <c r="H2415" s="101"/>
      <c r="I2415" s="101"/>
      <c r="J2415" s="101"/>
      <c r="K2415" s="101"/>
      <c r="L2415" s="101"/>
      <c r="M2415" s="101"/>
      <c r="N2415" s="101"/>
      <c r="O2415" s="101"/>
      <c r="P2415" s="101"/>
      <c r="Q2415" s="101"/>
      <c r="R2415" s="101"/>
      <c r="S2415" s="110"/>
      <c r="T2415" s="102"/>
      <c r="U2415" s="101"/>
      <c r="V2415" s="103"/>
      <c r="W2415" s="101"/>
    </row>
    <row r="2416" spans="1:23" x14ac:dyDescent="0.25">
      <c r="A2416" s="98"/>
      <c r="H2416" s="101"/>
      <c r="I2416" s="101"/>
      <c r="J2416" s="101"/>
      <c r="K2416" s="101"/>
      <c r="L2416" s="101"/>
      <c r="M2416" s="101"/>
      <c r="N2416" s="101"/>
      <c r="O2416" s="101"/>
      <c r="P2416" s="101"/>
      <c r="Q2416" s="101"/>
      <c r="R2416" s="101"/>
      <c r="S2416" s="110"/>
      <c r="T2416" s="102"/>
      <c r="U2416" s="101"/>
      <c r="V2416" s="103"/>
      <c r="W2416" s="101"/>
    </row>
    <row r="2417" spans="1:23" x14ac:dyDescent="0.25">
      <c r="A2417" s="98"/>
      <c r="H2417" s="101"/>
      <c r="I2417" s="101"/>
      <c r="J2417" s="101"/>
      <c r="K2417" s="101"/>
      <c r="L2417" s="101"/>
      <c r="M2417" s="101"/>
      <c r="N2417" s="101"/>
      <c r="O2417" s="101"/>
      <c r="P2417" s="101"/>
      <c r="Q2417" s="101"/>
      <c r="R2417" s="101"/>
      <c r="S2417" s="110"/>
      <c r="T2417" s="102"/>
      <c r="U2417" s="101"/>
      <c r="V2417" s="103"/>
      <c r="W2417" s="101"/>
    </row>
    <row r="2418" spans="1:23" x14ac:dyDescent="0.25">
      <c r="A2418" s="98"/>
      <c r="H2418" s="101"/>
      <c r="I2418" s="101"/>
      <c r="J2418" s="101"/>
      <c r="K2418" s="101"/>
      <c r="L2418" s="101"/>
      <c r="M2418" s="101"/>
      <c r="N2418" s="101"/>
      <c r="O2418" s="101"/>
      <c r="P2418" s="101"/>
      <c r="Q2418" s="101"/>
      <c r="R2418" s="101"/>
      <c r="S2418" s="110"/>
      <c r="T2418" s="102"/>
      <c r="U2418" s="101"/>
      <c r="V2418" s="103"/>
      <c r="W2418" s="101"/>
    </row>
    <row r="2419" spans="1:23" x14ac:dyDescent="0.25">
      <c r="A2419" s="98"/>
      <c r="H2419" s="101"/>
      <c r="I2419" s="101"/>
      <c r="J2419" s="101"/>
      <c r="K2419" s="101"/>
      <c r="L2419" s="101"/>
      <c r="M2419" s="101"/>
      <c r="N2419" s="101"/>
      <c r="O2419" s="101"/>
      <c r="P2419" s="101"/>
      <c r="Q2419" s="101"/>
      <c r="R2419" s="101"/>
      <c r="S2419" s="110"/>
      <c r="T2419" s="102"/>
      <c r="U2419" s="101"/>
      <c r="V2419" s="103"/>
      <c r="W2419" s="101"/>
    </row>
    <row r="2420" spans="1:23" x14ac:dyDescent="0.25">
      <c r="A2420" s="98"/>
      <c r="H2420" s="101"/>
      <c r="I2420" s="101"/>
      <c r="J2420" s="101"/>
      <c r="K2420" s="101"/>
      <c r="L2420" s="101"/>
      <c r="M2420" s="101"/>
      <c r="N2420" s="101"/>
      <c r="O2420" s="101"/>
      <c r="P2420" s="101"/>
      <c r="Q2420" s="101"/>
      <c r="R2420" s="101"/>
      <c r="S2420" s="110"/>
      <c r="T2420" s="102"/>
      <c r="U2420" s="101"/>
      <c r="V2420" s="103"/>
      <c r="W2420" s="101"/>
    </row>
    <row r="2421" spans="1:23" x14ac:dyDescent="0.25">
      <c r="A2421" s="98"/>
      <c r="H2421" s="101"/>
      <c r="I2421" s="101"/>
      <c r="J2421" s="101"/>
      <c r="K2421" s="101"/>
      <c r="L2421" s="101"/>
      <c r="M2421" s="101"/>
      <c r="N2421" s="101"/>
      <c r="O2421" s="101"/>
      <c r="P2421" s="101"/>
      <c r="Q2421" s="101"/>
      <c r="R2421" s="101"/>
      <c r="S2421" s="110"/>
      <c r="T2421" s="102"/>
      <c r="U2421" s="101"/>
      <c r="V2421" s="103"/>
      <c r="W2421" s="101"/>
    </row>
    <row r="2422" spans="1:23" x14ac:dyDescent="0.25">
      <c r="A2422" s="98"/>
      <c r="H2422" s="101"/>
      <c r="I2422" s="101"/>
      <c r="J2422" s="101"/>
      <c r="K2422" s="101"/>
      <c r="L2422" s="101"/>
      <c r="M2422" s="101"/>
      <c r="N2422" s="101"/>
      <c r="O2422" s="101"/>
      <c r="P2422" s="101"/>
      <c r="Q2422" s="101"/>
      <c r="R2422" s="101"/>
      <c r="S2422" s="110"/>
      <c r="T2422" s="102"/>
      <c r="U2422" s="101"/>
      <c r="V2422" s="103"/>
      <c r="W2422" s="101"/>
    </row>
    <row r="2423" spans="1:23" x14ac:dyDescent="0.25">
      <c r="A2423" s="98"/>
      <c r="H2423" s="101"/>
      <c r="I2423" s="101"/>
      <c r="J2423" s="101"/>
      <c r="K2423" s="101"/>
      <c r="L2423" s="101"/>
      <c r="M2423" s="101"/>
      <c r="N2423" s="101"/>
      <c r="O2423" s="101"/>
      <c r="P2423" s="101"/>
      <c r="Q2423" s="101"/>
      <c r="R2423" s="101"/>
      <c r="S2423" s="110"/>
      <c r="T2423" s="102"/>
      <c r="U2423" s="101"/>
      <c r="V2423" s="103"/>
      <c r="W2423" s="101"/>
    </row>
    <row r="2424" spans="1:23" x14ac:dyDescent="0.25">
      <c r="A2424" s="98"/>
      <c r="H2424" s="101"/>
      <c r="I2424" s="101"/>
      <c r="J2424" s="101"/>
      <c r="K2424" s="101"/>
      <c r="L2424" s="101"/>
      <c r="M2424" s="101"/>
      <c r="N2424" s="101"/>
      <c r="O2424" s="101"/>
      <c r="P2424" s="101"/>
      <c r="Q2424" s="101"/>
      <c r="R2424" s="101"/>
      <c r="S2424" s="110"/>
      <c r="T2424" s="102"/>
      <c r="U2424" s="101"/>
      <c r="V2424" s="103"/>
      <c r="W2424" s="101"/>
    </row>
    <row r="2425" spans="1:23" x14ac:dyDescent="0.25">
      <c r="A2425" s="98"/>
      <c r="H2425" s="101"/>
      <c r="I2425" s="101"/>
      <c r="J2425" s="101"/>
      <c r="K2425" s="101"/>
      <c r="L2425" s="101"/>
      <c r="M2425" s="101"/>
      <c r="N2425" s="101"/>
      <c r="O2425" s="101"/>
      <c r="P2425" s="101"/>
      <c r="Q2425" s="101"/>
      <c r="R2425" s="101"/>
      <c r="S2425" s="110"/>
      <c r="T2425" s="102"/>
      <c r="U2425" s="101"/>
      <c r="V2425" s="103"/>
      <c r="W2425" s="101"/>
    </row>
    <row r="2426" spans="1:23" x14ac:dyDescent="0.25">
      <c r="A2426" s="98"/>
      <c r="H2426" s="101"/>
      <c r="I2426" s="101"/>
      <c r="J2426" s="101"/>
      <c r="K2426" s="101"/>
      <c r="L2426" s="101"/>
      <c r="M2426" s="101"/>
      <c r="N2426" s="101"/>
      <c r="O2426" s="101"/>
      <c r="P2426" s="101"/>
      <c r="Q2426" s="101"/>
      <c r="R2426" s="101"/>
      <c r="S2426" s="110"/>
      <c r="T2426" s="102"/>
      <c r="U2426" s="101"/>
      <c r="V2426" s="103"/>
      <c r="W2426" s="101"/>
    </row>
    <row r="2427" spans="1:23" x14ac:dyDescent="0.25">
      <c r="A2427" s="98"/>
      <c r="H2427" s="101"/>
      <c r="I2427" s="101"/>
      <c r="J2427" s="101"/>
      <c r="K2427" s="101"/>
      <c r="L2427" s="101"/>
      <c r="M2427" s="101"/>
      <c r="N2427" s="101"/>
      <c r="O2427" s="101"/>
      <c r="P2427" s="101"/>
      <c r="Q2427" s="101"/>
      <c r="R2427" s="101"/>
      <c r="S2427" s="110"/>
      <c r="T2427" s="102"/>
      <c r="U2427" s="101"/>
      <c r="V2427" s="103"/>
      <c r="W2427" s="101"/>
    </row>
    <row r="2428" spans="1:23" x14ac:dyDescent="0.25">
      <c r="A2428" s="98"/>
      <c r="H2428" s="101"/>
      <c r="I2428" s="101"/>
      <c r="J2428" s="101"/>
      <c r="K2428" s="101"/>
      <c r="L2428" s="101"/>
      <c r="M2428" s="101"/>
      <c r="N2428" s="101"/>
      <c r="O2428" s="101"/>
      <c r="P2428" s="101"/>
      <c r="Q2428" s="101"/>
      <c r="R2428" s="101"/>
      <c r="S2428" s="110"/>
      <c r="T2428" s="102"/>
      <c r="U2428" s="101"/>
      <c r="V2428" s="103"/>
      <c r="W2428" s="101"/>
    </row>
    <row r="2429" spans="1:23" x14ac:dyDescent="0.25">
      <c r="A2429" s="98"/>
      <c r="H2429" s="101"/>
      <c r="I2429" s="101"/>
      <c r="J2429" s="101"/>
      <c r="K2429" s="101"/>
      <c r="L2429" s="101"/>
      <c r="M2429" s="101"/>
      <c r="N2429" s="101"/>
      <c r="O2429" s="101"/>
      <c r="P2429" s="101"/>
      <c r="Q2429" s="101"/>
      <c r="R2429" s="101"/>
      <c r="S2429" s="110"/>
      <c r="T2429" s="102"/>
      <c r="U2429" s="101"/>
      <c r="V2429" s="103"/>
      <c r="W2429" s="101"/>
    </row>
    <row r="2430" spans="1:23" x14ac:dyDescent="0.25">
      <c r="A2430" s="98"/>
      <c r="H2430" s="101"/>
      <c r="I2430" s="101"/>
      <c r="J2430" s="101"/>
      <c r="K2430" s="101"/>
      <c r="L2430" s="101"/>
      <c r="M2430" s="101"/>
      <c r="N2430" s="101"/>
      <c r="O2430" s="101"/>
      <c r="P2430" s="101"/>
      <c r="Q2430" s="101"/>
      <c r="R2430" s="101"/>
      <c r="S2430" s="110"/>
      <c r="T2430" s="102"/>
      <c r="U2430" s="101"/>
      <c r="V2430" s="103"/>
      <c r="W2430" s="101"/>
    </row>
    <row r="2431" spans="1:23" x14ac:dyDescent="0.25">
      <c r="A2431" s="98"/>
      <c r="H2431" s="101"/>
      <c r="I2431" s="101"/>
      <c r="J2431" s="101"/>
      <c r="K2431" s="101"/>
      <c r="L2431" s="101"/>
      <c r="M2431" s="101"/>
      <c r="N2431" s="101"/>
      <c r="O2431" s="101"/>
      <c r="P2431" s="101"/>
      <c r="Q2431" s="101"/>
      <c r="R2431" s="101"/>
      <c r="S2431" s="110"/>
      <c r="T2431" s="102"/>
      <c r="U2431" s="101"/>
      <c r="V2431" s="103"/>
      <c r="W2431" s="101"/>
    </row>
    <row r="2432" spans="1:23" x14ac:dyDescent="0.25">
      <c r="A2432" s="98"/>
      <c r="H2432" s="101"/>
      <c r="I2432" s="101"/>
      <c r="J2432" s="101"/>
      <c r="K2432" s="101"/>
      <c r="L2432" s="101"/>
      <c r="M2432" s="101"/>
      <c r="N2432" s="101"/>
      <c r="O2432" s="101"/>
      <c r="P2432" s="101"/>
      <c r="Q2432" s="101"/>
      <c r="R2432" s="101"/>
      <c r="S2432" s="110"/>
      <c r="T2432" s="102"/>
      <c r="U2432" s="101"/>
      <c r="V2432" s="103"/>
      <c r="W2432" s="101"/>
    </row>
    <row r="2433" spans="1:23" x14ac:dyDescent="0.25">
      <c r="A2433" s="98"/>
      <c r="H2433" s="101"/>
      <c r="I2433" s="101"/>
      <c r="J2433" s="101"/>
      <c r="K2433" s="101"/>
      <c r="L2433" s="101"/>
      <c r="M2433" s="101"/>
      <c r="N2433" s="101"/>
      <c r="O2433" s="101"/>
      <c r="P2433" s="101"/>
      <c r="Q2433" s="101"/>
      <c r="R2433" s="101"/>
      <c r="S2433" s="110"/>
      <c r="T2433" s="102"/>
      <c r="U2433" s="101"/>
      <c r="V2433" s="103"/>
      <c r="W2433" s="101"/>
    </row>
    <row r="2434" spans="1:23" x14ac:dyDescent="0.25">
      <c r="A2434" s="98"/>
      <c r="H2434" s="101"/>
      <c r="I2434" s="101"/>
      <c r="J2434" s="101"/>
      <c r="K2434" s="101"/>
      <c r="L2434" s="101"/>
      <c r="M2434" s="101"/>
      <c r="N2434" s="101"/>
      <c r="O2434" s="101"/>
      <c r="P2434" s="101"/>
      <c r="Q2434" s="101"/>
      <c r="R2434" s="101"/>
      <c r="S2434" s="110"/>
      <c r="T2434" s="102"/>
      <c r="U2434" s="101"/>
      <c r="V2434" s="103"/>
      <c r="W2434" s="101"/>
    </row>
    <row r="2435" spans="1:23" x14ac:dyDescent="0.25">
      <c r="A2435" s="98"/>
      <c r="H2435" s="101"/>
      <c r="I2435" s="101"/>
      <c r="J2435" s="101"/>
      <c r="K2435" s="101"/>
      <c r="L2435" s="101"/>
      <c r="M2435" s="101"/>
      <c r="N2435" s="101"/>
      <c r="O2435" s="101"/>
      <c r="P2435" s="101"/>
      <c r="Q2435" s="101"/>
      <c r="R2435" s="101"/>
      <c r="S2435" s="110"/>
      <c r="T2435" s="102"/>
      <c r="U2435" s="101"/>
      <c r="V2435" s="103"/>
      <c r="W2435" s="101"/>
    </row>
    <row r="2436" spans="1:23" x14ac:dyDescent="0.25">
      <c r="A2436" s="98"/>
      <c r="H2436" s="101"/>
      <c r="I2436" s="101"/>
      <c r="J2436" s="101"/>
      <c r="K2436" s="101"/>
      <c r="L2436" s="101"/>
      <c r="M2436" s="101"/>
      <c r="N2436" s="101"/>
      <c r="O2436" s="101"/>
      <c r="P2436" s="101"/>
      <c r="Q2436" s="101"/>
      <c r="R2436" s="101"/>
      <c r="S2436" s="110"/>
      <c r="T2436" s="102"/>
      <c r="U2436" s="101"/>
      <c r="V2436" s="103"/>
      <c r="W2436" s="101"/>
    </row>
    <row r="2437" spans="1:23" x14ac:dyDescent="0.25">
      <c r="A2437" s="98"/>
      <c r="H2437" s="101"/>
      <c r="I2437" s="101"/>
      <c r="J2437" s="101"/>
      <c r="K2437" s="101"/>
      <c r="L2437" s="101"/>
      <c r="M2437" s="101"/>
      <c r="N2437" s="101"/>
      <c r="O2437" s="101"/>
      <c r="P2437" s="101"/>
      <c r="Q2437" s="101"/>
      <c r="R2437" s="101"/>
      <c r="S2437" s="110"/>
      <c r="T2437" s="102"/>
      <c r="U2437" s="101"/>
      <c r="V2437" s="103"/>
      <c r="W2437" s="101"/>
    </row>
    <row r="2438" spans="1:23" x14ac:dyDescent="0.25">
      <c r="A2438" s="98"/>
      <c r="H2438" s="101"/>
      <c r="I2438" s="101"/>
      <c r="J2438" s="101"/>
      <c r="K2438" s="101"/>
      <c r="L2438" s="101"/>
      <c r="M2438" s="101"/>
      <c r="N2438" s="101"/>
      <c r="O2438" s="101"/>
      <c r="P2438" s="101"/>
      <c r="Q2438" s="101"/>
      <c r="R2438" s="101"/>
      <c r="S2438" s="110"/>
      <c r="T2438" s="102"/>
      <c r="U2438" s="101"/>
      <c r="V2438" s="103"/>
      <c r="W2438" s="101"/>
    </row>
    <row r="2439" spans="1:23" x14ac:dyDescent="0.25">
      <c r="A2439" s="98"/>
      <c r="H2439" s="101"/>
      <c r="I2439" s="101"/>
      <c r="J2439" s="101"/>
      <c r="K2439" s="101"/>
      <c r="L2439" s="101"/>
      <c r="M2439" s="101"/>
      <c r="N2439" s="101"/>
      <c r="O2439" s="101"/>
      <c r="P2439" s="101"/>
      <c r="Q2439" s="101"/>
      <c r="R2439" s="101"/>
      <c r="S2439" s="110"/>
      <c r="T2439" s="102"/>
      <c r="U2439" s="101"/>
      <c r="V2439" s="103"/>
      <c r="W2439" s="101"/>
    </row>
    <row r="2440" spans="1:23" x14ac:dyDescent="0.25">
      <c r="A2440" s="98"/>
      <c r="H2440" s="101"/>
      <c r="I2440" s="101"/>
      <c r="J2440" s="101"/>
      <c r="K2440" s="101"/>
      <c r="L2440" s="101"/>
      <c r="M2440" s="101"/>
      <c r="N2440" s="101"/>
      <c r="O2440" s="101"/>
      <c r="P2440" s="101"/>
      <c r="Q2440" s="101"/>
      <c r="R2440" s="101"/>
      <c r="S2440" s="110"/>
      <c r="T2440" s="102"/>
      <c r="U2440" s="101"/>
      <c r="V2440" s="103"/>
      <c r="W2440" s="101"/>
    </row>
    <row r="2441" spans="1:23" x14ac:dyDescent="0.25">
      <c r="A2441" s="98"/>
      <c r="H2441" s="101"/>
      <c r="I2441" s="101"/>
      <c r="J2441" s="101"/>
      <c r="K2441" s="101"/>
      <c r="L2441" s="101"/>
      <c r="M2441" s="101"/>
      <c r="N2441" s="101"/>
      <c r="O2441" s="101"/>
      <c r="P2441" s="101"/>
      <c r="Q2441" s="101"/>
      <c r="R2441" s="101"/>
      <c r="S2441" s="110"/>
      <c r="T2441" s="102"/>
      <c r="U2441" s="101"/>
      <c r="V2441" s="103"/>
      <c r="W2441" s="101"/>
    </row>
    <row r="2442" spans="1:23" x14ac:dyDescent="0.25">
      <c r="A2442" s="98"/>
      <c r="H2442" s="101"/>
      <c r="I2442" s="101"/>
      <c r="J2442" s="101"/>
      <c r="K2442" s="101"/>
      <c r="L2442" s="101"/>
      <c r="M2442" s="101"/>
      <c r="N2442" s="101"/>
      <c r="O2442" s="101"/>
      <c r="P2442" s="101"/>
      <c r="Q2442" s="101"/>
      <c r="R2442" s="101"/>
      <c r="S2442" s="110"/>
      <c r="T2442" s="102"/>
      <c r="U2442" s="101"/>
      <c r="V2442" s="103"/>
      <c r="W2442" s="101"/>
    </row>
    <row r="2443" spans="1:23" x14ac:dyDescent="0.25">
      <c r="A2443" s="98"/>
      <c r="H2443" s="101"/>
      <c r="I2443" s="101"/>
      <c r="J2443" s="101"/>
      <c r="K2443" s="101"/>
      <c r="L2443" s="101"/>
      <c r="M2443" s="101"/>
      <c r="N2443" s="101"/>
      <c r="O2443" s="101"/>
      <c r="P2443" s="101"/>
      <c r="Q2443" s="101"/>
      <c r="R2443" s="101"/>
      <c r="S2443" s="110"/>
      <c r="T2443" s="102"/>
      <c r="U2443" s="101"/>
      <c r="V2443" s="103"/>
      <c r="W2443" s="101"/>
    </row>
    <row r="2444" spans="1:23" x14ac:dyDescent="0.25">
      <c r="A2444" s="98"/>
      <c r="H2444" s="101"/>
      <c r="I2444" s="101"/>
      <c r="J2444" s="101"/>
      <c r="K2444" s="101"/>
      <c r="L2444" s="101"/>
      <c r="M2444" s="101"/>
      <c r="N2444" s="101"/>
      <c r="O2444" s="101"/>
      <c r="P2444" s="101"/>
      <c r="Q2444" s="101"/>
      <c r="R2444" s="101"/>
      <c r="S2444" s="110"/>
      <c r="T2444" s="102"/>
      <c r="U2444" s="101"/>
      <c r="V2444" s="103"/>
      <c r="W2444" s="101"/>
    </row>
    <row r="2445" spans="1:23" x14ac:dyDescent="0.25">
      <c r="A2445" s="98"/>
      <c r="H2445" s="101"/>
      <c r="I2445" s="101"/>
      <c r="J2445" s="101"/>
      <c r="K2445" s="101"/>
      <c r="L2445" s="101"/>
      <c r="M2445" s="101"/>
      <c r="N2445" s="101"/>
      <c r="O2445" s="101"/>
      <c r="P2445" s="101"/>
      <c r="Q2445" s="101"/>
      <c r="R2445" s="101"/>
      <c r="S2445" s="110"/>
      <c r="T2445" s="102"/>
      <c r="U2445" s="101"/>
      <c r="V2445" s="103"/>
      <c r="W2445" s="101"/>
    </row>
    <row r="2446" spans="1:23" x14ac:dyDescent="0.25">
      <c r="A2446" s="98"/>
      <c r="H2446" s="101"/>
      <c r="I2446" s="101"/>
      <c r="J2446" s="101"/>
      <c r="K2446" s="101"/>
      <c r="L2446" s="101"/>
      <c r="M2446" s="101"/>
      <c r="N2446" s="101"/>
      <c r="O2446" s="101"/>
      <c r="P2446" s="101"/>
      <c r="Q2446" s="101"/>
      <c r="R2446" s="101"/>
      <c r="S2446" s="110"/>
      <c r="T2446" s="102"/>
      <c r="U2446" s="101"/>
      <c r="V2446" s="103"/>
      <c r="W2446" s="101"/>
    </row>
    <row r="2447" spans="1:23" x14ac:dyDescent="0.25">
      <c r="A2447" s="98"/>
      <c r="H2447" s="101"/>
      <c r="I2447" s="101"/>
      <c r="J2447" s="101"/>
      <c r="K2447" s="101"/>
      <c r="L2447" s="101"/>
      <c r="M2447" s="101"/>
      <c r="N2447" s="101"/>
      <c r="O2447" s="101"/>
      <c r="P2447" s="101"/>
      <c r="Q2447" s="101"/>
      <c r="R2447" s="101"/>
      <c r="S2447" s="110"/>
      <c r="T2447" s="102"/>
      <c r="U2447" s="101"/>
      <c r="V2447" s="103"/>
      <c r="W2447" s="101"/>
    </row>
    <row r="2448" spans="1:23" x14ac:dyDescent="0.25">
      <c r="A2448" s="98"/>
      <c r="H2448" s="101"/>
      <c r="I2448" s="101"/>
      <c r="J2448" s="101"/>
      <c r="K2448" s="101"/>
      <c r="L2448" s="101"/>
      <c r="M2448" s="101"/>
      <c r="N2448" s="101"/>
      <c r="O2448" s="101"/>
      <c r="P2448" s="101"/>
      <c r="Q2448" s="101"/>
      <c r="R2448" s="101"/>
      <c r="S2448" s="110"/>
      <c r="T2448" s="102"/>
      <c r="U2448" s="101"/>
      <c r="V2448" s="103"/>
      <c r="W2448" s="101"/>
    </row>
    <row r="2449" spans="1:23" x14ac:dyDescent="0.25">
      <c r="A2449" s="98"/>
      <c r="H2449" s="101"/>
      <c r="I2449" s="101"/>
      <c r="J2449" s="101"/>
      <c r="K2449" s="101"/>
      <c r="L2449" s="101"/>
      <c r="M2449" s="101"/>
      <c r="N2449" s="101"/>
      <c r="O2449" s="101"/>
      <c r="P2449" s="101"/>
      <c r="Q2449" s="101"/>
      <c r="R2449" s="101"/>
      <c r="S2449" s="110"/>
      <c r="T2449" s="102"/>
      <c r="U2449" s="101"/>
      <c r="V2449" s="103"/>
      <c r="W2449" s="101"/>
    </row>
    <row r="2450" spans="1:23" x14ac:dyDescent="0.25">
      <c r="A2450" s="98"/>
      <c r="H2450" s="101"/>
      <c r="I2450" s="101"/>
      <c r="J2450" s="101"/>
      <c r="K2450" s="101"/>
      <c r="L2450" s="101"/>
      <c r="M2450" s="101"/>
      <c r="N2450" s="101"/>
      <c r="O2450" s="101"/>
      <c r="P2450" s="101"/>
      <c r="Q2450" s="101"/>
      <c r="R2450" s="101"/>
      <c r="S2450" s="110"/>
      <c r="T2450" s="102"/>
      <c r="U2450" s="101"/>
      <c r="V2450" s="103"/>
      <c r="W2450" s="101"/>
    </row>
    <row r="2451" spans="1:23" x14ac:dyDescent="0.25">
      <c r="A2451" s="98"/>
      <c r="H2451" s="101"/>
      <c r="I2451" s="101"/>
      <c r="J2451" s="101"/>
      <c r="K2451" s="101"/>
      <c r="L2451" s="101"/>
      <c r="M2451" s="101"/>
      <c r="N2451" s="101"/>
      <c r="O2451" s="101"/>
      <c r="P2451" s="101"/>
      <c r="Q2451" s="101"/>
      <c r="R2451" s="101"/>
      <c r="S2451" s="110"/>
      <c r="T2451" s="102"/>
      <c r="U2451" s="101"/>
      <c r="V2451" s="103"/>
      <c r="W2451" s="101"/>
    </row>
    <row r="2452" spans="1:23" x14ac:dyDescent="0.25">
      <c r="A2452" s="98"/>
      <c r="H2452" s="101"/>
      <c r="I2452" s="101"/>
      <c r="J2452" s="101"/>
      <c r="K2452" s="101"/>
      <c r="L2452" s="101"/>
      <c r="M2452" s="101"/>
      <c r="N2452" s="101"/>
      <c r="O2452" s="101"/>
      <c r="P2452" s="101"/>
      <c r="Q2452" s="101"/>
      <c r="R2452" s="101"/>
      <c r="S2452" s="110"/>
      <c r="T2452" s="102"/>
      <c r="U2452" s="101"/>
      <c r="V2452" s="103"/>
      <c r="W2452" s="101"/>
    </row>
    <row r="2453" spans="1:23" x14ac:dyDescent="0.25">
      <c r="A2453" s="98"/>
      <c r="H2453" s="101"/>
      <c r="I2453" s="101"/>
      <c r="J2453" s="101"/>
      <c r="K2453" s="101"/>
      <c r="L2453" s="101"/>
      <c r="M2453" s="101"/>
      <c r="N2453" s="101"/>
      <c r="O2453" s="101"/>
      <c r="P2453" s="101"/>
      <c r="Q2453" s="101"/>
      <c r="R2453" s="101"/>
      <c r="S2453" s="110"/>
      <c r="T2453" s="102"/>
      <c r="U2453" s="101"/>
      <c r="V2453" s="103"/>
      <c r="W2453" s="101"/>
    </row>
    <row r="2454" spans="1:23" x14ac:dyDescent="0.25">
      <c r="A2454" s="98"/>
      <c r="H2454" s="101"/>
      <c r="I2454" s="101"/>
      <c r="J2454" s="101"/>
      <c r="K2454" s="101"/>
      <c r="L2454" s="101"/>
      <c r="M2454" s="101"/>
      <c r="N2454" s="101"/>
      <c r="O2454" s="101"/>
      <c r="P2454" s="101"/>
      <c r="Q2454" s="101"/>
      <c r="R2454" s="101"/>
      <c r="S2454" s="110"/>
      <c r="T2454" s="102"/>
      <c r="U2454" s="101"/>
      <c r="V2454" s="103"/>
      <c r="W2454" s="101"/>
    </row>
    <row r="2455" spans="1:23" x14ac:dyDescent="0.25">
      <c r="A2455" s="98"/>
      <c r="H2455" s="101"/>
      <c r="I2455" s="101"/>
      <c r="J2455" s="101"/>
      <c r="K2455" s="101"/>
      <c r="L2455" s="101"/>
      <c r="M2455" s="101"/>
      <c r="N2455" s="101"/>
      <c r="O2455" s="101"/>
      <c r="P2455" s="101"/>
      <c r="Q2455" s="101"/>
      <c r="R2455" s="101"/>
      <c r="S2455" s="110"/>
      <c r="T2455" s="102"/>
      <c r="U2455" s="101"/>
      <c r="V2455" s="103"/>
      <c r="W2455" s="101"/>
    </row>
    <row r="2456" spans="1:23" x14ac:dyDescent="0.25">
      <c r="A2456" s="98"/>
      <c r="H2456" s="101"/>
      <c r="I2456" s="101"/>
      <c r="J2456" s="101"/>
      <c r="K2456" s="101"/>
      <c r="L2456" s="101"/>
      <c r="M2456" s="101"/>
      <c r="N2456" s="101"/>
      <c r="O2456" s="101"/>
      <c r="P2456" s="101"/>
      <c r="Q2456" s="101"/>
      <c r="R2456" s="101"/>
      <c r="S2456" s="110"/>
      <c r="T2456" s="102"/>
      <c r="U2456" s="101"/>
      <c r="V2456" s="103"/>
      <c r="W2456" s="101"/>
    </row>
    <row r="2457" spans="1:23" x14ac:dyDescent="0.25">
      <c r="A2457" s="98"/>
      <c r="H2457" s="101"/>
      <c r="I2457" s="101"/>
      <c r="J2457" s="101"/>
      <c r="K2457" s="101"/>
      <c r="L2457" s="101"/>
      <c r="M2457" s="101"/>
      <c r="N2457" s="101"/>
      <c r="O2457" s="101"/>
      <c r="P2457" s="101"/>
      <c r="Q2457" s="101"/>
      <c r="R2457" s="101"/>
      <c r="S2457" s="110"/>
      <c r="T2457" s="102"/>
      <c r="U2457" s="101"/>
      <c r="V2457" s="103"/>
      <c r="W2457" s="101"/>
    </row>
    <row r="2458" spans="1:23" x14ac:dyDescent="0.25">
      <c r="A2458" s="98"/>
      <c r="H2458" s="101"/>
      <c r="I2458" s="101"/>
      <c r="J2458" s="101"/>
      <c r="K2458" s="101"/>
      <c r="L2458" s="101"/>
      <c r="M2458" s="101"/>
      <c r="N2458" s="101"/>
      <c r="O2458" s="101"/>
      <c r="P2458" s="101"/>
      <c r="Q2458" s="101"/>
      <c r="R2458" s="101"/>
      <c r="S2458" s="110"/>
      <c r="T2458" s="102"/>
      <c r="U2458" s="101"/>
      <c r="V2458" s="103"/>
      <c r="W2458" s="101"/>
    </row>
    <row r="2459" spans="1:23" x14ac:dyDescent="0.25">
      <c r="A2459" s="98"/>
      <c r="H2459" s="101"/>
      <c r="I2459" s="101"/>
      <c r="J2459" s="101"/>
      <c r="K2459" s="101"/>
      <c r="L2459" s="101"/>
      <c r="M2459" s="101"/>
      <c r="N2459" s="101"/>
      <c r="O2459" s="101"/>
      <c r="P2459" s="101"/>
      <c r="Q2459" s="101"/>
      <c r="R2459" s="101"/>
      <c r="S2459" s="110"/>
      <c r="T2459" s="102"/>
      <c r="U2459" s="101"/>
      <c r="V2459" s="103"/>
      <c r="W2459" s="101"/>
    </row>
    <row r="2460" spans="1:23" x14ac:dyDescent="0.25">
      <c r="A2460" s="98"/>
      <c r="H2460" s="101"/>
      <c r="I2460" s="101"/>
      <c r="J2460" s="101"/>
      <c r="K2460" s="101"/>
      <c r="L2460" s="101"/>
      <c r="M2460" s="101"/>
      <c r="N2460" s="101"/>
      <c r="O2460" s="101"/>
      <c r="P2460" s="101"/>
      <c r="Q2460" s="101"/>
      <c r="R2460" s="101"/>
      <c r="S2460" s="110"/>
      <c r="T2460" s="102"/>
      <c r="U2460" s="101"/>
      <c r="V2460" s="103"/>
      <c r="W2460" s="101"/>
    </row>
    <row r="2461" spans="1:23" x14ac:dyDescent="0.25">
      <c r="A2461" s="98"/>
      <c r="H2461" s="101"/>
      <c r="I2461" s="101"/>
      <c r="J2461" s="101"/>
      <c r="K2461" s="101"/>
      <c r="L2461" s="101"/>
      <c r="M2461" s="101"/>
      <c r="N2461" s="101"/>
      <c r="O2461" s="101"/>
      <c r="P2461" s="101"/>
      <c r="Q2461" s="101"/>
      <c r="R2461" s="101"/>
      <c r="S2461" s="110"/>
      <c r="T2461" s="102"/>
      <c r="U2461" s="101"/>
      <c r="V2461" s="103"/>
      <c r="W2461" s="101"/>
    </row>
    <row r="2462" spans="1:23" x14ac:dyDescent="0.25">
      <c r="A2462" s="98"/>
      <c r="H2462" s="101"/>
      <c r="I2462" s="101"/>
      <c r="J2462" s="101"/>
      <c r="K2462" s="101"/>
      <c r="L2462" s="101"/>
      <c r="M2462" s="101"/>
      <c r="N2462" s="101"/>
      <c r="O2462" s="101"/>
      <c r="P2462" s="101"/>
      <c r="Q2462" s="101"/>
      <c r="R2462" s="101"/>
      <c r="S2462" s="110"/>
      <c r="T2462" s="102"/>
      <c r="U2462" s="101"/>
      <c r="V2462" s="103"/>
      <c r="W2462" s="101"/>
    </row>
    <row r="2463" spans="1:23" x14ac:dyDescent="0.25">
      <c r="A2463" s="98"/>
      <c r="H2463" s="101"/>
      <c r="I2463" s="101"/>
      <c r="J2463" s="101"/>
      <c r="K2463" s="101"/>
      <c r="L2463" s="101"/>
      <c r="M2463" s="101"/>
      <c r="N2463" s="101"/>
      <c r="O2463" s="101"/>
      <c r="P2463" s="101"/>
      <c r="Q2463" s="101"/>
      <c r="R2463" s="101"/>
      <c r="S2463" s="110"/>
      <c r="T2463" s="102"/>
      <c r="U2463" s="101"/>
      <c r="V2463" s="103"/>
      <c r="W2463" s="101"/>
    </row>
    <row r="2464" spans="1:23" x14ac:dyDescent="0.25">
      <c r="A2464" s="98"/>
      <c r="H2464" s="101"/>
      <c r="I2464" s="101"/>
      <c r="J2464" s="101"/>
      <c r="K2464" s="101"/>
      <c r="L2464" s="101"/>
      <c r="M2464" s="101"/>
      <c r="N2464" s="101"/>
      <c r="O2464" s="101"/>
      <c r="P2464" s="101"/>
      <c r="Q2464" s="101"/>
      <c r="R2464" s="101"/>
      <c r="S2464" s="110"/>
      <c r="T2464" s="102"/>
      <c r="U2464" s="101"/>
      <c r="V2464" s="103"/>
      <c r="W2464" s="101"/>
    </row>
    <row r="2465" spans="1:23" x14ac:dyDescent="0.25">
      <c r="A2465" s="98"/>
      <c r="H2465" s="101"/>
      <c r="I2465" s="101"/>
      <c r="J2465" s="101"/>
      <c r="K2465" s="101"/>
      <c r="L2465" s="101"/>
      <c r="M2465" s="101"/>
      <c r="N2465" s="101"/>
      <c r="O2465" s="101"/>
      <c r="P2465" s="101"/>
      <c r="Q2465" s="101"/>
      <c r="R2465" s="101"/>
      <c r="S2465" s="110"/>
      <c r="T2465" s="102"/>
      <c r="U2465" s="101"/>
      <c r="V2465" s="103"/>
      <c r="W2465" s="101"/>
    </row>
    <row r="2466" spans="1:23" x14ac:dyDescent="0.25">
      <c r="A2466" s="98"/>
      <c r="H2466" s="101"/>
      <c r="I2466" s="101"/>
      <c r="J2466" s="101"/>
      <c r="K2466" s="101"/>
      <c r="L2466" s="101"/>
      <c r="M2466" s="101"/>
      <c r="N2466" s="101"/>
      <c r="O2466" s="101"/>
      <c r="P2466" s="101"/>
      <c r="Q2466" s="101"/>
      <c r="R2466" s="101"/>
      <c r="S2466" s="110"/>
      <c r="T2466" s="102"/>
      <c r="U2466" s="101"/>
      <c r="V2466" s="103"/>
      <c r="W2466" s="101"/>
    </row>
    <row r="2467" spans="1:23" x14ac:dyDescent="0.25">
      <c r="A2467" s="98"/>
      <c r="H2467" s="101"/>
      <c r="I2467" s="101"/>
      <c r="J2467" s="101"/>
      <c r="K2467" s="101"/>
      <c r="L2467" s="101"/>
      <c r="M2467" s="101"/>
      <c r="N2467" s="101"/>
      <c r="O2467" s="101"/>
      <c r="P2467" s="101"/>
      <c r="Q2467" s="101"/>
      <c r="R2467" s="101"/>
      <c r="S2467" s="110"/>
      <c r="T2467" s="102"/>
      <c r="U2467" s="101"/>
      <c r="V2467" s="103"/>
      <c r="W2467" s="101"/>
    </row>
    <row r="2468" spans="1:23" x14ac:dyDescent="0.25">
      <c r="A2468" s="98"/>
      <c r="H2468" s="101"/>
      <c r="I2468" s="101"/>
      <c r="J2468" s="101"/>
      <c r="K2468" s="101"/>
      <c r="L2468" s="101"/>
      <c r="M2468" s="101"/>
      <c r="N2468" s="101"/>
      <c r="O2468" s="101"/>
      <c r="P2468" s="101"/>
      <c r="Q2468" s="101"/>
      <c r="R2468" s="101"/>
      <c r="S2468" s="110"/>
      <c r="T2468" s="102"/>
      <c r="U2468" s="101"/>
      <c r="V2468" s="103"/>
      <c r="W2468" s="101"/>
    </row>
    <row r="2469" spans="1:23" x14ac:dyDescent="0.25">
      <c r="A2469" s="98"/>
      <c r="H2469" s="101"/>
      <c r="I2469" s="101"/>
      <c r="J2469" s="101"/>
      <c r="K2469" s="101"/>
      <c r="L2469" s="101"/>
      <c r="M2469" s="101"/>
      <c r="N2469" s="101"/>
      <c r="O2469" s="101"/>
      <c r="P2469" s="101"/>
      <c r="Q2469" s="101"/>
      <c r="R2469" s="101"/>
      <c r="S2469" s="110"/>
      <c r="T2469" s="102"/>
      <c r="U2469" s="101"/>
      <c r="V2469" s="103"/>
      <c r="W2469" s="101"/>
    </row>
    <row r="2470" spans="1:23" x14ac:dyDescent="0.25">
      <c r="A2470" s="98"/>
      <c r="H2470" s="101"/>
      <c r="I2470" s="101"/>
      <c r="J2470" s="101"/>
      <c r="K2470" s="101"/>
      <c r="L2470" s="101"/>
      <c r="M2470" s="101"/>
      <c r="N2470" s="101"/>
      <c r="O2470" s="101"/>
      <c r="P2470" s="101"/>
      <c r="Q2470" s="101"/>
      <c r="R2470" s="101"/>
      <c r="S2470" s="110"/>
      <c r="T2470" s="102"/>
      <c r="U2470" s="101"/>
      <c r="V2470" s="103"/>
      <c r="W2470" s="101"/>
    </row>
    <row r="2471" spans="1:23" x14ac:dyDescent="0.25">
      <c r="A2471" s="98"/>
      <c r="H2471" s="101"/>
      <c r="I2471" s="101"/>
      <c r="J2471" s="101"/>
      <c r="K2471" s="101"/>
      <c r="L2471" s="101"/>
      <c r="M2471" s="101"/>
      <c r="N2471" s="101"/>
      <c r="O2471" s="101"/>
      <c r="P2471" s="101"/>
      <c r="Q2471" s="101"/>
      <c r="R2471" s="101"/>
      <c r="S2471" s="110"/>
      <c r="T2471" s="102"/>
      <c r="U2471" s="101"/>
      <c r="V2471" s="103"/>
      <c r="W2471" s="101"/>
    </row>
    <row r="2472" spans="1:23" x14ac:dyDescent="0.25">
      <c r="A2472" s="98"/>
      <c r="H2472" s="101"/>
      <c r="I2472" s="101"/>
      <c r="J2472" s="101"/>
      <c r="K2472" s="101"/>
      <c r="L2472" s="101"/>
      <c r="M2472" s="101"/>
      <c r="N2472" s="101"/>
      <c r="O2472" s="101"/>
      <c r="P2472" s="101"/>
      <c r="Q2472" s="101"/>
      <c r="R2472" s="101"/>
      <c r="S2472" s="110"/>
      <c r="T2472" s="102"/>
      <c r="U2472" s="101"/>
      <c r="V2472" s="103"/>
      <c r="W2472" s="101"/>
    </row>
    <row r="2473" spans="1:23" x14ac:dyDescent="0.25">
      <c r="A2473" s="98"/>
      <c r="H2473" s="101"/>
      <c r="I2473" s="101"/>
      <c r="J2473" s="101"/>
      <c r="K2473" s="101"/>
      <c r="L2473" s="101"/>
      <c r="M2473" s="101"/>
      <c r="N2473" s="101"/>
      <c r="O2473" s="101"/>
      <c r="P2473" s="101"/>
      <c r="Q2473" s="101"/>
      <c r="R2473" s="101"/>
      <c r="S2473" s="110"/>
      <c r="T2473" s="102"/>
      <c r="U2473" s="101"/>
      <c r="V2473" s="103"/>
      <c r="W2473" s="101"/>
    </row>
    <row r="2474" spans="1:23" x14ac:dyDescent="0.25">
      <c r="A2474" s="98"/>
      <c r="H2474" s="101"/>
      <c r="I2474" s="101"/>
      <c r="J2474" s="101"/>
      <c r="K2474" s="101"/>
      <c r="L2474" s="101"/>
      <c r="M2474" s="101"/>
      <c r="N2474" s="101"/>
      <c r="O2474" s="101"/>
      <c r="P2474" s="101"/>
      <c r="Q2474" s="101"/>
      <c r="R2474" s="101"/>
      <c r="S2474" s="110"/>
      <c r="T2474" s="102"/>
      <c r="U2474" s="101"/>
      <c r="V2474" s="103"/>
      <c r="W2474" s="101"/>
    </row>
    <row r="2475" spans="1:23" x14ac:dyDescent="0.25">
      <c r="A2475" s="98"/>
      <c r="H2475" s="101"/>
      <c r="I2475" s="101"/>
      <c r="J2475" s="101"/>
      <c r="K2475" s="101"/>
      <c r="L2475" s="101"/>
      <c r="M2475" s="101"/>
      <c r="N2475" s="101"/>
      <c r="O2475" s="101"/>
      <c r="P2475" s="101"/>
      <c r="Q2475" s="101"/>
      <c r="R2475" s="101"/>
      <c r="S2475" s="110"/>
      <c r="T2475" s="102"/>
      <c r="U2475" s="101"/>
      <c r="V2475" s="103"/>
      <c r="W2475" s="101"/>
    </row>
    <row r="2476" spans="1:23" x14ac:dyDescent="0.25">
      <c r="A2476" s="98"/>
      <c r="H2476" s="101"/>
      <c r="I2476" s="101"/>
      <c r="J2476" s="101"/>
      <c r="K2476" s="101"/>
      <c r="L2476" s="101"/>
      <c r="M2476" s="101"/>
      <c r="N2476" s="101"/>
      <c r="O2476" s="101"/>
      <c r="P2476" s="101"/>
      <c r="Q2476" s="101"/>
      <c r="R2476" s="101"/>
      <c r="S2476" s="110"/>
      <c r="T2476" s="102"/>
      <c r="U2476" s="101"/>
      <c r="V2476" s="103"/>
      <c r="W2476" s="101"/>
    </row>
    <row r="2477" spans="1:23" x14ac:dyDescent="0.25">
      <c r="A2477" s="98"/>
      <c r="H2477" s="101"/>
      <c r="I2477" s="101"/>
      <c r="J2477" s="101"/>
      <c r="K2477" s="101"/>
      <c r="L2477" s="101"/>
      <c r="M2477" s="101"/>
      <c r="N2477" s="101"/>
      <c r="O2477" s="101"/>
      <c r="P2477" s="101"/>
      <c r="Q2477" s="101"/>
      <c r="R2477" s="101"/>
      <c r="S2477" s="110"/>
      <c r="T2477" s="102"/>
      <c r="U2477" s="101"/>
      <c r="V2477" s="103"/>
      <c r="W2477" s="101"/>
    </row>
    <row r="2478" spans="1:23" x14ac:dyDescent="0.25">
      <c r="A2478" s="98"/>
      <c r="H2478" s="101"/>
      <c r="I2478" s="101"/>
      <c r="J2478" s="101"/>
      <c r="K2478" s="101"/>
      <c r="L2478" s="101"/>
      <c r="M2478" s="101"/>
      <c r="N2478" s="101"/>
      <c r="O2478" s="101"/>
      <c r="P2478" s="101"/>
      <c r="Q2478" s="101"/>
      <c r="R2478" s="101"/>
      <c r="S2478" s="110"/>
      <c r="T2478" s="102"/>
      <c r="U2478" s="101"/>
      <c r="V2478" s="103"/>
      <c r="W2478" s="101"/>
    </row>
    <row r="2479" spans="1:23" x14ac:dyDescent="0.25">
      <c r="A2479" s="98"/>
      <c r="H2479" s="101"/>
      <c r="I2479" s="101"/>
      <c r="J2479" s="101"/>
      <c r="K2479" s="101"/>
      <c r="L2479" s="101"/>
      <c r="M2479" s="101"/>
      <c r="N2479" s="101"/>
      <c r="O2479" s="101"/>
      <c r="P2479" s="101"/>
      <c r="Q2479" s="101"/>
      <c r="R2479" s="101"/>
      <c r="S2479" s="110"/>
      <c r="T2479" s="102"/>
      <c r="U2479" s="101"/>
      <c r="V2479" s="103"/>
      <c r="W2479" s="101"/>
    </row>
    <row r="2480" spans="1:23" x14ac:dyDescent="0.25">
      <c r="A2480" s="98"/>
      <c r="H2480" s="101"/>
      <c r="I2480" s="101"/>
      <c r="J2480" s="101"/>
      <c r="K2480" s="101"/>
      <c r="L2480" s="101"/>
      <c r="M2480" s="101"/>
      <c r="N2480" s="101"/>
      <c r="O2480" s="101"/>
      <c r="P2480" s="101"/>
      <c r="Q2480" s="101"/>
      <c r="R2480" s="101"/>
      <c r="S2480" s="110"/>
      <c r="T2480" s="102"/>
      <c r="U2480" s="101"/>
      <c r="V2480" s="103"/>
      <c r="W2480" s="101"/>
    </row>
    <row r="2481" spans="1:23" x14ac:dyDescent="0.25">
      <c r="A2481" s="98"/>
      <c r="H2481" s="101"/>
      <c r="I2481" s="101"/>
      <c r="J2481" s="101"/>
      <c r="K2481" s="101"/>
      <c r="L2481" s="101"/>
      <c r="M2481" s="101"/>
      <c r="N2481" s="101"/>
      <c r="O2481" s="101"/>
      <c r="P2481" s="101"/>
      <c r="Q2481" s="101"/>
      <c r="R2481" s="101"/>
      <c r="S2481" s="110"/>
      <c r="T2481" s="102"/>
      <c r="U2481" s="101"/>
      <c r="V2481" s="103"/>
      <c r="W2481" s="101"/>
    </row>
    <row r="2482" spans="1:23" x14ac:dyDescent="0.25">
      <c r="A2482" s="98"/>
      <c r="H2482" s="101"/>
      <c r="I2482" s="101"/>
      <c r="J2482" s="101"/>
      <c r="K2482" s="101"/>
      <c r="L2482" s="101"/>
      <c r="M2482" s="101"/>
      <c r="N2482" s="101"/>
      <c r="O2482" s="101"/>
      <c r="P2482" s="101"/>
      <c r="Q2482" s="101"/>
      <c r="R2482" s="101"/>
      <c r="S2482" s="110"/>
      <c r="T2482" s="102"/>
      <c r="U2482" s="101"/>
      <c r="V2482" s="103"/>
      <c r="W2482" s="101"/>
    </row>
    <row r="2483" spans="1:23" x14ac:dyDescent="0.25">
      <c r="A2483" s="98"/>
      <c r="H2483" s="101"/>
      <c r="I2483" s="101"/>
      <c r="J2483" s="101"/>
      <c r="K2483" s="101"/>
      <c r="L2483" s="101"/>
      <c r="M2483" s="101"/>
      <c r="N2483" s="101"/>
      <c r="O2483" s="101"/>
      <c r="P2483" s="101"/>
      <c r="Q2483" s="101"/>
      <c r="R2483" s="101"/>
      <c r="S2483" s="110"/>
      <c r="T2483" s="102"/>
      <c r="U2483" s="101"/>
      <c r="V2483" s="103"/>
      <c r="W2483" s="101"/>
    </row>
    <row r="2484" spans="1:23" x14ac:dyDescent="0.25">
      <c r="A2484" s="98"/>
      <c r="H2484" s="101"/>
      <c r="I2484" s="101"/>
      <c r="J2484" s="101"/>
      <c r="K2484" s="101"/>
      <c r="L2484" s="101"/>
      <c r="M2484" s="101"/>
      <c r="N2484" s="101"/>
      <c r="O2484" s="101"/>
      <c r="P2484" s="101"/>
      <c r="Q2484" s="101"/>
      <c r="R2484" s="101"/>
      <c r="S2484" s="110"/>
      <c r="T2484" s="102"/>
      <c r="U2484" s="101"/>
      <c r="V2484" s="103"/>
      <c r="W2484" s="101"/>
    </row>
    <row r="2485" spans="1:23" x14ac:dyDescent="0.25">
      <c r="A2485" s="98"/>
      <c r="H2485" s="101"/>
      <c r="I2485" s="101"/>
      <c r="J2485" s="101"/>
      <c r="K2485" s="101"/>
      <c r="L2485" s="101"/>
      <c r="M2485" s="101"/>
      <c r="N2485" s="101"/>
      <c r="O2485" s="101"/>
      <c r="P2485" s="101"/>
      <c r="Q2485" s="101"/>
      <c r="R2485" s="101"/>
      <c r="S2485" s="110"/>
      <c r="T2485" s="102"/>
      <c r="U2485" s="101"/>
      <c r="V2485" s="103"/>
      <c r="W2485" s="101"/>
    </row>
    <row r="2486" spans="1:23" x14ac:dyDescent="0.25">
      <c r="A2486" s="98"/>
      <c r="H2486" s="101"/>
      <c r="I2486" s="101"/>
      <c r="J2486" s="101"/>
      <c r="K2486" s="101"/>
      <c r="L2486" s="101"/>
      <c r="M2486" s="101"/>
      <c r="N2486" s="101"/>
      <c r="O2486" s="101"/>
      <c r="P2486" s="101"/>
      <c r="Q2486" s="101"/>
      <c r="R2486" s="101"/>
      <c r="S2486" s="110"/>
      <c r="T2486" s="102"/>
      <c r="U2486" s="101"/>
      <c r="V2486" s="103"/>
      <c r="W2486" s="101"/>
    </row>
    <row r="2487" spans="1:23" x14ac:dyDescent="0.25">
      <c r="A2487" s="98"/>
      <c r="H2487" s="101"/>
      <c r="I2487" s="101"/>
      <c r="J2487" s="101"/>
      <c r="K2487" s="101"/>
      <c r="L2487" s="101"/>
      <c r="M2487" s="101"/>
      <c r="N2487" s="101"/>
      <c r="O2487" s="101"/>
      <c r="P2487" s="101"/>
      <c r="Q2487" s="101"/>
      <c r="R2487" s="101"/>
      <c r="S2487" s="110"/>
      <c r="T2487" s="102"/>
      <c r="U2487" s="101"/>
      <c r="V2487" s="103"/>
      <c r="W2487" s="101"/>
    </row>
    <row r="2488" spans="1:23" x14ac:dyDescent="0.25">
      <c r="A2488" s="98"/>
      <c r="H2488" s="101"/>
      <c r="I2488" s="101"/>
      <c r="J2488" s="101"/>
      <c r="K2488" s="101"/>
      <c r="L2488" s="101"/>
      <c r="M2488" s="101"/>
      <c r="N2488" s="101"/>
      <c r="O2488" s="101"/>
      <c r="P2488" s="101"/>
      <c r="Q2488" s="101"/>
      <c r="R2488" s="101"/>
      <c r="S2488" s="110"/>
      <c r="T2488" s="102"/>
      <c r="U2488" s="101"/>
      <c r="V2488" s="103"/>
      <c r="W2488" s="101"/>
    </row>
    <row r="2489" spans="1:23" x14ac:dyDescent="0.25">
      <c r="A2489" s="98"/>
      <c r="H2489" s="101"/>
      <c r="I2489" s="101"/>
      <c r="J2489" s="101"/>
      <c r="K2489" s="101"/>
      <c r="L2489" s="101"/>
      <c r="M2489" s="101"/>
      <c r="N2489" s="101"/>
      <c r="O2489" s="101"/>
      <c r="P2489" s="101"/>
      <c r="Q2489" s="101"/>
      <c r="R2489" s="101"/>
      <c r="S2489" s="110"/>
      <c r="T2489" s="102"/>
      <c r="U2489" s="101"/>
      <c r="V2489" s="103"/>
      <c r="W2489" s="101"/>
    </row>
    <row r="2490" spans="1:23" x14ac:dyDescent="0.25">
      <c r="A2490" s="98"/>
      <c r="H2490" s="101"/>
      <c r="I2490" s="101"/>
      <c r="J2490" s="101"/>
      <c r="K2490" s="101"/>
      <c r="L2490" s="101"/>
      <c r="M2490" s="101"/>
      <c r="N2490" s="101"/>
      <c r="O2490" s="101"/>
      <c r="P2490" s="101"/>
      <c r="Q2490" s="101"/>
      <c r="R2490" s="101"/>
      <c r="S2490" s="110"/>
      <c r="T2490" s="102"/>
      <c r="U2490" s="101"/>
      <c r="V2490" s="103"/>
      <c r="W2490" s="101"/>
    </row>
    <row r="2491" spans="1:23" x14ac:dyDescent="0.25">
      <c r="A2491" s="98"/>
      <c r="H2491" s="101"/>
      <c r="I2491" s="101"/>
      <c r="J2491" s="101"/>
      <c r="K2491" s="101"/>
      <c r="L2491" s="101"/>
      <c r="M2491" s="101"/>
      <c r="N2491" s="101"/>
      <c r="O2491" s="101"/>
      <c r="P2491" s="101"/>
      <c r="Q2491" s="101"/>
      <c r="R2491" s="101"/>
      <c r="S2491" s="110"/>
      <c r="T2491" s="102"/>
      <c r="U2491" s="101"/>
      <c r="V2491" s="103"/>
      <c r="W2491" s="101"/>
    </row>
    <row r="2492" spans="1:23" x14ac:dyDescent="0.25">
      <c r="A2492" s="98"/>
      <c r="H2492" s="101"/>
      <c r="I2492" s="101"/>
      <c r="J2492" s="101"/>
      <c r="K2492" s="101"/>
      <c r="L2492" s="101"/>
      <c r="M2492" s="101"/>
      <c r="N2492" s="101"/>
      <c r="O2492" s="101"/>
      <c r="P2492" s="101"/>
      <c r="Q2492" s="101"/>
      <c r="R2492" s="101"/>
      <c r="S2492" s="110"/>
      <c r="T2492" s="102"/>
      <c r="U2492" s="101"/>
      <c r="V2492" s="103"/>
      <c r="W2492" s="101"/>
    </row>
    <row r="2493" spans="1:23" x14ac:dyDescent="0.25">
      <c r="A2493" s="98"/>
      <c r="H2493" s="101"/>
      <c r="I2493" s="101"/>
      <c r="J2493" s="101"/>
      <c r="K2493" s="101"/>
      <c r="L2493" s="101"/>
      <c r="M2493" s="101"/>
      <c r="N2493" s="101"/>
      <c r="O2493" s="101"/>
      <c r="P2493" s="101"/>
      <c r="Q2493" s="101"/>
      <c r="R2493" s="101"/>
      <c r="S2493" s="110"/>
      <c r="T2493" s="102"/>
      <c r="U2493" s="101"/>
      <c r="V2493" s="103"/>
      <c r="W2493" s="101"/>
    </row>
    <row r="2494" spans="1:23" x14ac:dyDescent="0.25">
      <c r="A2494" s="98"/>
      <c r="H2494" s="101"/>
      <c r="I2494" s="101"/>
      <c r="J2494" s="101"/>
      <c r="K2494" s="101"/>
      <c r="L2494" s="101"/>
      <c r="M2494" s="101"/>
      <c r="N2494" s="101"/>
      <c r="O2494" s="101"/>
      <c r="P2494" s="101"/>
      <c r="Q2494" s="101"/>
      <c r="R2494" s="101"/>
      <c r="S2494" s="110"/>
      <c r="T2494" s="102"/>
      <c r="U2494" s="101"/>
      <c r="V2494" s="103"/>
      <c r="W2494" s="101"/>
    </row>
    <row r="2495" spans="1:23" x14ac:dyDescent="0.25">
      <c r="A2495" s="98"/>
      <c r="H2495" s="101"/>
      <c r="I2495" s="101"/>
      <c r="J2495" s="101"/>
      <c r="K2495" s="101"/>
      <c r="L2495" s="101"/>
      <c r="M2495" s="101"/>
      <c r="N2495" s="101"/>
      <c r="O2495" s="101"/>
      <c r="P2495" s="101"/>
      <c r="Q2495" s="101"/>
      <c r="R2495" s="101"/>
      <c r="S2495" s="110"/>
      <c r="T2495" s="102"/>
      <c r="U2495" s="101"/>
      <c r="V2495" s="103"/>
      <c r="W2495" s="101"/>
    </row>
    <row r="2496" spans="1:23" x14ac:dyDescent="0.25">
      <c r="A2496" s="98"/>
      <c r="H2496" s="101"/>
      <c r="I2496" s="101"/>
      <c r="J2496" s="101"/>
      <c r="K2496" s="101"/>
      <c r="L2496" s="101"/>
      <c r="M2496" s="101"/>
      <c r="N2496" s="101"/>
      <c r="O2496" s="101"/>
      <c r="P2496" s="101"/>
      <c r="Q2496" s="101"/>
      <c r="R2496" s="101"/>
      <c r="S2496" s="110"/>
      <c r="T2496" s="102"/>
      <c r="U2496" s="101"/>
      <c r="V2496" s="103"/>
      <c r="W2496" s="101"/>
    </row>
    <row r="2497" spans="1:23" x14ac:dyDescent="0.25">
      <c r="A2497" s="98"/>
      <c r="H2497" s="101"/>
      <c r="I2497" s="101"/>
      <c r="J2497" s="101"/>
      <c r="K2497" s="101"/>
      <c r="L2497" s="101"/>
      <c r="M2497" s="101"/>
      <c r="N2497" s="101"/>
      <c r="O2497" s="101"/>
      <c r="P2497" s="101"/>
      <c r="Q2497" s="101"/>
      <c r="R2497" s="101"/>
      <c r="S2497" s="110"/>
      <c r="T2497" s="102"/>
      <c r="U2497" s="101"/>
      <c r="V2497" s="103"/>
      <c r="W2497" s="101"/>
    </row>
    <row r="2498" spans="1:23" x14ac:dyDescent="0.25">
      <c r="A2498" s="98"/>
      <c r="H2498" s="101"/>
      <c r="I2498" s="101"/>
      <c r="J2498" s="101"/>
      <c r="K2498" s="101"/>
      <c r="L2498" s="101"/>
      <c r="M2498" s="101"/>
      <c r="N2498" s="101"/>
      <c r="O2498" s="101"/>
      <c r="P2498" s="101"/>
      <c r="Q2498" s="101"/>
      <c r="R2498" s="101"/>
      <c r="S2498" s="110"/>
      <c r="T2498" s="102"/>
      <c r="U2498" s="101"/>
      <c r="V2498" s="103"/>
      <c r="W2498" s="101"/>
    </row>
    <row r="2499" spans="1:23" x14ac:dyDescent="0.25">
      <c r="A2499" s="98"/>
      <c r="H2499" s="101"/>
      <c r="I2499" s="101"/>
      <c r="J2499" s="101"/>
      <c r="K2499" s="101"/>
      <c r="L2499" s="101"/>
      <c r="M2499" s="101"/>
      <c r="N2499" s="101"/>
      <c r="O2499" s="101"/>
      <c r="P2499" s="101"/>
      <c r="Q2499" s="101"/>
      <c r="R2499" s="101"/>
      <c r="S2499" s="110"/>
      <c r="T2499" s="102"/>
      <c r="U2499" s="101"/>
      <c r="V2499" s="103"/>
      <c r="W2499" s="101"/>
    </row>
    <row r="2500" spans="1:23" x14ac:dyDescent="0.25">
      <c r="A2500" s="98"/>
      <c r="H2500" s="101"/>
      <c r="I2500" s="101"/>
      <c r="J2500" s="101"/>
      <c r="K2500" s="101"/>
      <c r="L2500" s="101"/>
      <c r="M2500" s="101"/>
      <c r="N2500" s="101"/>
      <c r="O2500" s="101"/>
      <c r="P2500" s="101"/>
      <c r="Q2500" s="101"/>
      <c r="R2500" s="101"/>
      <c r="S2500" s="110"/>
      <c r="T2500" s="102"/>
      <c r="U2500" s="101"/>
      <c r="V2500" s="103"/>
      <c r="W2500" s="101"/>
    </row>
    <row r="2501" spans="1:23" x14ac:dyDescent="0.25">
      <c r="A2501" s="98"/>
      <c r="H2501" s="101"/>
      <c r="I2501" s="101"/>
      <c r="J2501" s="101"/>
      <c r="K2501" s="101"/>
      <c r="L2501" s="101"/>
      <c r="M2501" s="101"/>
      <c r="N2501" s="101"/>
      <c r="O2501" s="101"/>
      <c r="P2501" s="101"/>
      <c r="Q2501" s="101"/>
      <c r="R2501" s="101"/>
      <c r="S2501" s="110"/>
      <c r="T2501" s="102"/>
      <c r="U2501" s="101"/>
      <c r="V2501" s="103"/>
      <c r="W2501" s="101"/>
    </row>
    <row r="2502" spans="1:23" x14ac:dyDescent="0.25">
      <c r="A2502" s="98"/>
      <c r="H2502" s="101"/>
      <c r="I2502" s="101"/>
      <c r="J2502" s="101"/>
      <c r="K2502" s="101"/>
      <c r="L2502" s="101"/>
      <c r="M2502" s="101"/>
      <c r="N2502" s="101"/>
      <c r="O2502" s="101"/>
      <c r="P2502" s="101"/>
      <c r="Q2502" s="101"/>
      <c r="R2502" s="101"/>
      <c r="S2502" s="110"/>
      <c r="T2502" s="102"/>
      <c r="U2502" s="101"/>
      <c r="V2502" s="103"/>
      <c r="W2502" s="101"/>
    </row>
    <row r="2503" spans="1:23" x14ac:dyDescent="0.25">
      <c r="A2503" s="98"/>
      <c r="H2503" s="101"/>
      <c r="I2503" s="101"/>
      <c r="J2503" s="101"/>
      <c r="K2503" s="101"/>
      <c r="L2503" s="101"/>
      <c r="M2503" s="101"/>
      <c r="N2503" s="101"/>
      <c r="O2503" s="101"/>
      <c r="P2503" s="101"/>
      <c r="Q2503" s="101"/>
      <c r="R2503" s="101"/>
      <c r="S2503" s="110"/>
      <c r="T2503" s="102"/>
      <c r="U2503" s="101"/>
      <c r="V2503" s="103"/>
      <c r="W2503" s="101"/>
    </row>
    <row r="2504" spans="1:23" x14ac:dyDescent="0.25">
      <c r="A2504" s="98"/>
      <c r="H2504" s="101"/>
      <c r="I2504" s="101"/>
      <c r="J2504" s="101"/>
      <c r="K2504" s="101"/>
      <c r="L2504" s="101"/>
      <c r="M2504" s="101"/>
      <c r="N2504" s="101"/>
      <c r="O2504" s="101"/>
      <c r="P2504" s="101"/>
      <c r="Q2504" s="101"/>
      <c r="R2504" s="101"/>
      <c r="S2504" s="110"/>
      <c r="T2504" s="102"/>
      <c r="U2504" s="101"/>
      <c r="V2504" s="103"/>
      <c r="W2504" s="101"/>
    </row>
    <row r="2505" spans="1:23" x14ac:dyDescent="0.25">
      <c r="A2505" s="98"/>
      <c r="H2505" s="101"/>
      <c r="I2505" s="101"/>
      <c r="J2505" s="101"/>
      <c r="K2505" s="101"/>
      <c r="L2505" s="101"/>
      <c r="M2505" s="101"/>
      <c r="N2505" s="101"/>
      <c r="O2505" s="101"/>
      <c r="P2505" s="101"/>
      <c r="Q2505" s="101"/>
      <c r="R2505" s="101"/>
      <c r="S2505" s="110"/>
      <c r="T2505" s="102"/>
      <c r="U2505" s="101"/>
      <c r="V2505" s="103"/>
      <c r="W2505" s="101"/>
    </row>
    <row r="2506" spans="1:23" x14ac:dyDescent="0.25">
      <c r="A2506" s="98"/>
      <c r="H2506" s="101"/>
      <c r="I2506" s="101"/>
      <c r="J2506" s="101"/>
      <c r="K2506" s="101"/>
      <c r="L2506" s="101"/>
      <c r="M2506" s="101"/>
      <c r="N2506" s="101"/>
      <c r="O2506" s="101"/>
      <c r="P2506" s="101"/>
      <c r="Q2506" s="101"/>
      <c r="R2506" s="101"/>
      <c r="S2506" s="110"/>
      <c r="T2506" s="102"/>
      <c r="U2506" s="101"/>
      <c r="V2506" s="103"/>
      <c r="W2506" s="101"/>
    </row>
    <row r="2507" spans="1:23" x14ac:dyDescent="0.25">
      <c r="A2507" s="98"/>
      <c r="H2507" s="101"/>
      <c r="I2507" s="101"/>
      <c r="J2507" s="101"/>
      <c r="K2507" s="101"/>
      <c r="L2507" s="101"/>
      <c r="M2507" s="101"/>
      <c r="N2507" s="101"/>
      <c r="O2507" s="101"/>
      <c r="P2507" s="101"/>
      <c r="Q2507" s="101"/>
      <c r="R2507" s="101"/>
      <c r="S2507" s="110"/>
      <c r="T2507" s="102"/>
      <c r="U2507" s="101"/>
      <c r="V2507" s="103"/>
      <c r="W2507" s="101"/>
    </row>
    <row r="2508" spans="1:23" x14ac:dyDescent="0.25">
      <c r="A2508" s="98"/>
      <c r="H2508" s="101"/>
      <c r="I2508" s="101"/>
      <c r="J2508" s="101"/>
      <c r="K2508" s="101"/>
      <c r="L2508" s="101"/>
      <c r="M2508" s="101"/>
      <c r="N2508" s="101"/>
      <c r="O2508" s="101"/>
      <c r="P2508" s="101"/>
      <c r="Q2508" s="101"/>
      <c r="R2508" s="101"/>
      <c r="S2508" s="110"/>
      <c r="T2508" s="102"/>
      <c r="U2508" s="101"/>
      <c r="V2508" s="103"/>
      <c r="W2508" s="101"/>
    </row>
    <row r="2509" spans="1:23" x14ac:dyDescent="0.25">
      <c r="A2509" s="98"/>
      <c r="H2509" s="101"/>
      <c r="I2509" s="101"/>
      <c r="J2509" s="101"/>
      <c r="K2509" s="101"/>
      <c r="L2509" s="101"/>
      <c r="M2509" s="101"/>
      <c r="N2509" s="101"/>
      <c r="O2509" s="101"/>
      <c r="P2509" s="101"/>
      <c r="Q2509" s="101"/>
      <c r="R2509" s="101"/>
      <c r="S2509" s="110"/>
      <c r="T2509" s="102"/>
      <c r="U2509" s="101"/>
      <c r="V2509" s="103"/>
      <c r="W2509" s="101"/>
    </row>
    <row r="2510" spans="1:23" x14ac:dyDescent="0.25">
      <c r="A2510" s="98"/>
      <c r="H2510" s="101"/>
      <c r="I2510" s="101"/>
      <c r="J2510" s="101"/>
      <c r="K2510" s="101"/>
      <c r="L2510" s="101"/>
      <c r="M2510" s="101"/>
      <c r="N2510" s="101"/>
      <c r="O2510" s="101"/>
      <c r="P2510" s="101"/>
      <c r="Q2510" s="101"/>
      <c r="R2510" s="101"/>
      <c r="S2510" s="110"/>
      <c r="T2510" s="102"/>
      <c r="U2510" s="101"/>
      <c r="V2510" s="103"/>
      <c r="W2510" s="101"/>
    </row>
    <row r="2511" spans="1:23" x14ac:dyDescent="0.25">
      <c r="A2511" s="98"/>
      <c r="H2511" s="101"/>
      <c r="I2511" s="101"/>
      <c r="J2511" s="101"/>
      <c r="K2511" s="101"/>
      <c r="L2511" s="101"/>
      <c r="M2511" s="101"/>
      <c r="N2511" s="101"/>
      <c r="O2511" s="101"/>
      <c r="P2511" s="101"/>
      <c r="Q2511" s="101"/>
      <c r="R2511" s="101"/>
      <c r="S2511" s="110"/>
      <c r="T2511" s="102"/>
      <c r="U2511" s="101"/>
      <c r="V2511" s="103"/>
      <c r="W2511" s="101"/>
    </row>
    <row r="2512" spans="1:23" x14ac:dyDescent="0.25">
      <c r="A2512" s="98"/>
      <c r="H2512" s="101"/>
      <c r="I2512" s="101"/>
      <c r="J2512" s="101"/>
      <c r="K2512" s="101"/>
      <c r="L2512" s="101"/>
      <c r="M2512" s="101"/>
      <c r="N2512" s="101"/>
      <c r="O2512" s="101"/>
      <c r="P2512" s="101"/>
      <c r="Q2512" s="101"/>
      <c r="R2512" s="101"/>
      <c r="S2512" s="110"/>
      <c r="T2512" s="102"/>
      <c r="U2512" s="101"/>
      <c r="V2512" s="103"/>
      <c r="W2512" s="101"/>
    </row>
    <row r="2513" spans="1:23" x14ac:dyDescent="0.25">
      <c r="A2513" s="98"/>
      <c r="H2513" s="101"/>
      <c r="I2513" s="101"/>
      <c r="J2513" s="101"/>
      <c r="K2513" s="101"/>
      <c r="L2513" s="101"/>
      <c r="M2513" s="101"/>
      <c r="N2513" s="101"/>
      <c r="O2513" s="101"/>
      <c r="P2513" s="101"/>
      <c r="Q2513" s="101"/>
      <c r="R2513" s="101"/>
      <c r="S2513" s="110"/>
      <c r="T2513" s="102"/>
      <c r="U2513" s="101"/>
      <c r="V2513" s="103"/>
      <c r="W2513" s="101"/>
    </row>
    <row r="2514" spans="1:23" x14ac:dyDescent="0.25">
      <c r="A2514" s="98"/>
      <c r="H2514" s="101"/>
      <c r="I2514" s="101"/>
      <c r="J2514" s="101"/>
      <c r="K2514" s="101"/>
      <c r="L2514" s="101"/>
      <c r="M2514" s="101"/>
      <c r="N2514" s="101"/>
      <c r="O2514" s="101"/>
      <c r="P2514" s="101"/>
      <c r="Q2514" s="101"/>
      <c r="R2514" s="101"/>
      <c r="S2514" s="110"/>
      <c r="T2514" s="102"/>
      <c r="U2514" s="101"/>
      <c r="V2514" s="103"/>
      <c r="W2514" s="101"/>
    </row>
    <row r="2515" spans="1:23" x14ac:dyDescent="0.25">
      <c r="A2515" s="98"/>
      <c r="H2515" s="101"/>
      <c r="I2515" s="101"/>
      <c r="J2515" s="101"/>
      <c r="K2515" s="101"/>
      <c r="L2515" s="101"/>
      <c r="M2515" s="101"/>
      <c r="N2515" s="101"/>
      <c r="O2515" s="101"/>
      <c r="P2515" s="101"/>
      <c r="Q2515" s="101"/>
      <c r="R2515" s="101"/>
      <c r="S2515" s="110"/>
      <c r="T2515" s="102"/>
      <c r="U2515" s="101"/>
      <c r="V2515" s="103"/>
      <c r="W2515" s="101"/>
    </row>
    <row r="2516" spans="1:23" x14ac:dyDescent="0.25">
      <c r="A2516" s="98"/>
      <c r="H2516" s="101"/>
      <c r="I2516" s="101"/>
      <c r="J2516" s="101"/>
      <c r="K2516" s="101"/>
      <c r="L2516" s="101"/>
      <c r="M2516" s="101"/>
      <c r="N2516" s="101"/>
      <c r="O2516" s="101"/>
      <c r="P2516" s="101"/>
      <c r="Q2516" s="101"/>
      <c r="R2516" s="101"/>
      <c r="S2516" s="110"/>
      <c r="T2516" s="102"/>
      <c r="U2516" s="101"/>
      <c r="V2516" s="103"/>
      <c r="W2516" s="101"/>
    </row>
    <row r="2517" spans="1:23" x14ac:dyDescent="0.25">
      <c r="A2517" s="98"/>
      <c r="H2517" s="101"/>
      <c r="I2517" s="101"/>
      <c r="J2517" s="101"/>
      <c r="K2517" s="101"/>
      <c r="L2517" s="101"/>
      <c r="M2517" s="101"/>
      <c r="N2517" s="101"/>
      <c r="O2517" s="101"/>
      <c r="P2517" s="101"/>
      <c r="Q2517" s="101"/>
      <c r="R2517" s="101"/>
      <c r="S2517" s="110"/>
      <c r="T2517" s="102"/>
      <c r="U2517" s="101"/>
      <c r="V2517" s="103"/>
      <c r="W2517" s="101"/>
    </row>
    <row r="2518" spans="1:23" x14ac:dyDescent="0.25">
      <c r="A2518" s="98"/>
      <c r="H2518" s="101"/>
      <c r="I2518" s="101"/>
      <c r="J2518" s="101"/>
      <c r="K2518" s="101"/>
      <c r="L2518" s="101"/>
      <c r="M2518" s="101"/>
      <c r="N2518" s="101"/>
      <c r="O2518" s="101"/>
      <c r="P2518" s="101"/>
      <c r="Q2518" s="101"/>
      <c r="R2518" s="101"/>
      <c r="S2518" s="110"/>
      <c r="T2518" s="102"/>
      <c r="U2518" s="101"/>
      <c r="V2518" s="103"/>
      <c r="W2518" s="101"/>
    </row>
    <row r="2519" spans="1:23" x14ac:dyDescent="0.25">
      <c r="A2519" s="98"/>
      <c r="H2519" s="101"/>
      <c r="I2519" s="101"/>
      <c r="J2519" s="101"/>
      <c r="K2519" s="101"/>
      <c r="L2519" s="101"/>
      <c r="M2519" s="101"/>
      <c r="N2519" s="101"/>
      <c r="O2519" s="101"/>
      <c r="P2519" s="101"/>
      <c r="Q2519" s="101"/>
      <c r="R2519" s="101"/>
      <c r="S2519" s="110"/>
      <c r="T2519" s="102"/>
      <c r="U2519" s="101"/>
      <c r="V2519" s="103"/>
      <c r="W2519" s="101"/>
    </row>
    <row r="2520" spans="1:23" x14ac:dyDescent="0.25">
      <c r="A2520" s="98"/>
      <c r="H2520" s="101"/>
      <c r="I2520" s="101"/>
      <c r="J2520" s="101"/>
      <c r="K2520" s="101"/>
      <c r="L2520" s="101"/>
      <c r="M2520" s="101"/>
      <c r="N2520" s="101"/>
      <c r="O2520" s="101"/>
      <c r="P2520" s="101"/>
      <c r="Q2520" s="101"/>
      <c r="R2520" s="101"/>
      <c r="S2520" s="110"/>
      <c r="T2520" s="102"/>
      <c r="U2520" s="101"/>
      <c r="V2520" s="103"/>
      <c r="W2520" s="101"/>
    </row>
    <row r="2521" spans="1:23" x14ac:dyDescent="0.25">
      <c r="A2521" s="98"/>
      <c r="H2521" s="101"/>
      <c r="I2521" s="101"/>
      <c r="J2521" s="101"/>
      <c r="K2521" s="101"/>
      <c r="L2521" s="101"/>
      <c r="M2521" s="101"/>
      <c r="N2521" s="101"/>
      <c r="O2521" s="101"/>
      <c r="P2521" s="101"/>
      <c r="Q2521" s="101"/>
      <c r="R2521" s="101"/>
      <c r="S2521" s="110"/>
      <c r="T2521" s="102"/>
      <c r="U2521" s="101"/>
      <c r="V2521" s="103"/>
      <c r="W2521" s="101"/>
    </row>
    <row r="2522" spans="1:23" x14ac:dyDescent="0.25">
      <c r="A2522" s="98"/>
      <c r="H2522" s="101"/>
      <c r="I2522" s="101"/>
      <c r="J2522" s="101"/>
      <c r="K2522" s="101"/>
      <c r="L2522" s="101"/>
      <c r="M2522" s="101"/>
      <c r="N2522" s="101"/>
      <c r="O2522" s="101"/>
      <c r="P2522" s="101"/>
      <c r="Q2522" s="101"/>
      <c r="R2522" s="101"/>
      <c r="S2522" s="110"/>
      <c r="T2522" s="102"/>
      <c r="U2522" s="101"/>
      <c r="V2522" s="103"/>
      <c r="W2522" s="101"/>
    </row>
    <row r="2523" spans="1:23" x14ac:dyDescent="0.25">
      <c r="A2523" s="98"/>
      <c r="H2523" s="101"/>
      <c r="I2523" s="101"/>
      <c r="J2523" s="101"/>
      <c r="K2523" s="101"/>
      <c r="L2523" s="101"/>
      <c r="M2523" s="101"/>
      <c r="N2523" s="101"/>
      <c r="O2523" s="101"/>
      <c r="P2523" s="101"/>
      <c r="Q2523" s="101"/>
      <c r="R2523" s="101"/>
      <c r="S2523" s="110"/>
      <c r="T2523" s="102"/>
      <c r="U2523" s="101"/>
      <c r="V2523" s="103"/>
      <c r="W2523" s="101"/>
    </row>
    <row r="2524" spans="1:23" x14ac:dyDescent="0.25">
      <c r="A2524" s="98"/>
      <c r="H2524" s="101"/>
      <c r="I2524" s="101"/>
      <c r="J2524" s="101"/>
      <c r="K2524" s="101"/>
      <c r="L2524" s="101"/>
      <c r="M2524" s="101"/>
      <c r="N2524" s="101"/>
      <c r="O2524" s="101"/>
      <c r="P2524" s="101"/>
      <c r="Q2524" s="101"/>
      <c r="R2524" s="101"/>
      <c r="S2524" s="110"/>
      <c r="T2524" s="102"/>
      <c r="U2524" s="101"/>
      <c r="V2524" s="103"/>
      <c r="W2524" s="101"/>
    </row>
    <row r="2525" spans="1:23" x14ac:dyDescent="0.25">
      <c r="A2525" s="98"/>
      <c r="H2525" s="101"/>
      <c r="I2525" s="101"/>
      <c r="J2525" s="101"/>
      <c r="K2525" s="101"/>
      <c r="L2525" s="101"/>
      <c r="M2525" s="101"/>
      <c r="N2525" s="101"/>
      <c r="O2525" s="101"/>
      <c r="P2525" s="101"/>
      <c r="Q2525" s="101"/>
      <c r="R2525" s="101"/>
      <c r="S2525" s="110"/>
      <c r="T2525" s="102"/>
      <c r="U2525" s="101"/>
      <c r="V2525" s="103"/>
      <c r="W2525" s="101"/>
    </row>
    <row r="2526" spans="1:23" x14ac:dyDescent="0.25">
      <c r="A2526" s="98"/>
      <c r="H2526" s="101"/>
      <c r="I2526" s="101"/>
      <c r="J2526" s="101"/>
      <c r="K2526" s="101"/>
      <c r="L2526" s="101"/>
      <c r="M2526" s="101"/>
      <c r="N2526" s="101"/>
      <c r="O2526" s="101"/>
      <c r="P2526" s="101"/>
      <c r="Q2526" s="101"/>
      <c r="R2526" s="101"/>
      <c r="S2526" s="110"/>
      <c r="T2526" s="102"/>
      <c r="U2526" s="101"/>
      <c r="V2526" s="103"/>
      <c r="W2526" s="101"/>
    </row>
    <row r="2527" spans="1:23" x14ac:dyDescent="0.25">
      <c r="A2527" s="98"/>
      <c r="H2527" s="101"/>
      <c r="I2527" s="101"/>
      <c r="J2527" s="101"/>
      <c r="K2527" s="101"/>
      <c r="L2527" s="101"/>
      <c r="M2527" s="101"/>
      <c r="N2527" s="101"/>
      <c r="O2527" s="101"/>
      <c r="P2527" s="101"/>
      <c r="Q2527" s="101"/>
      <c r="R2527" s="101"/>
      <c r="S2527" s="110"/>
      <c r="T2527" s="102"/>
      <c r="U2527" s="101"/>
      <c r="V2527" s="103"/>
      <c r="W2527" s="101"/>
    </row>
    <row r="2528" spans="1:23" x14ac:dyDescent="0.25">
      <c r="A2528" s="98"/>
      <c r="H2528" s="101"/>
      <c r="I2528" s="101"/>
      <c r="J2528" s="101"/>
      <c r="K2528" s="101"/>
      <c r="L2528" s="101"/>
      <c r="M2528" s="101"/>
      <c r="N2528" s="101"/>
      <c r="O2528" s="101"/>
      <c r="P2528" s="101"/>
      <c r="Q2528" s="101"/>
      <c r="R2528" s="101"/>
      <c r="S2528" s="110"/>
      <c r="T2528" s="102"/>
      <c r="U2528" s="101"/>
      <c r="V2528" s="103"/>
      <c r="W2528" s="101"/>
    </row>
    <row r="2529" spans="1:23" x14ac:dyDescent="0.25">
      <c r="A2529" s="98"/>
      <c r="H2529" s="101"/>
      <c r="I2529" s="101"/>
      <c r="J2529" s="101"/>
      <c r="K2529" s="101"/>
      <c r="L2529" s="101"/>
      <c r="M2529" s="101"/>
      <c r="N2529" s="101"/>
      <c r="O2529" s="101"/>
      <c r="P2529" s="101"/>
      <c r="Q2529" s="101"/>
      <c r="R2529" s="101"/>
      <c r="S2529" s="110"/>
      <c r="T2529" s="102"/>
      <c r="U2529" s="101"/>
      <c r="V2529" s="103"/>
      <c r="W2529" s="101"/>
    </row>
    <row r="2530" spans="1:23" x14ac:dyDescent="0.25">
      <c r="A2530" s="98"/>
      <c r="H2530" s="101"/>
      <c r="I2530" s="101"/>
      <c r="J2530" s="101"/>
      <c r="K2530" s="101"/>
      <c r="L2530" s="101"/>
      <c r="M2530" s="101"/>
      <c r="N2530" s="101"/>
      <c r="O2530" s="101"/>
      <c r="P2530" s="101"/>
      <c r="Q2530" s="101"/>
      <c r="R2530" s="101"/>
      <c r="S2530" s="110"/>
      <c r="T2530" s="102"/>
      <c r="U2530" s="101"/>
      <c r="V2530" s="103"/>
      <c r="W2530" s="101"/>
    </row>
    <row r="2531" spans="1:23" x14ac:dyDescent="0.25">
      <c r="A2531" s="98"/>
      <c r="H2531" s="101"/>
      <c r="I2531" s="101"/>
      <c r="J2531" s="101"/>
      <c r="K2531" s="101"/>
      <c r="L2531" s="101"/>
      <c r="M2531" s="101"/>
      <c r="N2531" s="101"/>
      <c r="O2531" s="101"/>
      <c r="P2531" s="101"/>
      <c r="Q2531" s="101"/>
      <c r="R2531" s="101"/>
      <c r="S2531" s="110"/>
      <c r="T2531" s="102"/>
      <c r="U2531" s="101"/>
      <c r="V2531" s="103"/>
      <c r="W2531" s="101"/>
    </row>
    <row r="2532" spans="1:23" x14ac:dyDescent="0.25">
      <c r="A2532" s="98"/>
      <c r="H2532" s="101"/>
      <c r="I2532" s="101"/>
      <c r="J2532" s="101"/>
      <c r="K2532" s="101"/>
      <c r="L2532" s="101"/>
      <c r="M2532" s="101"/>
      <c r="N2532" s="101"/>
      <c r="O2532" s="101"/>
      <c r="P2532" s="101"/>
      <c r="Q2532" s="101"/>
      <c r="R2532" s="101"/>
      <c r="S2532" s="110"/>
      <c r="T2532" s="102"/>
      <c r="U2532" s="101"/>
      <c r="V2532" s="103"/>
      <c r="W2532" s="101"/>
    </row>
    <row r="2533" spans="1:23" x14ac:dyDescent="0.25">
      <c r="A2533" s="98"/>
      <c r="H2533" s="101"/>
      <c r="I2533" s="101"/>
      <c r="J2533" s="101"/>
      <c r="K2533" s="101"/>
      <c r="L2533" s="101"/>
      <c r="M2533" s="101"/>
      <c r="N2533" s="101"/>
      <c r="O2533" s="101"/>
      <c r="P2533" s="101"/>
      <c r="Q2533" s="101"/>
      <c r="R2533" s="101"/>
      <c r="S2533" s="110"/>
      <c r="T2533" s="102"/>
      <c r="U2533" s="101"/>
      <c r="V2533" s="103"/>
      <c r="W2533" s="101"/>
    </row>
    <row r="2534" spans="1:23" x14ac:dyDescent="0.25">
      <c r="A2534" s="98"/>
      <c r="H2534" s="101"/>
      <c r="I2534" s="101"/>
      <c r="J2534" s="101"/>
      <c r="K2534" s="101"/>
      <c r="L2534" s="101"/>
      <c r="M2534" s="101"/>
      <c r="N2534" s="101"/>
      <c r="O2534" s="101"/>
      <c r="P2534" s="101"/>
      <c r="Q2534" s="101"/>
      <c r="R2534" s="101"/>
      <c r="S2534" s="110"/>
      <c r="T2534" s="102"/>
      <c r="U2534" s="101"/>
      <c r="V2534" s="103"/>
      <c r="W2534" s="101"/>
    </row>
    <row r="2535" spans="1:23" x14ac:dyDescent="0.25">
      <c r="A2535" s="98"/>
      <c r="H2535" s="101"/>
      <c r="I2535" s="101"/>
      <c r="J2535" s="101"/>
      <c r="K2535" s="101"/>
      <c r="L2535" s="101"/>
      <c r="M2535" s="101"/>
      <c r="N2535" s="101"/>
      <c r="O2535" s="101"/>
      <c r="P2535" s="101"/>
      <c r="Q2535" s="101"/>
      <c r="R2535" s="101"/>
      <c r="S2535" s="110"/>
      <c r="T2535" s="102"/>
      <c r="U2535" s="101"/>
      <c r="V2535" s="103"/>
      <c r="W2535" s="101"/>
    </row>
    <row r="2536" spans="1:23" x14ac:dyDescent="0.25">
      <c r="A2536" s="98"/>
      <c r="H2536" s="101"/>
      <c r="I2536" s="101"/>
      <c r="J2536" s="101"/>
      <c r="K2536" s="101"/>
      <c r="L2536" s="101"/>
      <c r="M2536" s="101"/>
      <c r="N2536" s="101"/>
      <c r="O2536" s="101"/>
      <c r="P2536" s="101"/>
      <c r="Q2536" s="101"/>
      <c r="R2536" s="101"/>
      <c r="S2536" s="110"/>
      <c r="T2536" s="102"/>
      <c r="U2536" s="101"/>
      <c r="V2536" s="103"/>
      <c r="W2536" s="101"/>
    </row>
    <row r="2537" spans="1:23" x14ac:dyDescent="0.25">
      <c r="A2537" s="98"/>
      <c r="H2537" s="101"/>
      <c r="I2537" s="101"/>
      <c r="J2537" s="101"/>
      <c r="K2537" s="101"/>
      <c r="L2537" s="101"/>
      <c r="M2537" s="101"/>
      <c r="N2537" s="101"/>
      <c r="O2537" s="101"/>
      <c r="P2537" s="101"/>
      <c r="Q2537" s="101"/>
      <c r="R2537" s="101"/>
      <c r="S2537" s="110"/>
      <c r="T2537" s="102"/>
      <c r="U2537" s="101"/>
      <c r="V2537" s="103"/>
      <c r="W2537" s="101"/>
    </row>
    <row r="2538" spans="1:23" x14ac:dyDescent="0.25">
      <c r="A2538" s="98"/>
      <c r="H2538" s="101"/>
      <c r="I2538" s="101"/>
      <c r="J2538" s="101"/>
      <c r="K2538" s="101"/>
      <c r="L2538" s="101"/>
      <c r="M2538" s="101"/>
      <c r="N2538" s="101"/>
      <c r="O2538" s="101"/>
      <c r="P2538" s="101"/>
      <c r="Q2538" s="101"/>
      <c r="R2538" s="101"/>
      <c r="S2538" s="110"/>
      <c r="T2538" s="102"/>
      <c r="U2538" s="101"/>
      <c r="V2538" s="103"/>
      <c r="W2538" s="101"/>
    </row>
    <row r="2539" spans="1:23" x14ac:dyDescent="0.25">
      <c r="A2539" s="98"/>
      <c r="H2539" s="101"/>
      <c r="I2539" s="101"/>
      <c r="J2539" s="101"/>
      <c r="K2539" s="101"/>
      <c r="L2539" s="101"/>
      <c r="M2539" s="101"/>
      <c r="N2539" s="101"/>
      <c r="O2539" s="101"/>
      <c r="P2539" s="101"/>
      <c r="Q2539" s="101"/>
      <c r="R2539" s="101"/>
      <c r="S2539" s="110"/>
      <c r="T2539" s="102"/>
      <c r="U2539" s="101"/>
      <c r="V2539" s="103"/>
      <c r="W2539" s="101"/>
    </row>
    <row r="2540" spans="1:23" x14ac:dyDescent="0.25">
      <c r="A2540" s="98"/>
      <c r="H2540" s="101"/>
      <c r="I2540" s="101"/>
      <c r="J2540" s="101"/>
      <c r="K2540" s="101"/>
      <c r="L2540" s="101"/>
      <c r="M2540" s="101"/>
      <c r="N2540" s="101"/>
      <c r="O2540" s="101"/>
      <c r="P2540" s="101"/>
      <c r="Q2540" s="101"/>
      <c r="R2540" s="101"/>
      <c r="S2540" s="110"/>
      <c r="T2540" s="102"/>
      <c r="U2540" s="101"/>
      <c r="V2540" s="103"/>
      <c r="W2540" s="101"/>
    </row>
    <row r="2541" spans="1:23" x14ac:dyDescent="0.25">
      <c r="A2541" s="98"/>
      <c r="H2541" s="101"/>
      <c r="I2541" s="101"/>
      <c r="J2541" s="101"/>
      <c r="K2541" s="101"/>
      <c r="L2541" s="101"/>
      <c r="M2541" s="101"/>
      <c r="N2541" s="101"/>
      <c r="O2541" s="101"/>
      <c r="P2541" s="101"/>
      <c r="Q2541" s="101"/>
      <c r="R2541" s="101"/>
      <c r="S2541" s="110"/>
      <c r="T2541" s="102"/>
      <c r="U2541" s="101"/>
      <c r="V2541" s="103"/>
      <c r="W2541" s="101"/>
    </row>
    <row r="2542" spans="1:23" x14ac:dyDescent="0.25">
      <c r="A2542" s="98"/>
      <c r="H2542" s="101"/>
      <c r="I2542" s="101"/>
      <c r="J2542" s="101"/>
      <c r="K2542" s="101"/>
      <c r="L2542" s="101"/>
      <c r="M2542" s="101"/>
      <c r="N2542" s="101"/>
      <c r="O2542" s="101"/>
      <c r="P2542" s="101"/>
      <c r="Q2542" s="101"/>
      <c r="R2542" s="101"/>
      <c r="S2542" s="110"/>
      <c r="T2542" s="102"/>
      <c r="U2542" s="101"/>
      <c r="V2542" s="103"/>
      <c r="W2542" s="101"/>
    </row>
    <row r="2543" spans="1:23" x14ac:dyDescent="0.25">
      <c r="A2543" s="98"/>
      <c r="H2543" s="101"/>
      <c r="I2543" s="101"/>
      <c r="J2543" s="101"/>
      <c r="K2543" s="101"/>
      <c r="L2543" s="101"/>
      <c r="M2543" s="101"/>
      <c r="N2543" s="101"/>
      <c r="O2543" s="101"/>
      <c r="P2543" s="101"/>
      <c r="Q2543" s="101"/>
      <c r="R2543" s="101"/>
      <c r="S2543" s="110"/>
      <c r="T2543" s="102"/>
      <c r="U2543" s="101"/>
      <c r="V2543" s="103"/>
      <c r="W2543" s="101"/>
    </row>
    <row r="2544" spans="1:23" x14ac:dyDescent="0.25">
      <c r="A2544" s="98"/>
      <c r="H2544" s="101"/>
      <c r="I2544" s="101"/>
      <c r="J2544" s="101"/>
      <c r="K2544" s="101"/>
      <c r="L2544" s="101"/>
      <c r="M2544" s="101"/>
      <c r="N2544" s="101"/>
      <c r="O2544" s="101"/>
      <c r="P2544" s="101"/>
      <c r="Q2544" s="101"/>
      <c r="R2544" s="101"/>
      <c r="S2544" s="110"/>
      <c r="T2544" s="102"/>
      <c r="U2544" s="101"/>
      <c r="V2544" s="103"/>
      <c r="W2544" s="101"/>
    </row>
    <row r="2545" spans="1:23" x14ac:dyDescent="0.25">
      <c r="A2545" s="98"/>
      <c r="H2545" s="101"/>
      <c r="I2545" s="101"/>
      <c r="J2545" s="101"/>
      <c r="K2545" s="101"/>
      <c r="L2545" s="101"/>
      <c r="M2545" s="101"/>
      <c r="N2545" s="101"/>
      <c r="O2545" s="101"/>
      <c r="P2545" s="101"/>
      <c r="Q2545" s="101"/>
      <c r="R2545" s="101"/>
      <c r="S2545" s="110"/>
      <c r="T2545" s="102"/>
      <c r="U2545" s="101"/>
      <c r="V2545" s="103"/>
      <c r="W2545" s="101"/>
    </row>
    <row r="2546" spans="1:23" x14ac:dyDescent="0.25">
      <c r="A2546" s="98"/>
      <c r="H2546" s="101"/>
      <c r="I2546" s="101"/>
      <c r="J2546" s="101"/>
      <c r="K2546" s="101"/>
      <c r="L2546" s="101"/>
      <c r="M2546" s="101"/>
      <c r="N2546" s="101"/>
      <c r="O2546" s="101"/>
      <c r="P2546" s="101"/>
      <c r="Q2546" s="101"/>
      <c r="R2546" s="101"/>
      <c r="S2546" s="110"/>
      <c r="T2546" s="102"/>
      <c r="U2546" s="101"/>
      <c r="V2546" s="103"/>
      <c r="W2546" s="101"/>
    </row>
    <row r="2547" spans="1:23" x14ac:dyDescent="0.25">
      <c r="A2547" s="98"/>
      <c r="H2547" s="101"/>
      <c r="I2547" s="101"/>
      <c r="J2547" s="101"/>
      <c r="K2547" s="101"/>
      <c r="L2547" s="101"/>
      <c r="M2547" s="101"/>
      <c r="N2547" s="101"/>
      <c r="O2547" s="101"/>
      <c r="P2547" s="101"/>
      <c r="Q2547" s="101"/>
      <c r="R2547" s="101"/>
      <c r="S2547" s="110"/>
      <c r="T2547" s="102"/>
      <c r="U2547" s="101"/>
      <c r="V2547" s="103"/>
      <c r="W2547" s="101"/>
    </row>
    <row r="2548" spans="1:23" x14ac:dyDescent="0.25">
      <c r="A2548" s="98"/>
      <c r="H2548" s="101"/>
      <c r="I2548" s="101"/>
      <c r="J2548" s="101"/>
      <c r="K2548" s="101"/>
      <c r="L2548" s="101"/>
      <c r="M2548" s="101"/>
      <c r="N2548" s="101"/>
      <c r="O2548" s="101"/>
      <c r="P2548" s="101"/>
      <c r="Q2548" s="101"/>
      <c r="R2548" s="101"/>
      <c r="S2548" s="110"/>
      <c r="T2548" s="102"/>
      <c r="U2548" s="101"/>
      <c r="V2548" s="103"/>
      <c r="W2548" s="101"/>
    </row>
    <row r="2549" spans="1:23" x14ac:dyDescent="0.25">
      <c r="A2549" s="98"/>
      <c r="H2549" s="101"/>
      <c r="I2549" s="101"/>
      <c r="J2549" s="101"/>
      <c r="K2549" s="101"/>
      <c r="L2549" s="101"/>
      <c r="M2549" s="101"/>
      <c r="N2549" s="101"/>
      <c r="O2549" s="101"/>
      <c r="P2549" s="101"/>
      <c r="Q2549" s="101"/>
      <c r="R2549" s="101"/>
      <c r="S2549" s="110"/>
      <c r="T2549" s="102"/>
      <c r="U2549" s="101"/>
      <c r="V2549" s="103"/>
      <c r="W2549" s="101"/>
    </row>
    <row r="2550" spans="1:23" x14ac:dyDescent="0.25">
      <c r="A2550" s="98"/>
      <c r="H2550" s="101"/>
      <c r="I2550" s="101"/>
      <c r="J2550" s="101"/>
      <c r="K2550" s="101"/>
      <c r="L2550" s="101"/>
      <c r="M2550" s="101"/>
      <c r="N2550" s="101"/>
      <c r="O2550" s="101"/>
      <c r="P2550" s="101"/>
      <c r="Q2550" s="101"/>
      <c r="R2550" s="101"/>
      <c r="S2550" s="110"/>
      <c r="T2550" s="102"/>
      <c r="U2550" s="101"/>
      <c r="V2550" s="103"/>
      <c r="W2550" s="101"/>
    </row>
    <row r="2551" spans="1:23" x14ac:dyDescent="0.25">
      <c r="A2551" s="98"/>
      <c r="H2551" s="101"/>
      <c r="I2551" s="101"/>
      <c r="J2551" s="101"/>
      <c r="K2551" s="101"/>
      <c r="L2551" s="101"/>
      <c r="M2551" s="101"/>
      <c r="N2551" s="101"/>
      <c r="O2551" s="101"/>
      <c r="P2551" s="101"/>
      <c r="Q2551" s="101"/>
      <c r="R2551" s="101"/>
      <c r="S2551" s="110"/>
      <c r="T2551" s="102"/>
      <c r="U2551" s="101"/>
      <c r="V2551" s="103"/>
      <c r="W2551" s="101"/>
    </row>
    <row r="2552" spans="1:23" x14ac:dyDescent="0.25">
      <c r="A2552" s="98"/>
      <c r="H2552" s="101"/>
      <c r="I2552" s="101"/>
      <c r="J2552" s="101"/>
      <c r="K2552" s="101"/>
      <c r="L2552" s="101"/>
      <c r="M2552" s="101"/>
      <c r="N2552" s="101"/>
      <c r="O2552" s="101"/>
      <c r="P2552" s="101"/>
      <c r="Q2552" s="101"/>
      <c r="R2552" s="101"/>
      <c r="S2552" s="110"/>
      <c r="T2552" s="102"/>
      <c r="U2552" s="101"/>
      <c r="V2552" s="103"/>
      <c r="W2552" s="101"/>
    </row>
    <row r="2553" spans="1:23" x14ac:dyDescent="0.25">
      <c r="A2553" s="98"/>
      <c r="H2553" s="101"/>
      <c r="I2553" s="101"/>
      <c r="J2553" s="101"/>
      <c r="K2553" s="101"/>
      <c r="L2553" s="101"/>
      <c r="M2553" s="101"/>
      <c r="N2553" s="101"/>
      <c r="O2553" s="101"/>
      <c r="P2553" s="101"/>
      <c r="Q2553" s="101"/>
      <c r="R2553" s="101"/>
      <c r="S2553" s="110"/>
      <c r="T2553" s="102"/>
      <c r="U2553" s="101"/>
      <c r="V2553" s="103"/>
      <c r="W2553" s="101"/>
    </row>
    <row r="2554" spans="1:23" x14ac:dyDescent="0.25">
      <c r="A2554" s="98"/>
      <c r="H2554" s="101"/>
      <c r="I2554" s="101"/>
      <c r="J2554" s="101"/>
      <c r="K2554" s="101"/>
      <c r="L2554" s="101"/>
      <c r="M2554" s="101"/>
      <c r="N2554" s="101"/>
      <c r="O2554" s="101"/>
      <c r="P2554" s="101"/>
      <c r="Q2554" s="101"/>
      <c r="R2554" s="101"/>
      <c r="S2554" s="110"/>
      <c r="T2554" s="102"/>
      <c r="U2554" s="101"/>
      <c r="V2554" s="103"/>
      <c r="W2554" s="101"/>
    </row>
    <row r="2555" spans="1:23" x14ac:dyDescent="0.25">
      <c r="A2555" s="98"/>
      <c r="H2555" s="101"/>
      <c r="I2555" s="101"/>
      <c r="J2555" s="101"/>
      <c r="K2555" s="101"/>
      <c r="L2555" s="101"/>
      <c r="M2555" s="101"/>
      <c r="N2555" s="101"/>
      <c r="O2555" s="101"/>
      <c r="P2555" s="101"/>
      <c r="Q2555" s="101"/>
      <c r="R2555" s="101"/>
      <c r="S2555" s="110"/>
      <c r="T2555" s="102"/>
      <c r="U2555" s="101"/>
      <c r="V2555" s="103"/>
      <c r="W2555" s="101"/>
    </row>
    <row r="2556" spans="1:23" x14ac:dyDescent="0.25">
      <c r="A2556" s="98"/>
      <c r="H2556" s="101"/>
      <c r="I2556" s="101"/>
      <c r="J2556" s="101"/>
      <c r="K2556" s="101"/>
      <c r="L2556" s="101"/>
      <c r="M2556" s="101"/>
      <c r="N2556" s="101"/>
      <c r="O2556" s="101"/>
      <c r="P2556" s="101"/>
      <c r="Q2556" s="101"/>
      <c r="R2556" s="101"/>
      <c r="S2556" s="110"/>
      <c r="T2556" s="102"/>
      <c r="U2556" s="101"/>
      <c r="V2556" s="103"/>
      <c r="W2556" s="101"/>
    </row>
    <row r="2557" spans="1:23" x14ac:dyDescent="0.25">
      <c r="A2557" s="98"/>
      <c r="H2557" s="101"/>
      <c r="I2557" s="101"/>
      <c r="J2557" s="101"/>
      <c r="K2557" s="101"/>
      <c r="L2557" s="101"/>
      <c r="M2557" s="101"/>
      <c r="N2557" s="101"/>
      <c r="O2557" s="101"/>
      <c r="P2557" s="101"/>
      <c r="Q2557" s="101"/>
      <c r="R2557" s="101"/>
      <c r="S2557" s="110"/>
      <c r="T2557" s="102"/>
      <c r="U2557" s="101"/>
      <c r="V2557" s="103"/>
      <c r="W2557" s="101"/>
    </row>
    <row r="2558" spans="1:23" x14ac:dyDescent="0.25">
      <c r="A2558" s="98"/>
      <c r="H2558" s="101"/>
      <c r="I2558" s="101"/>
      <c r="J2558" s="101"/>
      <c r="K2558" s="101"/>
      <c r="L2558" s="101"/>
      <c r="M2558" s="101"/>
      <c r="N2558" s="101"/>
      <c r="O2558" s="101"/>
      <c r="P2558" s="101"/>
      <c r="Q2558" s="101"/>
      <c r="R2558" s="101"/>
      <c r="S2558" s="110"/>
      <c r="T2558" s="102"/>
      <c r="U2558" s="101"/>
      <c r="V2558" s="103"/>
      <c r="W2558" s="101"/>
    </row>
    <row r="2559" spans="1:23" x14ac:dyDescent="0.25">
      <c r="A2559" s="98"/>
      <c r="H2559" s="101"/>
      <c r="I2559" s="101"/>
      <c r="J2559" s="101"/>
      <c r="K2559" s="101"/>
      <c r="L2559" s="101"/>
      <c r="M2559" s="101"/>
      <c r="N2559" s="101"/>
      <c r="O2559" s="101"/>
      <c r="P2559" s="101"/>
      <c r="Q2559" s="101"/>
      <c r="R2559" s="101"/>
      <c r="S2559" s="110"/>
      <c r="T2559" s="102"/>
      <c r="U2559" s="101"/>
      <c r="V2559" s="103"/>
      <c r="W2559" s="101"/>
    </row>
    <row r="2560" spans="1:23" x14ac:dyDescent="0.25">
      <c r="A2560" s="98"/>
      <c r="H2560" s="101"/>
      <c r="I2560" s="101"/>
      <c r="J2560" s="101"/>
      <c r="K2560" s="101"/>
      <c r="L2560" s="101"/>
      <c r="M2560" s="101"/>
      <c r="N2560" s="101"/>
      <c r="O2560" s="101"/>
      <c r="P2560" s="101"/>
      <c r="Q2560" s="101"/>
      <c r="R2560" s="101"/>
      <c r="S2560" s="110"/>
      <c r="T2560" s="102"/>
      <c r="U2560" s="101"/>
      <c r="V2560" s="103"/>
      <c r="W2560" s="101"/>
    </row>
    <row r="2561" spans="1:23" x14ac:dyDescent="0.25">
      <c r="A2561" s="98"/>
      <c r="H2561" s="101"/>
      <c r="I2561" s="101"/>
      <c r="J2561" s="101"/>
      <c r="K2561" s="101"/>
      <c r="L2561" s="101"/>
      <c r="M2561" s="101"/>
      <c r="N2561" s="101"/>
      <c r="O2561" s="101"/>
      <c r="P2561" s="101"/>
      <c r="Q2561" s="101"/>
      <c r="R2561" s="101"/>
      <c r="S2561" s="110"/>
      <c r="T2561" s="102"/>
      <c r="U2561" s="101"/>
      <c r="V2561" s="103"/>
      <c r="W2561" s="101"/>
    </row>
    <row r="2562" spans="1:23" x14ac:dyDescent="0.25">
      <c r="A2562" s="98"/>
      <c r="H2562" s="101"/>
      <c r="I2562" s="101"/>
      <c r="J2562" s="101"/>
      <c r="K2562" s="101"/>
      <c r="L2562" s="101"/>
      <c r="M2562" s="101"/>
      <c r="N2562" s="101"/>
      <c r="O2562" s="101"/>
      <c r="P2562" s="101"/>
      <c r="Q2562" s="101"/>
      <c r="R2562" s="101"/>
      <c r="S2562" s="110"/>
      <c r="T2562" s="102"/>
      <c r="U2562" s="101"/>
      <c r="V2562" s="103"/>
      <c r="W2562" s="101"/>
    </row>
    <row r="2563" spans="1:23" x14ac:dyDescent="0.25">
      <c r="A2563" s="98"/>
      <c r="H2563" s="101"/>
      <c r="I2563" s="101"/>
      <c r="J2563" s="101"/>
      <c r="K2563" s="101"/>
      <c r="L2563" s="101"/>
      <c r="M2563" s="101"/>
      <c r="N2563" s="101"/>
      <c r="O2563" s="101"/>
      <c r="P2563" s="101"/>
      <c r="Q2563" s="101"/>
      <c r="R2563" s="101"/>
      <c r="S2563" s="110"/>
      <c r="T2563" s="102"/>
      <c r="U2563" s="101"/>
      <c r="V2563" s="103"/>
      <c r="W2563" s="101"/>
    </row>
    <row r="2564" spans="1:23" x14ac:dyDescent="0.25">
      <c r="A2564" s="98"/>
      <c r="H2564" s="101"/>
      <c r="I2564" s="101"/>
      <c r="J2564" s="101"/>
      <c r="K2564" s="101"/>
      <c r="L2564" s="101"/>
      <c r="M2564" s="101"/>
      <c r="N2564" s="101"/>
      <c r="O2564" s="101"/>
      <c r="P2564" s="101"/>
      <c r="Q2564" s="101"/>
      <c r="R2564" s="101"/>
      <c r="S2564" s="110"/>
      <c r="T2564" s="102"/>
      <c r="U2564" s="101"/>
      <c r="V2564" s="103"/>
      <c r="W2564" s="101"/>
    </row>
    <row r="2565" spans="1:23" x14ac:dyDescent="0.25">
      <c r="A2565" s="98"/>
      <c r="H2565" s="101"/>
      <c r="I2565" s="101"/>
      <c r="J2565" s="101"/>
      <c r="K2565" s="101"/>
      <c r="L2565" s="101"/>
      <c r="M2565" s="101"/>
      <c r="N2565" s="101"/>
      <c r="O2565" s="101"/>
      <c r="P2565" s="101"/>
      <c r="Q2565" s="101"/>
      <c r="R2565" s="101"/>
      <c r="S2565" s="110"/>
      <c r="T2565" s="102"/>
      <c r="U2565" s="101"/>
      <c r="V2565" s="103"/>
      <c r="W2565" s="101"/>
    </row>
    <row r="2566" spans="1:23" x14ac:dyDescent="0.25">
      <c r="A2566" s="98"/>
      <c r="H2566" s="101"/>
      <c r="I2566" s="101"/>
      <c r="J2566" s="101"/>
      <c r="K2566" s="101"/>
      <c r="L2566" s="101"/>
      <c r="M2566" s="101"/>
      <c r="N2566" s="101"/>
      <c r="O2566" s="101"/>
      <c r="P2566" s="101"/>
      <c r="Q2566" s="101"/>
      <c r="R2566" s="101"/>
      <c r="S2566" s="110"/>
      <c r="T2566" s="102"/>
      <c r="U2566" s="101"/>
      <c r="V2566" s="103"/>
      <c r="W2566" s="101"/>
    </row>
    <row r="2567" spans="1:23" x14ac:dyDescent="0.25">
      <c r="A2567" s="98"/>
      <c r="H2567" s="101"/>
      <c r="I2567" s="101"/>
      <c r="J2567" s="101"/>
      <c r="K2567" s="101"/>
      <c r="L2567" s="101"/>
      <c r="M2567" s="101"/>
      <c r="N2567" s="101"/>
      <c r="O2567" s="101"/>
      <c r="P2567" s="101"/>
      <c r="Q2567" s="101"/>
      <c r="R2567" s="101"/>
      <c r="S2567" s="110"/>
      <c r="T2567" s="102"/>
      <c r="U2567" s="101"/>
      <c r="V2567" s="103"/>
      <c r="W2567" s="101"/>
    </row>
    <row r="2568" spans="1:23" x14ac:dyDescent="0.25">
      <c r="A2568" s="98"/>
      <c r="H2568" s="101"/>
      <c r="I2568" s="101"/>
      <c r="J2568" s="101"/>
      <c r="K2568" s="101"/>
      <c r="L2568" s="101"/>
      <c r="M2568" s="101"/>
      <c r="N2568" s="101"/>
      <c r="O2568" s="101"/>
      <c r="P2568" s="101"/>
      <c r="Q2568" s="101"/>
      <c r="R2568" s="101"/>
      <c r="S2568" s="110"/>
      <c r="T2568" s="102"/>
      <c r="U2568" s="101"/>
      <c r="V2568" s="103"/>
      <c r="W2568" s="101"/>
    </row>
    <row r="2569" spans="1:23" x14ac:dyDescent="0.25">
      <c r="A2569" s="98"/>
      <c r="H2569" s="101"/>
      <c r="I2569" s="101"/>
      <c r="J2569" s="101"/>
      <c r="K2569" s="101"/>
      <c r="L2569" s="101"/>
      <c r="M2569" s="101"/>
      <c r="N2569" s="101"/>
      <c r="O2569" s="101"/>
      <c r="P2569" s="101"/>
      <c r="Q2569" s="101"/>
      <c r="R2569" s="101"/>
      <c r="S2569" s="110"/>
      <c r="T2569" s="102"/>
      <c r="U2569" s="101"/>
      <c r="V2569" s="103"/>
      <c r="W2569" s="101"/>
    </row>
    <row r="2570" spans="1:23" x14ac:dyDescent="0.25">
      <c r="A2570" s="98"/>
      <c r="H2570" s="101"/>
      <c r="I2570" s="101"/>
      <c r="J2570" s="101"/>
      <c r="K2570" s="101"/>
      <c r="L2570" s="101"/>
      <c r="M2570" s="101"/>
      <c r="N2570" s="101"/>
      <c r="O2570" s="101"/>
      <c r="P2570" s="101"/>
      <c r="Q2570" s="101"/>
      <c r="R2570" s="101"/>
      <c r="S2570" s="110"/>
      <c r="T2570" s="102"/>
      <c r="U2570" s="101"/>
      <c r="V2570" s="103"/>
      <c r="W2570" s="101"/>
    </row>
    <row r="2571" spans="1:23" x14ac:dyDescent="0.25">
      <c r="A2571" s="98"/>
      <c r="H2571" s="101"/>
      <c r="I2571" s="101"/>
      <c r="J2571" s="101"/>
      <c r="K2571" s="101"/>
      <c r="L2571" s="101"/>
      <c r="M2571" s="101"/>
      <c r="N2571" s="101"/>
      <c r="O2571" s="101"/>
      <c r="P2571" s="101"/>
      <c r="Q2571" s="101"/>
      <c r="R2571" s="101"/>
      <c r="S2571" s="110"/>
      <c r="T2571" s="102"/>
      <c r="U2571" s="101"/>
      <c r="V2571" s="103"/>
      <c r="W2571" s="101"/>
    </row>
    <row r="2572" spans="1:23" x14ac:dyDescent="0.25">
      <c r="A2572" s="98"/>
      <c r="H2572" s="101"/>
      <c r="I2572" s="101"/>
      <c r="J2572" s="101"/>
      <c r="K2572" s="101"/>
      <c r="L2572" s="101"/>
      <c r="M2572" s="101"/>
      <c r="N2572" s="101"/>
      <c r="O2572" s="101"/>
      <c r="P2572" s="101"/>
      <c r="Q2572" s="101"/>
      <c r="R2572" s="101"/>
      <c r="S2572" s="110"/>
      <c r="T2572" s="102"/>
      <c r="U2572" s="101"/>
      <c r="V2572" s="103"/>
      <c r="W2572" s="101"/>
    </row>
    <row r="2573" spans="1:23" x14ac:dyDescent="0.25">
      <c r="A2573" s="98"/>
      <c r="H2573" s="101"/>
      <c r="I2573" s="101"/>
      <c r="J2573" s="101"/>
      <c r="K2573" s="101"/>
      <c r="L2573" s="101"/>
      <c r="M2573" s="101"/>
      <c r="N2573" s="101"/>
      <c r="O2573" s="101"/>
      <c r="P2573" s="101"/>
      <c r="Q2573" s="101"/>
      <c r="R2573" s="101"/>
      <c r="S2573" s="110"/>
      <c r="T2573" s="102"/>
      <c r="U2573" s="101"/>
      <c r="V2573" s="103"/>
      <c r="W2573" s="101"/>
    </row>
    <row r="2574" spans="1:23" x14ac:dyDescent="0.25">
      <c r="A2574" s="98"/>
      <c r="H2574" s="101"/>
      <c r="I2574" s="101"/>
      <c r="J2574" s="101"/>
      <c r="K2574" s="101"/>
      <c r="L2574" s="101"/>
      <c r="M2574" s="101"/>
      <c r="N2574" s="101"/>
      <c r="O2574" s="101"/>
      <c r="P2574" s="101"/>
      <c r="Q2574" s="101"/>
      <c r="R2574" s="101"/>
      <c r="S2574" s="110"/>
      <c r="T2574" s="102"/>
      <c r="U2574" s="101"/>
      <c r="V2574" s="103"/>
      <c r="W2574" s="101"/>
    </row>
    <row r="2575" spans="1:23" x14ac:dyDescent="0.25">
      <c r="A2575" s="98"/>
      <c r="H2575" s="101"/>
      <c r="I2575" s="101"/>
      <c r="J2575" s="101"/>
      <c r="K2575" s="101"/>
      <c r="L2575" s="101"/>
      <c r="M2575" s="101"/>
      <c r="N2575" s="101"/>
      <c r="O2575" s="101"/>
      <c r="P2575" s="101"/>
      <c r="Q2575" s="101"/>
      <c r="R2575" s="101"/>
      <c r="S2575" s="110"/>
      <c r="T2575" s="102"/>
      <c r="U2575" s="101"/>
      <c r="V2575" s="103"/>
      <c r="W2575" s="101"/>
    </row>
    <row r="2576" spans="1:23" x14ac:dyDescent="0.25">
      <c r="A2576" s="98"/>
      <c r="H2576" s="101"/>
      <c r="I2576" s="101"/>
      <c r="J2576" s="101"/>
      <c r="K2576" s="101"/>
      <c r="L2576" s="101"/>
      <c r="M2576" s="101"/>
      <c r="N2576" s="101"/>
      <c r="O2576" s="101"/>
      <c r="P2576" s="101"/>
      <c r="Q2576" s="101"/>
      <c r="R2576" s="101"/>
      <c r="S2576" s="110"/>
      <c r="T2576" s="102"/>
      <c r="U2576" s="101"/>
      <c r="V2576" s="103"/>
      <c r="W2576" s="101"/>
    </row>
    <row r="2577" spans="1:23" x14ac:dyDescent="0.25">
      <c r="A2577" s="98"/>
      <c r="H2577" s="101"/>
      <c r="I2577" s="101"/>
      <c r="J2577" s="101"/>
      <c r="K2577" s="101"/>
      <c r="L2577" s="101"/>
      <c r="M2577" s="101"/>
      <c r="N2577" s="101"/>
      <c r="O2577" s="101"/>
      <c r="P2577" s="101"/>
      <c r="Q2577" s="101"/>
      <c r="R2577" s="101"/>
      <c r="S2577" s="110"/>
      <c r="T2577" s="102"/>
      <c r="U2577" s="101"/>
      <c r="V2577" s="103"/>
      <c r="W2577" s="101"/>
    </row>
    <row r="2578" spans="1:23" x14ac:dyDescent="0.25">
      <c r="A2578" s="98"/>
      <c r="H2578" s="101"/>
      <c r="I2578" s="101"/>
      <c r="J2578" s="101"/>
      <c r="K2578" s="101"/>
      <c r="L2578" s="101"/>
      <c r="M2578" s="101"/>
      <c r="N2578" s="101"/>
      <c r="O2578" s="101"/>
      <c r="P2578" s="101"/>
      <c r="Q2578" s="101"/>
      <c r="R2578" s="101"/>
      <c r="S2578" s="110"/>
      <c r="T2578" s="102"/>
      <c r="U2578" s="101"/>
      <c r="V2578" s="103"/>
      <c r="W2578" s="101"/>
    </row>
    <row r="2579" spans="1:23" x14ac:dyDescent="0.25">
      <c r="A2579" s="98"/>
      <c r="H2579" s="101"/>
      <c r="I2579" s="101"/>
      <c r="J2579" s="101"/>
      <c r="K2579" s="101"/>
      <c r="L2579" s="101"/>
      <c r="M2579" s="101"/>
      <c r="N2579" s="101"/>
      <c r="O2579" s="101"/>
      <c r="P2579" s="101"/>
      <c r="Q2579" s="101"/>
      <c r="R2579" s="101"/>
      <c r="S2579" s="110"/>
      <c r="T2579" s="102"/>
      <c r="U2579" s="101"/>
      <c r="V2579" s="103"/>
      <c r="W2579" s="101"/>
    </row>
    <row r="2580" spans="1:23" x14ac:dyDescent="0.25">
      <c r="A2580" s="98"/>
      <c r="H2580" s="101"/>
      <c r="I2580" s="101"/>
      <c r="J2580" s="101"/>
      <c r="K2580" s="101"/>
      <c r="L2580" s="101"/>
      <c r="M2580" s="101"/>
      <c r="N2580" s="101"/>
      <c r="O2580" s="101"/>
      <c r="P2580" s="101"/>
      <c r="Q2580" s="101"/>
      <c r="R2580" s="101"/>
      <c r="S2580" s="110"/>
      <c r="T2580" s="102"/>
      <c r="U2580" s="101"/>
      <c r="V2580" s="103"/>
      <c r="W2580" s="101"/>
    </row>
    <row r="2581" spans="1:23" x14ac:dyDescent="0.25">
      <c r="A2581" s="98"/>
      <c r="H2581" s="101"/>
      <c r="I2581" s="101"/>
      <c r="J2581" s="101"/>
      <c r="K2581" s="101"/>
      <c r="L2581" s="101"/>
      <c r="M2581" s="101"/>
      <c r="N2581" s="101"/>
      <c r="O2581" s="101"/>
      <c r="P2581" s="101"/>
      <c r="Q2581" s="101"/>
      <c r="R2581" s="101"/>
      <c r="S2581" s="110"/>
      <c r="T2581" s="102"/>
      <c r="U2581" s="101"/>
      <c r="V2581" s="103"/>
      <c r="W2581" s="101"/>
    </row>
    <row r="2582" spans="1:23" x14ac:dyDescent="0.25">
      <c r="A2582" s="98"/>
      <c r="H2582" s="101"/>
      <c r="I2582" s="101"/>
      <c r="J2582" s="101"/>
      <c r="K2582" s="101"/>
      <c r="L2582" s="101"/>
      <c r="M2582" s="101"/>
      <c r="N2582" s="101"/>
      <c r="O2582" s="101"/>
      <c r="P2582" s="101"/>
      <c r="Q2582" s="101"/>
      <c r="R2582" s="101"/>
      <c r="S2582" s="110"/>
      <c r="T2582" s="102"/>
      <c r="U2582" s="101"/>
      <c r="V2582" s="103"/>
      <c r="W2582" s="101"/>
    </row>
    <row r="2583" spans="1:23" x14ac:dyDescent="0.25">
      <c r="A2583" s="98"/>
      <c r="H2583" s="101"/>
      <c r="I2583" s="101"/>
      <c r="J2583" s="101"/>
      <c r="K2583" s="101"/>
      <c r="L2583" s="101"/>
      <c r="M2583" s="101"/>
      <c r="N2583" s="101"/>
      <c r="O2583" s="101"/>
      <c r="P2583" s="101"/>
      <c r="Q2583" s="101"/>
      <c r="R2583" s="101"/>
      <c r="S2583" s="110"/>
      <c r="T2583" s="102"/>
      <c r="U2583" s="101"/>
      <c r="V2583" s="103"/>
      <c r="W2583" s="101"/>
    </row>
    <row r="2584" spans="1:23" x14ac:dyDescent="0.25">
      <c r="A2584" s="98"/>
      <c r="H2584" s="101"/>
      <c r="I2584" s="101"/>
      <c r="J2584" s="101"/>
      <c r="K2584" s="101"/>
      <c r="L2584" s="101"/>
      <c r="M2584" s="101"/>
      <c r="N2584" s="101"/>
      <c r="O2584" s="101"/>
      <c r="P2584" s="101"/>
      <c r="Q2584" s="101"/>
      <c r="R2584" s="101"/>
      <c r="S2584" s="110"/>
      <c r="T2584" s="102"/>
      <c r="U2584" s="101"/>
      <c r="V2584" s="103"/>
      <c r="W2584" s="101"/>
    </row>
    <row r="2585" spans="1:23" x14ac:dyDescent="0.25">
      <c r="A2585" s="98"/>
      <c r="H2585" s="101"/>
      <c r="I2585" s="101"/>
      <c r="J2585" s="101"/>
      <c r="K2585" s="101"/>
      <c r="L2585" s="101"/>
      <c r="M2585" s="101"/>
      <c r="N2585" s="101"/>
      <c r="O2585" s="101"/>
      <c r="P2585" s="101"/>
      <c r="Q2585" s="101"/>
      <c r="R2585" s="101"/>
      <c r="S2585" s="110"/>
      <c r="T2585" s="102"/>
      <c r="U2585" s="101"/>
      <c r="V2585" s="103"/>
      <c r="W2585" s="101"/>
    </row>
    <row r="2586" spans="1:23" x14ac:dyDescent="0.25">
      <c r="A2586" s="98"/>
      <c r="H2586" s="101"/>
      <c r="I2586" s="101"/>
      <c r="J2586" s="101"/>
      <c r="K2586" s="101"/>
      <c r="L2586" s="101"/>
      <c r="M2586" s="101"/>
      <c r="N2586" s="101"/>
      <c r="O2586" s="101"/>
      <c r="P2586" s="101"/>
      <c r="Q2586" s="101"/>
      <c r="R2586" s="101"/>
      <c r="S2586" s="110"/>
      <c r="T2586" s="102"/>
      <c r="U2586" s="101"/>
      <c r="V2586" s="103"/>
      <c r="W2586" s="101"/>
    </row>
    <row r="2587" spans="1:23" x14ac:dyDescent="0.25">
      <c r="A2587" s="98"/>
      <c r="H2587" s="101"/>
      <c r="I2587" s="101"/>
      <c r="J2587" s="101"/>
      <c r="K2587" s="101"/>
      <c r="L2587" s="101"/>
      <c r="M2587" s="101"/>
      <c r="N2587" s="101"/>
      <c r="O2587" s="101"/>
      <c r="P2587" s="101"/>
      <c r="Q2587" s="101"/>
      <c r="R2587" s="101"/>
      <c r="S2587" s="110"/>
      <c r="T2587" s="102"/>
      <c r="U2587" s="101"/>
      <c r="V2587" s="103"/>
      <c r="W2587" s="101"/>
    </row>
    <row r="2588" spans="1:23" x14ac:dyDescent="0.25">
      <c r="A2588" s="98"/>
      <c r="H2588" s="101"/>
      <c r="I2588" s="101"/>
      <c r="J2588" s="101"/>
      <c r="K2588" s="101"/>
      <c r="L2588" s="101"/>
      <c r="M2588" s="101"/>
      <c r="N2588" s="101"/>
      <c r="O2588" s="101"/>
      <c r="P2588" s="101"/>
      <c r="Q2588" s="101"/>
      <c r="R2588" s="101"/>
      <c r="S2588" s="110"/>
      <c r="T2588" s="102"/>
      <c r="U2588" s="101"/>
      <c r="V2588" s="103"/>
      <c r="W2588" s="101"/>
    </row>
    <row r="2589" spans="1:23" x14ac:dyDescent="0.25">
      <c r="A2589" s="98"/>
      <c r="H2589" s="101"/>
      <c r="I2589" s="101"/>
      <c r="J2589" s="101"/>
      <c r="K2589" s="101"/>
      <c r="L2589" s="101"/>
      <c r="M2589" s="101"/>
      <c r="N2589" s="101"/>
      <c r="O2589" s="101"/>
      <c r="P2589" s="101"/>
      <c r="Q2589" s="101"/>
      <c r="R2589" s="101"/>
      <c r="S2589" s="110"/>
      <c r="T2589" s="102"/>
      <c r="U2589" s="101"/>
      <c r="V2589" s="103"/>
      <c r="W2589" s="101"/>
    </row>
    <row r="2590" spans="1:23" x14ac:dyDescent="0.25">
      <c r="A2590" s="98"/>
      <c r="H2590" s="101"/>
      <c r="I2590" s="101"/>
      <c r="J2590" s="101"/>
      <c r="K2590" s="101"/>
      <c r="L2590" s="101"/>
      <c r="M2590" s="101"/>
      <c r="N2590" s="101"/>
      <c r="O2590" s="101"/>
      <c r="P2590" s="101"/>
      <c r="Q2590" s="101"/>
      <c r="R2590" s="101"/>
      <c r="S2590" s="110"/>
      <c r="T2590" s="102"/>
      <c r="U2590" s="101"/>
      <c r="V2590" s="103"/>
      <c r="W2590" s="101"/>
    </row>
    <row r="2591" spans="1:23" x14ac:dyDescent="0.25">
      <c r="A2591" s="98"/>
      <c r="H2591" s="101"/>
      <c r="I2591" s="101"/>
      <c r="J2591" s="101"/>
      <c r="K2591" s="101"/>
      <c r="L2591" s="101"/>
      <c r="M2591" s="101"/>
      <c r="N2591" s="101"/>
      <c r="O2591" s="101"/>
      <c r="P2591" s="101"/>
      <c r="Q2591" s="101"/>
      <c r="R2591" s="101"/>
      <c r="S2591" s="110"/>
      <c r="T2591" s="102"/>
      <c r="U2591" s="101"/>
      <c r="V2591" s="103"/>
      <c r="W2591" s="101"/>
    </row>
    <row r="2592" spans="1:23" x14ac:dyDescent="0.25">
      <c r="A2592" s="98"/>
      <c r="H2592" s="101"/>
      <c r="I2592" s="101"/>
      <c r="J2592" s="101"/>
      <c r="K2592" s="101"/>
      <c r="L2592" s="101"/>
      <c r="M2592" s="101"/>
      <c r="N2592" s="101"/>
      <c r="O2592" s="101"/>
      <c r="P2592" s="101"/>
      <c r="Q2592" s="101"/>
      <c r="R2592" s="101"/>
      <c r="S2592" s="110"/>
      <c r="T2592" s="102"/>
      <c r="U2592" s="101"/>
      <c r="V2592" s="103"/>
      <c r="W2592" s="101"/>
    </row>
    <row r="2593" spans="1:23" x14ac:dyDescent="0.25">
      <c r="A2593" s="98"/>
      <c r="H2593" s="101"/>
      <c r="I2593" s="101"/>
      <c r="J2593" s="101"/>
      <c r="K2593" s="101"/>
      <c r="L2593" s="101"/>
      <c r="M2593" s="101"/>
      <c r="N2593" s="101"/>
      <c r="O2593" s="101"/>
      <c r="P2593" s="101"/>
      <c r="Q2593" s="101"/>
      <c r="R2593" s="101"/>
      <c r="S2593" s="110"/>
      <c r="T2593" s="102"/>
      <c r="U2593" s="101"/>
      <c r="V2593" s="103"/>
      <c r="W2593" s="101"/>
    </row>
    <row r="2594" spans="1:23" x14ac:dyDescent="0.25">
      <c r="A2594" s="98"/>
      <c r="H2594" s="101"/>
      <c r="I2594" s="101"/>
      <c r="J2594" s="101"/>
      <c r="K2594" s="101"/>
      <c r="L2594" s="101"/>
      <c r="M2594" s="101"/>
      <c r="N2594" s="101"/>
      <c r="O2594" s="101"/>
      <c r="P2594" s="101"/>
      <c r="Q2594" s="101"/>
      <c r="R2594" s="101"/>
      <c r="S2594" s="110"/>
      <c r="T2594" s="102"/>
      <c r="U2594" s="101"/>
      <c r="V2594" s="103"/>
      <c r="W2594" s="101"/>
    </row>
    <row r="2595" spans="1:23" x14ac:dyDescent="0.25">
      <c r="A2595" s="98"/>
      <c r="H2595" s="101"/>
      <c r="I2595" s="101"/>
      <c r="J2595" s="101"/>
      <c r="K2595" s="101"/>
      <c r="L2595" s="101"/>
      <c r="M2595" s="101"/>
      <c r="N2595" s="101"/>
      <c r="O2595" s="101"/>
      <c r="P2595" s="101"/>
      <c r="Q2595" s="101"/>
      <c r="R2595" s="101"/>
      <c r="S2595" s="110"/>
      <c r="T2595" s="102"/>
      <c r="U2595" s="101"/>
      <c r="V2595" s="103"/>
      <c r="W2595" s="101"/>
    </row>
    <row r="2596" spans="1:23" x14ac:dyDescent="0.25">
      <c r="A2596" s="98"/>
      <c r="H2596" s="101"/>
      <c r="I2596" s="101"/>
      <c r="J2596" s="101"/>
      <c r="K2596" s="101"/>
      <c r="L2596" s="101"/>
      <c r="M2596" s="101"/>
      <c r="N2596" s="101"/>
      <c r="O2596" s="101"/>
      <c r="P2596" s="101"/>
      <c r="Q2596" s="101"/>
      <c r="R2596" s="101"/>
      <c r="S2596" s="110"/>
      <c r="T2596" s="102"/>
      <c r="U2596" s="101"/>
      <c r="V2596" s="103"/>
      <c r="W2596" s="101"/>
    </row>
    <row r="2597" spans="1:23" x14ac:dyDescent="0.25">
      <c r="A2597" s="98"/>
      <c r="H2597" s="101"/>
      <c r="I2597" s="101"/>
      <c r="J2597" s="101"/>
      <c r="K2597" s="101"/>
      <c r="L2597" s="101"/>
      <c r="M2597" s="101"/>
      <c r="N2597" s="101"/>
      <c r="O2597" s="101"/>
      <c r="P2597" s="101"/>
      <c r="Q2597" s="101"/>
      <c r="R2597" s="101"/>
      <c r="S2597" s="110"/>
      <c r="T2597" s="102"/>
      <c r="U2597" s="101"/>
      <c r="V2597" s="103"/>
      <c r="W2597" s="101"/>
    </row>
    <row r="2598" spans="1:23" x14ac:dyDescent="0.25">
      <c r="A2598" s="98"/>
      <c r="H2598" s="101"/>
      <c r="I2598" s="101"/>
      <c r="J2598" s="101"/>
      <c r="K2598" s="101"/>
      <c r="L2598" s="101"/>
      <c r="M2598" s="101"/>
      <c r="N2598" s="101"/>
      <c r="O2598" s="101"/>
      <c r="P2598" s="101"/>
      <c r="Q2598" s="101"/>
      <c r="R2598" s="101"/>
      <c r="S2598" s="110"/>
      <c r="T2598" s="102"/>
      <c r="U2598" s="101"/>
      <c r="V2598" s="103"/>
      <c r="W2598" s="101"/>
    </row>
    <row r="2599" spans="1:23" x14ac:dyDescent="0.25">
      <c r="A2599" s="98"/>
      <c r="H2599" s="101"/>
      <c r="I2599" s="101"/>
      <c r="J2599" s="101"/>
      <c r="K2599" s="101"/>
      <c r="L2599" s="101"/>
      <c r="M2599" s="101"/>
      <c r="N2599" s="101"/>
      <c r="O2599" s="101"/>
      <c r="P2599" s="101"/>
      <c r="Q2599" s="101"/>
      <c r="R2599" s="101"/>
      <c r="S2599" s="110"/>
      <c r="T2599" s="102"/>
      <c r="U2599" s="101"/>
      <c r="V2599" s="103"/>
      <c r="W2599" s="101"/>
    </row>
    <row r="2600" spans="1:23" x14ac:dyDescent="0.25">
      <c r="A2600" s="98"/>
      <c r="H2600" s="101"/>
      <c r="I2600" s="101"/>
      <c r="J2600" s="101"/>
      <c r="K2600" s="101"/>
      <c r="L2600" s="101"/>
      <c r="M2600" s="101"/>
      <c r="N2600" s="101"/>
      <c r="O2600" s="101"/>
      <c r="P2600" s="101"/>
      <c r="Q2600" s="101"/>
      <c r="R2600" s="101"/>
      <c r="S2600" s="110"/>
      <c r="T2600" s="102"/>
      <c r="U2600" s="101"/>
      <c r="V2600" s="103"/>
      <c r="W2600" s="101"/>
    </row>
    <row r="2601" spans="1:23" x14ac:dyDescent="0.25">
      <c r="A2601" s="98"/>
      <c r="H2601" s="101"/>
      <c r="I2601" s="101"/>
      <c r="J2601" s="101"/>
      <c r="K2601" s="101"/>
      <c r="L2601" s="101"/>
      <c r="M2601" s="101"/>
      <c r="N2601" s="101"/>
      <c r="O2601" s="101"/>
      <c r="P2601" s="101"/>
      <c r="Q2601" s="101"/>
      <c r="R2601" s="101"/>
      <c r="S2601" s="110"/>
      <c r="T2601" s="102"/>
      <c r="U2601" s="101"/>
      <c r="V2601" s="103"/>
      <c r="W2601" s="101"/>
    </row>
    <row r="2602" spans="1:23" x14ac:dyDescent="0.25">
      <c r="A2602" s="98"/>
      <c r="H2602" s="101"/>
      <c r="I2602" s="101"/>
      <c r="J2602" s="101"/>
      <c r="K2602" s="101"/>
      <c r="L2602" s="101"/>
      <c r="M2602" s="101"/>
      <c r="N2602" s="101"/>
      <c r="O2602" s="101"/>
      <c r="P2602" s="101"/>
      <c r="Q2602" s="101"/>
      <c r="R2602" s="101"/>
      <c r="S2602" s="110"/>
      <c r="T2602" s="102"/>
      <c r="U2602" s="101"/>
      <c r="V2602" s="103"/>
      <c r="W2602" s="101"/>
    </row>
    <row r="2603" spans="1:23" x14ac:dyDescent="0.25">
      <c r="A2603" s="98"/>
      <c r="H2603" s="101"/>
      <c r="I2603" s="101"/>
      <c r="J2603" s="101"/>
      <c r="K2603" s="101"/>
      <c r="L2603" s="101"/>
      <c r="M2603" s="101"/>
      <c r="N2603" s="101"/>
      <c r="O2603" s="101"/>
      <c r="P2603" s="101"/>
      <c r="Q2603" s="101"/>
      <c r="R2603" s="101"/>
      <c r="S2603" s="110"/>
      <c r="T2603" s="102"/>
      <c r="U2603" s="101"/>
      <c r="V2603" s="103"/>
      <c r="W2603" s="101"/>
    </row>
    <row r="2604" spans="1:23" x14ac:dyDescent="0.25">
      <c r="A2604" s="98"/>
      <c r="H2604" s="101"/>
      <c r="I2604" s="101"/>
      <c r="J2604" s="101"/>
      <c r="K2604" s="101"/>
      <c r="L2604" s="101"/>
      <c r="M2604" s="101"/>
      <c r="N2604" s="101"/>
      <c r="O2604" s="101"/>
      <c r="P2604" s="101"/>
      <c r="Q2604" s="101"/>
      <c r="R2604" s="101"/>
      <c r="S2604" s="110"/>
      <c r="T2604" s="102"/>
      <c r="U2604" s="101"/>
      <c r="V2604" s="103"/>
      <c r="W2604" s="101"/>
    </row>
    <row r="2605" spans="1:23" x14ac:dyDescent="0.25">
      <c r="A2605" s="98"/>
      <c r="H2605" s="101"/>
      <c r="I2605" s="101"/>
      <c r="J2605" s="101"/>
      <c r="K2605" s="101"/>
      <c r="L2605" s="101"/>
      <c r="M2605" s="101"/>
      <c r="N2605" s="101"/>
      <c r="O2605" s="101"/>
      <c r="P2605" s="101"/>
      <c r="Q2605" s="101"/>
      <c r="R2605" s="101"/>
      <c r="S2605" s="110"/>
      <c r="T2605" s="102"/>
      <c r="U2605" s="101"/>
      <c r="V2605" s="103"/>
      <c r="W2605" s="101"/>
    </row>
    <row r="2606" spans="1:23" x14ac:dyDescent="0.25">
      <c r="A2606" s="98"/>
      <c r="H2606" s="101"/>
      <c r="I2606" s="101"/>
      <c r="J2606" s="101"/>
      <c r="K2606" s="101"/>
      <c r="L2606" s="101"/>
      <c r="M2606" s="101"/>
      <c r="N2606" s="101"/>
      <c r="O2606" s="101"/>
      <c r="P2606" s="101"/>
      <c r="Q2606" s="101"/>
      <c r="R2606" s="101"/>
      <c r="S2606" s="110"/>
      <c r="T2606" s="102"/>
      <c r="U2606" s="101"/>
      <c r="V2606" s="103"/>
      <c r="W2606" s="101"/>
    </row>
    <row r="2607" spans="1:23" x14ac:dyDescent="0.25">
      <c r="A2607" s="98"/>
      <c r="H2607" s="101"/>
      <c r="I2607" s="101"/>
      <c r="J2607" s="101"/>
      <c r="K2607" s="101"/>
      <c r="L2607" s="101"/>
      <c r="M2607" s="101"/>
      <c r="N2607" s="101"/>
      <c r="O2607" s="101"/>
      <c r="P2607" s="101"/>
      <c r="Q2607" s="101"/>
      <c r="R2607" s="101"/>
      <c r="S2607" s="110"/>
      <c r="T2607" s="102"/>
      <c r="U2607" s="101"/>
      <c r="V2607" s="103"/>
      <c r="W2607" s="101"/>
    </row>
    <row r="2608" spans="1:23" x14ac:dyDescent="0.25">
      <c r="A2608" s="98"/>
      <c r="H2608" s="101"/>
      <c r="I2608" s="101"/>
      <c r="J2608" s="101"/>
      <c r="K2608" s="101"/>
      <c r="L2608" s="101"/>
      <c r="M2608" s="101"/>
      <c r="N2608" s="101"/>
      <c r="O2608" s="101"/>
      <c r="P2608" s="101"/>
      <c r="Q2608" s="101"/>
      <c r="R2608" s="101"/>
      <c r="S2608" s="110"/>
      <c r="T2608" s="102"/>
      <c r="U2608" s="101"/>
      <c r="V2608" s="103"/>
      <c r="W2608" s="101"/>
    </row>
    <row r="2609" spans="1:23" x14ac:dyDescent="0.25">
      <c r="A2609" s="98"/>
      <c r="H2609" s="101"/>
      <c r="I2609" s="101"/>
      <c r="J2609" s="101"/>
      <c r="K2609" s="101"/>
      <c r="L2609" s="101"/>
      <c r="M2609" s="101"/>
      <c r="N2609" s="101"/>
      <c r="O2609" s="101"/>
      <c r="P2609" s="101"/>
      <c r="Q2609" s="101"/>
      <c r="R2609" s="101"/>
      <c r="S2609" s="110"/>
      <c r="T2609" s="102"/>
      <c r="U2609" s="101"/>
      <c r="V2609" s="103"/>
      <c r="W2609" s="101"/>
    </row>
    <row r="2610" spans="1:23" x14ac:dyDescent="0.25">
      <c r="A2610" s="98"/>
      <c r="H2610" s="101"/>
      <c r="I2610" s="101"/>
      <c r="J2610" s="101"/>
      <c r="K2610" s="101"/>
      <c r="L2610" s="101"/>
      <c r="M2610" s="101"/>
      <c r="N2610" s="101"/>
      <c r="O2610" s="101"/>
      <c r="P2610" s="101"/>
      <c r="Q2610" s="101"/>
      <c r="R2610" s="101"/>
      <c r="S2610" s="110"/>
      <c r="T2610" s="102"/>
      <c r="U2610" s="101"/>
      <c r="V2610" s="103"/>
      <c r="W2610" s="101"/>
    </row>
    <row r="2611" spans="1:23" x14ac:dyDescent="0.25">
      <c r="A2611" s="98"/>
      <c r="H2611" s="101"/>
      <c r="I2611" s="101"/>
      <c r="J2611" s="101"/>
      <c r="K2611" s="101"/>
      <c r="L2611" s="101"/>
      <c r="M2611" s="101"/>
      <c r="N2611" s="101"/>
      <c r="O2611" s="101"/>
      <c r="P2611" s="101"/>
      <c r="Q2611" s="101"/>
      <c r="R2611" s="101"/>
      <c r="S2611" s="110"/>
      <c r="T2611" s="102"/>
      <c r="U2611" s="101"/>
      <c r="V2611" s="103"/>
      <c r="W2611" s="101"/>
    </row>
    <row r="2612" spans="1:23" x14ac:dyDescent="0.25">
      <c r="A2612" s="98"/>
      <c r="H2612" s="101"/>
      <c r="I2612" s="101"/>
      <c r="J2612" s="101"/>
      <c r="K2612" s="101"/>
      <c r="L2612" s="101"/>
      <c r="M2612" s="101"/>
      <c r="N2612" s="101"/>
      <c r="O2612" s="101"/>
      <c r="P2612" s="101"/>
      <c r="Q2612" s="101"/>
      <c r="R2612" s="101"/>
      <c r="S2612" s="110"/>
      <c r="T2612" s="102"/>
      <c r="U2612" s="101"/>
      <c r="V2612" s="103"/>
      <c r="W2612" s="101"/>
    </row>
    <row r="2613" spans="1:23" x14ac:dyDescent="0.25">
      <c r="A2613" s="98"/>
      <c r="H2613" s="101"/>
      <c r="I2613" s="101"/>
      <c r="J2613" s="101"/>
      <c r="K2613" s="101"/>
      <c r="L2613" s="101"/>
      <c r="M2613" s="101"/>
      <c r="N2613" s="101"/>
      <c r="O2613" s="101"/>
      <c r="P2613" s="101"/>
      <c r="Q2613" s="101"/>
      <c r="R2613" s="101"/>
      <c r="S2613" s="110"/>
      <c r="T2613" s="102"/>
      <c r="U2613" s="101"/>
      <c r="V2613" s="103"/>
      <c r="W2613" s="101"/>
    </row>
    <row r="2614" spans="1:23" x14ac:dyDescent="0.25">
      <c r="A2614" s="98"/>
      <c r="H2614" s="101"/>
      <c r="I2614" s="101"/>
      <c r="J2614" s="101"/>
      <c r="K2614" s="101"/>
      <c r="L2614" s="101"/>
      <c r="M2614" s="101"/>
      <c r="N2614" s="101"/>
      <c r="O2614" s="101"/>
      <c r="P2614" s="101"/>
      <c r="Q2614" s="101"/>
      <c r="R2614" s="101"/>
      <c r="S2614" s="110"/>
      <c r="T2614" s="102"/>
      <c r="U2614" s="101"/>
      <c r="V2614" s="103"/>
      <c r="W2614" s="101"/>
    </row>
    <row r="2615" spans="1:23" x14ac:dyDescent="0.25">
      <c r="A2615" s="98"/>
      <c r="H2615" s="101"/>
      <c r="I2615" s="101"/>
      <c r="J2615" s="101"/>
      <c r="K2615" s="101"/>
      <c r="L2615" s="101"/>
      <c r="M2615" s="101"/>
      <c r="N2615" s="101"/>
      <c r="O2615" s="101"/>
      <c r="P2615" s="101"/>
      <c r="Q2615" s="101"/>
      <c r="R2615" s="101"/>
      <c r="S2615" s="110"/>
      <c r="T2615" s="102"/>
      <c r="U2615" s="101"/>
      <c r="V2615" s="103"/>
      <c r="W2615" s="101"/>
    </row>
    <row r="2616" spans="1:23" x14ac:dyDescent="0.25">
      <c r="A2616" s="98"/>
      <c r="H2616" s="101"/>
      <c r="I2616" s="101"/>
      <c r="J2616" s="101"/>
      <c r="K2616" s="101"/>
      <c r="L2616" s="101"/>
      <c r="M2616" s="101"/>
      <c r="N2616" s="101"/>
      <c r="O2616" s="101"/>
      <c r="P2616" s="101"/>
      <c r="Q2616" s="101"/>
      <c r="R2616" s="101"/>
      <c r="S2616" s="110"/>
      <c r="T2616" s="102"/>
      <c r="U2616" s="101"/>
      <c r="V2616" s="103"/>
      <c r="W2616" s="101"/>
    </row>
    <row r="2617" spans="1:23" x14ac:dyDescent="0.25">
      <c r="A2617" s="98"/>
      <c r="H2617" s="101"/>
      <c r="I2617" s="101"/>
      <c r="J2617" s="101"/>
      <c r="K2617" s="101"/>
      <c r="L2617" s="101"/>
      <c r="M2617" s="101"/>
      <c r="N2617" s="101"/>
      <c r="O2617" s="101"/>
      <c r="P2617" s="101"/>
      <c r="Q2617" s="101"/>
      <c r="R2617" s="101"/>
      <c r="S2617" s="110"/>
      <c r="T2617" s="102"/>
      <c r="U2617" s="101"/>
      <c r="V2617" s="103"/>
      <c r="W2617" s="101"/>
    </row>
    <row r="2618" spans="1:23" x14ac:dyDescent="0.25">
      <c r="A2618" s="98"/>
      <c r="H2618" s="101"/>
      <c r="I2618" s="101"/>
      <c r="J2618" s="101"/>
      <c r="K2618" s="101"/>
      <c r="L2618" s="101"/>
      <c r="M2618" s="101"/>
      <c r="N2618" s="101"/>
      <c r="O2618" s="101"/>
      <c r="P2618" s="101"/>
      <c r="Q2618" s="101"/>
      <c r="R2618" s="101"/>
      <c r="S2618" s="110"/>
      <c r="T2618" s="102"/>
      <c r="U2618" s="101"/>
      <c r="V2618" s="103"/>
      <c r="W2618" s="101"/>
    </row>
    <row r="2619" spans="1:23" x14ac:dyDescent="0.25">
      <c r="A2619" s="98"/>
      <c r="H2619" s="101"/>
      <c r="I2619" s="101"/>
      <c r="J2619" s="101"/>
      <c r="K2619" s="101"/>
      <c r="L2619" s="101"/>
      <c r="M2619" s="101"/>
      <c r="N2619" s="101"/>
      <c r="O2619" s="101"/>
      <c r="P2619" s="101"/>
      <c r="Q2619" s="101"/>
      <c r="R2619" s="101"/>
      <c r="S2619" s="110"/>
      <c r="T2619" s="102"/>
      <c r="U2619" s="101"/>
      <c r="V2619" s="103"/>
      <c r="W2619" s="101"/>
    </row>
    <row r="2620" spans="1:23" x14ac:dyDescent="0.25">
      <c r="A2620" s="98"/>
      <c r="H2620" s="101"/>
      <c r="I2620" s="101"/>
      <c r="J2620" s="101"/>
      <c r="K2620" s="101"/>
      <c r="L2620" s="101"/>
      <c r="M2620" s="101"/>
      <c r="N2620" s="101"/>
      <c r="O2620" s="101"/>
      <c r="P2620" s="101"/>
      <c r="Q2620" s="101"/>
      <c r="R2620" s="101"/>
      <c r="S2620" s="110"/>
      <c r="T2620" s="102"/>
      <c r="U2620" s="101"/>
      <c r="V2620" s="103"/>
      <c r="W2620" s="101"/>
    </row>
    <row r="2621" spans="1:23" x14ac:dyDescent="0.25">
      <c r="A2621" s="98"/>
      <c r="H2621" s="101"/>
      <c r="I2621" s="101"/>
      <c r="J2621" s="101"/>
      <c r="K2621" s="101"/>
      <c r="L2621" s="101"/>
      <c r="M2621" s="101"/>
      <c r="N2621" s="101"/>
      <c r="O2621" s="101"/>
      <c r="P2621" s="101"/>
      <c r="Q2621" s="101"/>
      <c r="R2621" s="101"/>
      <c r="S2621" s="110"/>
      <c r="T2621" s="102"/>
      <c r="U2621" s="101"/>
      <c r="V2621" s="103"/>
      <c r="W2621" s="101"/>
    </row>
    <row r="2622" spans="1:23" x14ac:dyDescent="0.25">
      <c r="A2622" s="98"/>
      <c r="H2622" s="101"/>
      <c r="I2622" s="101"/>
      <c r="J2622" s="101"/>
      <c r="K2622" s="101"/>
      <c r="L2622" s="101"/>
      <c r="M2622" s="101"/>
      <c r="N2622" s="101"/>
      <c r="O2622" s="101"/>
      <c r="P2622" s="101"/>
      <c r="Q2622" s="101"/>
      <c r="R2622" s="101"/>
      <c r="S2622" s="110"/>
      <c r="T2622" s="102"/>
      <c r="U2622" s="101"/>
      <c r="V2622" s="103"/>
      <c r="W2622" s="101"/>
    </row>
    <row r="2623" spans="1:23" x14ac:dyDescent="0.25">
      <c r="A2623" s="98"/>
      <c r="H2623" s="101"/>
      <c r="I2623" s="101"/>
      <c r="J2623" s="101"/>
      <c r="K2623" s="101"/>
      <c r="L2623" s="101"/>
      <c r="M2623" s="101"/>
      <c r="N2623" s="101"/>
      <c r="O2623" s="101"/>
      <c r="P2623" s="101"/>
      <c r="Q2623" s="101"/>
      <c r="R2623" s="101"/>
      <c r="S2623" s="110"/>
      <c r="T2623" s="102"/>
      <c r="U2623" s="101"/>
      <c r="V2623" s="103"/>
      <c r="W2623" s="101"/>
    </row>
    <row r="2624" spans="1:23" x14ac:dyDescent="0.25">
      <c r="A2624" s="98"/>
      <c r="H2624" s="101"/>
      <c r="I2624" s="101"/>
      <c r="J2624" s="101"/>
      <c r="K2624" s="101"/>
      <c r="L2624" s="101"/>
      <c r="M2624" s="101"/>
      <c r="N2624" s="101"/>
      <c r="O2624" s="101"/>
      <c r="P2624" s="101"/>
      <c r="Q2624" s="101"/>
      <c r="R2624" s="101"/>
      <c r="S2624" s="110"/>
      <c r="T2624" s="102"/>
      <c r="U2624" s="101"/>
      <c r="V2624" s="103"/>
      <c r="W2624" s="101"/>
    </row>
    <row r="2625" spans="1:23" x14ac:dyDescent="0.25">
      <c r="A2625" s="98"/>
      <c r="H2625" s="101"/>
      <c r="I2625" s="101"/>
      <c r="J2625" s="101"/>
      <c r="K2625" s="101"/>
      <c r="L2625" s="101"/>
      <c r="M2625" s="101"/>
      <c r="N2625" s="101"/>
      <c r="O2625" s="101"/>
      <c r="P2625" s="101"/>
      <c r="Q2625" s="101"/>
      <c r="R2625" s="101"/>
      <c r="S2625" s="110"/>
      <c r="T2625" s="102"/>
      <c r="U2625" s="101"/>
      <c r="V2625" s="103"/>
      <c r="W2625" s="101"/>
    </row>
    <row r="2626" spans="1:23" x14ac:dyDescent="0.25">
      <c r="A2626" s="98"/>
      <c r="H2626" s="101"/>
      <c r="I2626" s="101"/>
      <c r="J2626" s="101"/>
      <c r="K2626" s="101"/>
      <c r="L2626" s="101"/>
      <c r="M2626" s="101"/>
      <c r="N2626" s="101"/>
      <c r="O2626" s="101"/>
      <c r="P2626" s="101"/>
      <c r="Q2626" s="101"/>
      <c r="R2626" s="101"/>
      <c r="S2626" s="110"/>
      <c r="T2626" s="102"/>
      <c r="U2626" s="101"/>
      <c r="V2626" s="103"/>
      <c r="W2626" s="101"/>
    </row>
    <row r="2627" spans="1:23" x14ac:dyDescent="0.25">
      <c r="A2627" s="98"/>
      <c r="H2627" s="101"/>
      <c r="I2627" s="101"/>
      <c r="J2627" s="101"/>
      <c r="K2627" s="101"/>
      <c r="L2627" s="101"/>
      <c r="M2627" s="101"/>
      <c r="N2627" s="101"/>
      <c r="O2627" s="101"/>
      <c r="P2627" s="101"/>
      <c r="Q2627" s="101"/>
      <c r="R2627" s="101"/>
      <c r="S2627" s="110"/>
      <c r="T2627" s="102"/>
      <c r="U2627" s="101"/>
      <c r="V2627" s="103"/>
      <c r="W2627" s="101"/>
    </row>
    <row r="2628" spans="1:23" x14ac:dyDescent="0.25">
      <c r="A2628" s="98"/>
      <c r="H2628" s="101"/>
      <c r="I2628" s="101"/>
      <c r="J2628" s="101"/>
      <c r="K2628" s="101"/>
      <c r="L2628" s="101"/>
      <c r="M2628" s="101"/>
      <c r="N2628" s="101"/>
      <c r="O2628" s="101"/>
      <c r="P2628" s="101"/>
      <c r="Q2628" s="101"/>
      <c r="R2628" s="101"/>
      <c r="S2628" s="110"/>
      <c r="T2628" s="102"/>
      <c r="U2628" s="101"/>
      <c r="V2628" s="103"/>
      <c r="W2628" s="101"/>
    </row>
    <row r="2629" spans="1:23" x14ac:dyDescent="0.25">
      <c r="A2629" s="98"/>
      <c r="H2629" s="101"/>
      <c r="I2629" s="101"/>
      <c r="J2629" s="101"/>
      <c r="K2629" s="101"/>
      <c r="L2629" s="101"/>
      <c r="M2629" s="101"/>
      <c r="N2629" s="101"/>
      <c r="O2629" s="101"/>
      <c r="P2629" s="101"/>
      <c r="Q2629" s="101"/>
      <c r="R2629" s="101"/>
      <c r="S2629" s="110"/>
      <c r="T2629" s="102"/>
      <c r="U2629" s="101"/>
      <c r="V2629" s="103"/>
      <c r="W2629" s="101"/>
    </row>
    <row r="2630" spans="1:23" x14ac:dyDescent="0.25">
      <c r="A2630" s="98"/>
      <c r="H2630" s="101"/>
      <c r="I2630" s="101"/>
      <c r="J2630" s="101"/>
      <c r="K2630" s="101"/>
      <c r="L2630" s="101"/>
      <c r="M2630" s="101"/>
      <c r="N2630" s="101"/>
      <c r="O2630" s="101"/>
      <c r="P2630" s="101"/>
      <c r="Q2630" s="101"/>
      <c r="R2630" s="101"/>
      <c r="S2630" s="110"/>
      <c r="T2630" s="102"/>
      <c r="U2630" s="101"/>
      <c r="V2630" s="103"/>
      <c r="W2630" s="101"/>
    </row>
    <row r="2631" spans="1:23" x14ac:dyDescent="0.25">
      <c r="A2631" s="98"/>
      <c r="H2631" s="101"/>
      <c r="I2631" s="101"/>
      <c r="J2631" s="101"/>
      <c r="K2631" s="101"/>
      <c r="L2631" s="101"/>
      <c r="M2631" s="101"/>
      <c r="N2631" s="101"/>
      <c r="O2631" s="101"/>
      <c r="P2631" s="101"/>
      <c r="Q2631" s="101"/>
      <c r="R2631" s="101"/>
      <c r="S2631" s="110"/>
      <c r="T2631" s="102"/>
      <c r="U2631" s="101"/>
      <c r="V2631" s="103"/>
      <c r="W2631" s="101"/>
    </row>
    <row r="2632" spans="1:23" x14ac:dyDescent="0.25">
      <c r="A2632" s="98"/>
      <c r="H2632" s="101"/>
      <c r="I2632" s="101"/>
      <c r="J2632" s="101"/>
      <c r="K2632" s="101"/>
      <c r="L2632" s="101"/>
      <c r="M2632" s="101"/>
      <c r="N2632" s="101"/>
      <c r="O2632" s="101"/>
      <c r="P2632" s="101"/>
      <c r="Q2632" s="101"/>
      <c r="R2632" s="101"/>
      <c r="S2632" s="110"/>
      <c r="T2632" s="102"/>
      <c r="U2632" s="101"/>
      <c r="V2632" s="103"/>
      <c r="W2632" s="101"/>
    </row>
    <row r="2633" spans="1:23" x14ac:dyDescent="0.25">
      <c r="A2633" s="98"/>
      <c r="H2633" s="101"/>
      <c r="I2633" s="101"/>
      <c r="J2633" s="101"/>
      <c r="K2633" s="101"/>
      <c r="L2633" s="101"/>
      <c r="M2633" s="101"/>
      <c r="N2633" s="101"/>
      <c r="O2633" s="101"/>
      <c r="P2633" s="101"/>
      <c r="Q2633" s="101"/>
      <c r="R2633" s="101"/>
      <c r="S2633" s="110"/>
      <c r="T2633" s="102"/>
      <c r="U2633" s="101"/>
      <c r="V2633" s="103"/>
      <c r="W2633" s="101"/>
    </row>
    <row r="2634" spans="1:23" x14ac:dyDescent="0.25">
      <c r="A2634" s="98"/>
      <c r="H2634" s="101"/>
      <c r="I2634" s="101"/>
      <c r="J2634" s="101"/>
      <c r="K2634" s="101"/>
      <c r="L2634" s="101"/>
      <c r="M2634" s="101"/>
      <c r="N2634" s="101"/>
      <c r="O2634" s="101"/>
      <c r="P2634" s="101"/>
      <c r="Q2634" s="101"/>
      <c r="R2634" s="101"/>
      <c r="S2634" s="110"/>
      <c r="T2634" s="102"/>
      <c r="U2634" s="101"/>
      <c r="V2634" s="103"/>
      <c r="W2634" s="101"/>
    </row>
    <row r="2635" spans="1:23" x14ac:dyDescent="0.25">
      <c r="A2635" s="98"/>
      <c r="H2635" s="101"/>
      <c r="I2635" s="101"/>
      <c r="J2635" s="101"/>
      <c r="K2635" s="101"/>
      <c r="L2635" s="101"/>
      <c r="M2635" s="101"/>
      <c r="N2635" s="101"/>
      <c r="O2635" s="101"/>
      <c r="P2635" s="101"/>
      <c r="Q2635" s="101"/>
      <c r="R2635" s="101"/>
      <c r="S2635" s="110"/>
      <c r="T2635" s="102"/>
      <c r="U2635" s="101"/>
      <c r="V2635" s="103"/>
      <c r="W2635" s="101"/>
    </row>
    <row r="2636" spans="1:23" x14ac:dyDescent="0.25">
      <c r="A2636" s="98"/>
      <c r="H2636" s="101"/>
      <c r="I2636" s="101"/>
      <c r="J2636" s="101"/>
      <c r="K2636" s="101"/>
      <c r="L2636" s="101"/>
      <c r="M2636" s="101"/>
      <c r="N2636" s="101"/>
      <c r="O2636" s="101"/>
      <c r="P2636" s="101"/>
      <c r="Q2636" s="101"/>
      <c r="R2636" s="101"/>
      <c r="S2636" s="110"/>
      <c r="T2636" s="102"/>
      <c r="U2636" s="101"/>
      <c r="V2636" s="103"/>
      <c r="W2636" s="101"/>
    </row>
    <row r="2637" spans="1:23" x14ac:dyDescent="0.25">
      <c r="A2637" s="98"/>
      <c r="H2637" s="101"/>
      <c r="I2637" s="101"/>
      <c r="J2637" s="101"/>
      <c r="K2637" s="101"/>
      <c r="L2637" s="101"/>
      <c r="M2637" s="101"/>
      <c r="N2637" s="101"/>
      <c r="O2637" s="101"/>
      <c r="P2637" s="101"/>
      <c r="Q2637" s="101"/>
      <c r="R2637" s="101"/>
      <c r="S2637" s="110"/>
      <c r="T2637" s="102"/>
      <c r="U2637" s="101"/>
      <c r="V2637" s="103"/>
      <c r="W2637" s="101"/>
    </row>
    <row r="2638" spans="1:23" x14ac:dyDescent="0.25">
      <c r="A2638" s="98"/>
      <c r="H2638" s="101"/>
      <c r="I2638" s="101"/>
      <c r="J2638" s="101"/>
      <c r="K2638" s="101"/>
      <c r="L2638" s="101"/>
      <c r="M2638" s="101"/>
      <c r="N2638" s="101"/>
      <c r="O2638" s="101"/>
      <c r="P2638" s="101"/>
      <c r="Q2638" s="101"/>
      <c r="R2638" s="101"/>
      <c r="S2638" s="110"/>
      <c r="T2638" s="102"/>
      <c r="U2638" s="101"/>
      <c r="V2638" s="103"/>
      <c r="W2638" s="101"/>
    </row>
    <row r="2639" spans="1:23" x14ac:dyDescent="0.25">
      <c r="A2639" s="98"/>
      <c r="H2639" s="101"/>
      <c r="I2639" s="101"/>
      <c r="J2639" s="101"/>
      <c r="K2639" s="101"/>
      <c r="L2639" s="101"/>
      <c r="M2639" s="101"/>
      <c r="N2639" s="101"/>
      <c r="O2639" s="101"/>
      <c r="P2639" s="101"/>
      <c r="Q2639" s="101"/>
      <c r="R2639" s="101"/>
      <c r="S2639" s="110"/>
      <c r="T2639" s="102"/>
      <c r="U2639" s="101"/>
      <c r="V2639" s="103"/>
      <c r="W2639" s="101"/>
    </row>
    <row r="2640" spans="1:23" x14ac:dyDescent="0.25">
      <c r="A2640" s="98"/>
      <c r="H2640" s="101"/>
      <c r="I2640" s="101"/>
      <c r="J2640" s="101"/>
      <c r="K2640" s="101"/>
      <c r="L2640" s="101"/>
      <c r="M2640" s="101"/>
      <c r="N2640" s="101"/>
      <c r="O2640" s="101"/>
      <c r="P2640" s="101"/>
      <c r="Q2640" s="101"/>
      <c r="R2640" s="101"/>
      <c r="S2640" s="110"/>
      <c r="T2640" s="102"/>
      <c r="U2640" s="101"/>
      <c r="V2640" s="103"/>
      <c r="W2640" s="101"/>
    </row>
    <row r="2641" spans="1:23" x14ac:dyDescent="0.25">
      <c r="A2641" s="98"/>
      <c r="H2641" s="101"/>
      <c r="I2641" s="101"/>
      <c r="J2641" s="101"/>
      <c r="K2641" s="101"/>
      <c r="L2641" s="101"/>
      <c r="M2641" s="101"/>
      <c r="N2641" s="101"/>
      <c r="O2641" s="101"/>
      <c r="P2641" s="101"/>
      <c r="Q2641" s="101"/>
      <c r="R2641" s="101"/>
      <c r="S2641" s="110"/>
      <c r="T2641" s="102"/>
      <c r="U2641" s="101"/>
      <c r="V2641" s="103"/>
      <c r="W2641" s="101"/>
    </row>
    <row r="2642" spans="1:23" x14ac:dyDescent="0.25">
      <c r="A2642" s="98"/>
      <c r="H2642" s="101"/>
      <c r="I2642" s="101"/>
      <c r="J2642" s="101"/>
      <c r="K2642" s="101"/>
      <c r="L2642" s="101"/>
      <c r="M2642" s="101"/>
      <c r="N2642" s="101"/>
      <c r="O2642" s="101"/>
      <c r="P2642" s="101"/>
      <c r="Q2642" s="101"/>
      <c r="R2642" s="101"/>
      <c r="S2642" s="110"/>
      <c r="T2642" s="102"/>
      <c r="U2642" s="101"/>
      <c r="V2642" s="103"/>
      <c r="W2642" s="101"/>
    </row>
    <row r="2643" spans="1:23" x14ac:dyDescent="0.25">
      <c r="A2643" s="98"/>
      <c r="H2643" s="101"/>
      <c r="I2643" s="101"/>
      <c r="J2643" s="101"/>
      <c r="K2643" s="101"/>
      <c r="L2643" s="101"/>
      <c r="M2643" s="101"/>
      <c r="N2643" s="101"/>
      <c r="O2643" s="101"/>
      <c r="P2643" s="101"/>
      <c r="Q2643" s="101"/>
      <c r="R2643" s="101"/>
      <c r="S2643" s="110"/>
      <c r="T2643" s="102"/>
      <c r="U2643" s="101"/>
      <c r="V2643" s="103"/>
      <c r="W2643" s="101"/>
    </row>
    <row r="2644" spans="1:23" x14ac:dyDescent="0.25">
      <c r="A2644" s="98"/>
      <c r="H2644" s="101"/>
      <c r="I2644" s="101"/>
      <c r="J2644" s="101"/>
      <c r="K2644" s="101"/>
      <c r="L2644" s="101"/>
      <c r="M2644" s="101"/>
      <c r="N2644" s="101"/>
      <c r="O2644" s="101"/>
      <c r="P2644" s="101"/>
      <c r="Q2644" s="101"/>
      <c r="R2644" s="101"/>
      <c r="S2644" s="110"/>
      <c r="T2644" s="102"/>
      <c r="U2644" s="101"/>
      <c r="V2644" s="103"/>
      <c r="W2644" s="101"/>
    </row>
    <row r="2645" spans="1:23" x14ac:dyDescent="0.25">
      <c r="A2645" s="98"/>
      <c r="H2645" s="101"/>
      <c r="I2645" s="101"/>
      <c r="J2645" s="101"/>
      <c r="K2645" s="101"/>
      <c r="L2645" s="101"/>
      <c r="M2645" s="101"/>
      <c r="N2645" s="101"/>
      <c r="O2645" s="101"/>
      <c r="P2645" s="101"/>
      <c r="Q2645" s="101"/>
      <c r="R2645" s="101"/>
      <c r="S2645" s="110"/>
      <c r="T2645" s="102"/>
      <c r="U2645" s="101"/>
      <c r="V2645" s="103"/>
      <c r="W2645" s="101"/>
    </row>
    <row r="2646" spans="1:23" x14ac:dyDescent="0.25">
      <c r="A2646" s="98"/>
      <c r="H2646" s="101"/>
      <c r="I2646" s="101"/>
      <c r="J2646" s="101"/>
      <c r="K2646" s="101"/>
      <c r="L2646" s="101"/>
      <c r="M2646" s="101"/>
      <c r="N2646" s="101"/>
      <c r="O2646" s="101"/>
      <c r="P2646" s="101"/>
      <c r="Q2646" s="101"/>
      <c r="R2646" s="101"/>
      <c r="S2646" s="110"/>
      <c r="T2646" s="102"/>
      <c r="U2646" s="101"/>
      <c r="V2646" s="103"/>
      <c r="W2646" s="101"/>
    </row>
    <row r="2647" spans="1:23" x14ac:dyDescent="0.25">
      <c r="A2647" s="98"/>
      <c r="H2647" s="101"/>
      <c r="I2647" s="101"/>
      <c r="J2647" s="101"/>
      <c r="K2647" s="101"/>
      <c r="L2647" s="101"/>
      <c r="M2647" s="101"/>
      <c r="N2647" s="101"/>
      <c r="O2647" s="101"/>
      <c r="P2647" s="101"/>
      <c r="Q2647" s="101"/>
      <c r="R2647" s="101"/>
      <c r="S2647" s="110"/>
      <c r="T2647" s="102"/>
      <c r="U2647" s="101"/>
      <c r="V2647" s="103"/>
      <c r="W2647" s="101"/>
    </row>
    <row r="2648" spans="1:23" x14ac:dyDescent="0.25">
      <c r="A2648" s="98"/>
      <c r="H2648" s="101"/>
      <c r="I2648" s="101"/>
      <c r="J2648" s="101"/>
      <c r="K2648" s="101"/>
      <c r="L2648" s="101"/>
      <c r="M2648" s="101"/>
      <c r="N2648" s="101"/>
      <c r="O2648" s="101"/>
      <c r="P2648" s="101"/>
      <c r="Q2648" s="101"/>
      <c r="R2648" s="101"/>
      <c r="S2648" s="110"/>
      <c r="T2648" s="102"/>
      <c r="U2648" s="101"/>
      <c r="V2648" s="103"/>
      <c r="W2648" s="101"/>
    </row>
    <row r="2649" spans="1:23" x14ac:dyDescent="0.25">
      <c r="A2649" s="98"/>
      <c r="H2649" s="101"/>
      <c r="I2649" s="101"/>
      <c r="J2649" s="101"/>
      <c r="K2649" s="101"/>
      <c r="L2649" s="101"/>
      <c r="M2649" s="101"/>
      <c r="N2649" s="101"/>
      <c r="O2649" s="101"/>
      <c r="P2649" s="101"/>
      <c r="Q2649" s="101"/>
      <c r="R2649" s="101"/>
      <c r="S2649" s="110"/>
      <c r="T2649" s="102"/>
      <c r="U2649" s="101"/>
      <c r="V2649" s="103"/>
      <c r="W2649" s="101"/>
    </row>
    <row r="2650" spans="1:23" x14ac:dyDescent="0.25">
      <c r="A2650" s="98"/>
      <c r="H2650" s="101"/>
      <c r="I2650" s="101"/>
      <c r="J2650" s="101"/>
      <c r="K2650" s="101"/>
      <c r="L2650" s="101"/>
      <c r="M2650" s="101"/>
      <c r="N2650" s="101"/>
      <c r="O2650" s="101"/>
      <c r="P2650" s="101"/>
      <c r="Q2650" s="101"/>
      <c r="R2650" s="101"/>
      <c r="S2650" s="110"/>
      <c r="T2650" s="102"/>
      <c r="U2650" s="101"/>
      <c r="V2650" s="103"/>
      <c r="W2650" s="101"/>
    </row>
    <row r="2651" spans="1:23" x14ac:dyDescent="0.25">
      <c r="A2651" s="98"/>
      <c r="H2651" s="101"/>
      <c r="I2651" s="101"/>
      <c r="J2651" s="101"/>
      <c r="K2651" s="101"/>
      <c r="L2651" s="101"/>
      <c r="M2651" s="101"/>
      <c r="N2651" s="101"/>
      <c r="O2651" s="101"/>
      <c r="P2651" s="101"/>
      <c r="Q2651" s="101"/>
      <c r="R2651" s="101"/>
      <c r="S2651" s="110"/>
      <c r="T2651" s="102"/>
      <c r="U2651" s="101"/>
      <c r="V2651" s="103"/>
      <c r="W2651" s="101"/>
    </row>
    <row r="2652" spans="1:23" x14ac:dyDescent="0.25">
      <c r="A2652" s="98"/>
      <c r="H2652" s="101"/>
      <c r="I2652" s="101"/>
      <c r="J2652" s="101"/>
      <c r="K2652" s="101"/>
      <c r="L2652" s="101"/>
      <c r="M2652" s="101"/>
      <c r="N2652" s="101"/>
      <c r="O2652" s="101"/>
      <c r="P2652" s="101"/>
      <c r="Q2652" s="101"/>
      <c r="R2652" s="101"/>
      <c r="S2652" s="110"/>
      <c r="T2652" s="102"/>
      <c r="U2652" s="101"/>
      <c r="V2652" s="103"/>
      <c r="W2652" s="101"/>
    </row>
    <row r="2653" spans="1:23" x14ac:dyDescent="0.25">
      <c r="A2653" s="98"/>
      <c r="H2653" s="101"/>
      <c r="I2653" s="101"/>
      <c r="J2653" s="101"/>
      <c r="K2653" s="101"/>
      <c r="L2653" s="101"/>
      <c r="M2653" s="101"/>
      <c r="N2653" s="101"/>
      <c r="O2653" s="101"/>
      <c r="P2653" s="101"/>
      <c r="Q2653" s="101"/>
      <c r="R2653" s="101"/>
      <c r="S2653" s="110"/>
      <c r="T2653" s="102"/>
      <c r="U2653" s="101"/>
      <c r="V2653" s="103"/>
      <c r="W2653" s="101"/>
    </row>
    <row r="2654" spans="1:23" x14ac:dyDescent="0.25">
      <c r="A2654" s="98"/>
      <c r="H2654" s="101"/>
      <c r="I2654" s="101"/>
      <c r="J2654" s="101"/>
      <c r="K2654" s="101"/>
      <c r="L2654" s="101"/>
      <c r="M2654" s="101"/>
      <c r="N2654" s="101"/>
      <c r="O2654" s="101"/>
      <c r="P2654" s="101"/>
      <c r="Q2654" s="101"/>
      <c r="R2654" s="101"/>
      <c r="S2654" s="110"/>
      <c r="T2654" s="102"/>
      <c r="U2654" s="101"/>
      <c r="V2654" s="103"/>
      <c r="W2654" s="101"/>
    </row>
    <row r="2655" spans="1:23" x14ac:dyDescent="0.25">
      <c r="A2655" s="98"/>
      <c r="H2655" s="101"/>
      <c r="I2655" s="101"/>
      <c r="J2655" s="101"/>
      <c r="K2655" s="101"/>
      <c r="L2655" s="101"/>
      <c r="M2655" s="101"/>
      <c r="N2655" s="101"/>
      <c r="O2655" s="101"/>
      <c r="P2655" s="101"/>
      <c r="Q2655" s="101"/>
      <c r="R2655" s="101"/>
      <c r="S2655" s="110"/>
      <c r="T2655" s="102"/>
      <c r="U2655" s="101"/>
      <c r="V2655" s="103"/>
      <c r="W2655" s="101"/>
    </row>
    <row r="2656" spans="1:23" x14ac:dyDescent="0.25">
      <c r="A2656" s="98"/>
      <c r="H2656" s="101"/>
      <c r="I2656" s="101"/>
      <c r="J2656" s="101"/>
      <c r="K2656" s="101"/>
      <c r="L2656" s="101"/>
      <c r="M2656" s="101"/>
      <c r="N2656" s="101"/>
      <c r="O2656" s="101"/>
      <c r="P2656" s="101"/>
      <c r="Q2656" s="101"/>
      <c r="R2656" s="101"/>
      <c r="S2656" s="110"/>
      <c r="T2656" s="102"/>
      <c r="U2656" s="101"/>
      <c r="V2656" s="103"/>
      <c r="W2656" s="101"/>
    </row>
    <row r="2657" spans="1:23" x14ac:dyDescent="0.25">
      <c r="A2657" s="98"/>
      <c r="H2657" s="101"/>
      <c r="I2657" s="101"/>
      <c r="J2657" s="101"/>
      <c r="K2657" s="101"/>
      <c r="L2657" s="101"/>
      <c r="M2657" s="101"/>
      <c r="N2657" s="101"/>
      <c r="O2657" s="101"/>
      <c r="P2657" s="101"/>
      <c r="Q2657" s="101"/>
      <c r="R2657" s="101"/>
      <c r="S2657" s="110"/>
      <c r="T2657" s="102"/>
      <c r="U2657" s="101"/>
      <c r="V2657" s="103"/>
      <c r="W2657" s="101"/>
    </row>
    <row r="2658" spans="1:23" x14ac:dyDescent="0.25">
      <c r="A2658" s="98"/>
      <c r="H2658" s="101"/>
      <c r="I2658" s="101"/>
      <c r="J2658" s="101"/>
      <c r="K2658" s="101"/>
      <c r="L2658" s="101"/>
      <c r="M2658" s="101"/>
      <c r="N2658" s="101"/>
      <c r="O2658" s="101"/>
      <c r="P2658" s="101"/>
      <c r="Q2658" s="101"/>
      <c r="R2658" s="101"/>
      <c r="S2658" s="110"/>
      <c r="T2658" s="102"/>
      <c r="U2658" s="101"/>
      <c r="V2658" s="103"/>
      <c r="W2658" s="101"/>
    </row>
    <row r="2659" spans="1:23" x14ac:dyDescent="0.25">
      <c r="A2659" s="98"/>
      <c r="H2659" s="101"/>
      <c r="I2659" s="101"/>
      <c r="J2659" s="101"/>
      <c r="K2659" s="101"/>
      <c r="L2659" s="101"/>
      <c r="M2659" s="101"/>
      <c r="N2659" s="101"/>
      <c r="O2659" s="101"/>
      <c r="P2659" s="101"/>
      <c r="Q2659" s="101"/>
      <c r="R2659" s="101"/>
      <c r="S2659" s="110"/>
      <c r="T2659" s="102"/>
      <c r="U2659" s="101"/>
      <c r="V2659" s="103"/>
      <c r="W2659" s="101"/>
    </row>
    <row r="2660" spans="1:23" x14ac:dyDescent="0.25">
      <c r="A2660" s="98"/>
      <c r="H2660" s="101"/>
      <c r="I2660" s="101"/>
      <c r="J2660" s="101"/>
      <c r="K2660" s="101"/>
      <c r="L2660" s="101"/>
      <c r="M2660" s="101"/>
      <c r="N2660" s="101"/>
      <c r="O2660" s="101"/>
      <c r="P2660" s="101"/>
      <c r="Q2660" s="101"/>
      <c r="R2660" s="101"/>
      <c r="S2660" s="110"/>
      <c r="T2660" s="102"/>
      <c r="U2660" s="101"/>
      <c r="V2660" s="103"/>
      <c r="W2660" s="101"/>
    </row>
    <row r="2661" spans="1:23" x14ac:dyDescent="0.25">
      <c r="A2661" s="98"/>
      <c r="H2661" s="101"/>
      <c r="I2661" s="101"/>
      <c r="J2661" s="101"/>
      <c r="K2661" s="101"/>
      <c r="L2661" s="101"/>
      <c r="M2661" s="101"/>
      <c r="N2661" s="101"/>
      <c r="O2661" s="101"/>
      <c r="P2661" s="101"/>
      <c r="Q2661" s="101"/>
      <c r="R2661" s="101"/>
      <c r="S2661" s="110"/>
      <c r="T2661" s="102"/>
      <c r="U2661" s="101"/>
      <c r="V2661" s="103"/>
      <c r="W2661" s="101"/>
    </row>
    <row r="2662" spans="1:23" x14ac:dyDescent="0.25">
      <c r="A2662" s="98"/>
      <c r="H2662" s="101"/>
      <c r="I2662" s="101"/>
      <c r="J2662" s="101"/>
      <c r="K2662" s="101"/>
      <c r="L2662" s="101"/>
      <c r="M2662" s="101"/>
      <c r="N2662" s="101"/>
      <c r="O2662" s="101"/>
      <c r="P2662" s="101"/>
      <c r="Q2662" s="101"/>
      <c r="R2662" s="101"/>
      <c r="S2662" s="110"/>
      <c r="T2662" s="102"/>
      <c r="U2662" s="101"/>
      <c r="V2662" s="103"/>
      <c r="W2662" s="101"/>
    </row>
    <row r="2663" spans="1:23" x14ac:dyDescent="0.25">
      <c r="A2663" s="98"/>
      <c r="H2663" s="101"/>
      <c r="I2663" s="101"/>
      <c r="J2663" s="101"/>
      <c r="K2663" s="101"/>
      <c r="L2663" s="101"/>
      <c r="M2663" s="101"/>
      <c r="N2663" s="101"/>
      <c r="O2663" s="101"/>
      <c r="P2663" s="101"/>
      <c r="Q2663" s="101"/>
      <c r="R2663" s="101"/>
      <c r="S2663" s="110"/>
      <c r="T2663" s="102"/>
      <c r="U2663" s="101"/>
      <c r="V2663" s="103"/>
      <c r="W2663" s="101"/>
    </row>
    <row r="2664" spans="1:23" x14ac:dyDescent="0.25">
      <c r="A2664" s="98"/>
      <c r="H2664" s="101"/>
      <c r="I2664" s="101"/>
      <c r="J2664" s="101"/>
      <c r="K2664" s="101"/>
      <c r="L2664" s="101"/>
      <c r="M2664" s="101"/>
      <c r="N2664" s="101"/>
      <c r="O2664" s="101"/>
      <c r="P2664" s="101"/>
      <c r="Q2664" s="101"/>
      <c r="R2664" s="101"/>
      <c r="S2664" s="110"/>
      <c r="T2664" s="102"/>
      <c r="U2664" s="101"/>
      <c r="V2664" s="103"/>
      <c r="W2664" s="101"/>
    </row>
    <row r="2665" spans="1:23" x14ac:dyDescent="0.25">
      <c r="A2665" s="98"/>
      <c r="H2665" s="101"/>
      <c r="I2665" s="101"/>
      <c r="J2665" s="101"/>
      <c r="K2665" s="101"/>
      <c r="L2665" s="101"/>
      <c r="M2665" s="101"/>
      <c r="N2665" s="101"/>
      <c r="O2665" s="101"/>
      <c r="P2665" s="101"/>
      <c r="Q2665" s="101"/>
      <c r="R2665" s="101"/>
      <c r="S2665" s="110"/>
      <c r="T2665" s="102"/>
      <c r="U2665" s="101"/>
      <c r="V2665" s="103"/>
      <c r="W2665" s="101"/>
    </row>
    <row r="2666" spans="1:23" x14ac:dyDescent="0.25">
      <c r="A2666" s="98"/>
      <c r="H2666" s="101"/>
      <c r="I2666" s="101"/>
      <c r="J2666" s="101"/>
      <c r="K2666" s="101"/>
      <c r="L2666" s="101"/>
      <c r="M2666" s="101"/>
      <c r="N2666" s="101"/>
      <c r="O2666" s="101"/>
      <c r="P2666" s="101"/>
      <c r="Q2666" s="101"/>
      <c r="R2666" s="101"/>
      <c r="S2666" s="110"/>
      <c r="T2666" s="102"/>
      <c r="U2666" s="101"/>
      <c r="V2666" s="103"/>
      <c r="W2666" s="101"/>
    </row>
    <row r="2667" spans="1:23" x14ac:dyDescent="0.25">
      <c r="A2667" s="98"/>
      <c r="H2667" s="101"/>
      <c r="I2667" s="101"/>
      <c r="J2667" s="101"/>
      <c r="K2667" s="101"/>
      <c r="L2667" s="101"/>
      <c r="M2667" s="101"/>
      <c r="N2667" s="101"/>
      <c r="O2667" s="101"/>
      <c r="P2667" s="101"/>
      <c r="Q2667" s="101"/>
      <c r="R2667" s="101"/>
      <c r="S2667" s="110"/>
      <c r="T2667" s="102"/>
      <c r="U2667" s="101"/>
      <c r="V2667" s="103"/>
      <c r="W2667" s="101"/>
    </row>
    <row r="2668" spans="1:23" x14ac:dyDescent="0.25">
      <c r="A2668" s="98"/>
      <c r="H2668" s="101"/>
      <c r="I2668" s="101"/>
      <c r="J2668" s="101"/>
      <c r="K2668" s="101"/>
      <c r="L2668" s="101"/>
      <c r="M2668" s="101"/>
      <c r="N2668" s="101"/>
      <c r="O2668" s="101"/>
      <c r="P2668" s="101"/>
      <c r="Q2668" s="101"/>
      <c r="R2668" s="101"/>
      <c r="S2668" s="110"/>
      <c r="T2668" s="102"/>
      <c r="U2668" s="101"/>
      <c r="V2668" s="103"/>
      <c r="W2668" s="101"/>
    </row>
    <row r="2669" spans="1:23" x14ac:dyDescent="0.25">
      <c r="A2669" s="98"/>
      <c r="H2669" s="101"/>
      <c r="I2669" s="101"/>
      <c r="J2669" s="101"/>
      <c r="K2669" s="101"/>
      <c r="L2669" s="101"/>
      <c r="M2669" s="101"/>
      <c r="N2669" s="101"/>
      <c r="O2669" s="101"/>
      <c r="P2669" s="101"/>
      <c r="Q2669" s="101"/>
      <c r="R2669" s="101"/>
      <c r="S2669" s="110"/>
      <c r="T2669" s="102"/>
      <c r="U2669" s="101"/>
      <c r="V2669" s="103"/>
      <c r="W2669" s="101"/>
    </row>
    <row r="2670" spans="1:23" x14ac:dyDescent="0.25">
      <c r="A2670" s="98"/>
      <c r="H2670" s="101"/>
      <c r="I2670" s="101"/>
      <c r="J2670" s="101"/>
      <c r="K2670" s="101"/>
      <c r="L2670" s="101"/>
      <c r="M2670" s="101"/>
      <c r="N2670" s="101"/>
      <c r="O2670" s="101"/>
      <c r="P2670" s="101"/>
      <c r="Q2670" s="101"/>
      <c r="R2670" s="101"/>
      <c r="S2670" s="110"/>
      <c r="T2670" s="102"/>
      <c r="U2670" s="101"/>
      <c r="V2670" s="103"/>
      <c r="W2670" s="101"/>
    </row>
    <row r="2671" spans="1:23" x14ac:dyDescent="0.25">
      <c r="A2671" s="98"/>
      <c r="H2671" s="101"/>
      <c r="I2671" s="101"/>
      <c r="J2671" s="101"/>
      <c r="K2671" s="101"/>
      <c r="L2671" s="101"/>
      <c r="M2671" s="101"/>
      <c r="N2671" s="101"/>
      <c r="O2671" s="101"/>
      <c r="P2671" s="101"/>
      <c r="Q2671" s="101"/>
      <c r="R2671" s="101"/>
      <c r="S2671" s="110"/>
      <c r="T2671" s="102"/>
      <c r="U2671" s="101"/>
      <c r="V2671" s="103"/>
      <c r="W2671" s="101"/>
    </row>
    <row r="2672" spans="1:23" x14ac:dyDescent="0.25">
      <c r="A2672" s="98"/>
      <c r="H2672" s="101"/>
      <c r="I2672" s="101"/>
      <c r="J2672" s="101"/>
      <c r="K2672" s="101"/>
      <c r="L2672" s="101"/>
      <c r="M2672" s="101"/>
      <c r="N2672" s="101"/>
      <c r="O2672" s="101"/>
      <c r="P2672" s="101"/>
      <c r="Q2672" s="101"/>
      <c r="R2672" s="101"/>
      <c r="S2672" s="110"/>
      <c r="T2672" s="102"/>
      <c r="U2672" s="101"/>
      <c r="V2672" s="103"/>
      <c r="W2672" s="101"/>
    </row>
    <row r="2673" spans="1:23" x14ac:dyDescent="0.25">
      <c r="A2673" s="98"/>
      <c r="H2673" s="101"/>
      <c r="I2673" s="101"/>
      <c r="J2673" s="101"/>
      <c r="K2673" s="101"/>
      <c r="L2673" s="101"/>
      <c r="M2673" s="101"/>
      <c r="N2673" s="101"/>
      <c r="O2673" s="101"/>
      <c r="P2673" s="101"/>
      <c r="Q2673" s="101"/>
      <c r="R2673" s="101"/>
      <c r="S2673" s="110"/>
      <c r="T2673" s="102"/>
      <c r="U2673" s="101"/>
      <c r="V2673" s="103"/>
      <c r="W2673" s="101"/>
    </row>
    <row r="2674" spans="1:23" x14ac:dyDescent="0.25">
      <c r="A2674" s="98"/>
      <c r="H2674" s="101"/>
      <c r="I2674" s="101"/>
      <c r="J2674" s="101"/>
      <c r="K2674" s="101"/>
      <c r="L2674" s="101"/>
      <c r="M2674" s="101"/>
      <c r="N2674" s="101"/>
      <c r="O2674" s="101"/>
      <c r="P2674" s="101"/>
      <c r="Q2674" s="101"/>
      <c r="R2674" s="101"/>
      <c r="S2674" s="110"/>
      <c r="T2674" s="102"/>
      <c r="U2674" s="101"/>
      <c r="V2674" s="103"/>
      <c r="W2674" s="101"/>
    </row>
    <row r="2675" spans="1:23" x14ac:dyDescent="0.25">
      <c r="A2675" s="98"/>
      <c r="H2675" s="101"/>
      <c r="I2675" s="101"/>
      <c r="J2675" s="101"/>
      <c r="K2675" s="101"/>
      <c r="L2675" s="101"/>
      <c r="M2675" s="101"/>
      <c r="N2675" s="101"/>
      <c r="O2675" s="101"/>
      <c r="P2675" s="101"/>
      <c r="Q2675" s="101"/>
      <c r="R2675" s="101"/>
      <c r="S2675" s="110"/>
      <c r="T2675" s="102"/>
      <c r="U2675" s="101"/>
      <c r="V2675" s="103"/>
      <c r="W2675" s="101"/>
    </row>
    <row r="2676" spans="1:23" x14ac:dyDescent="0.25">
      <c r="A2676" s="98"/>
      <c r="H2676" s="101"/>
      <c r="I2676" s="101"/>
      <c r="J2676" s="101"/>
      <c r="K2676" s="101"/>
      <c r="L2676" s="101"/>
      <c r="M2676" s="101"/>
      <c r="N2676" s="101"/>
      <c r="O2676" s="101"/>
      <c r="P2676" s="101"/>
      <c r="Q2676" s="101"/>
      <c r="R2676" s="101"/>
      <c r="S2676" s="110"/>
      <c r="T2676" s="102"/>
      <c r="U2676" s="101"/>
      <c r="V2676" s="103"/>
      <c r="W2676" s="101"/>
    </row>
    <row r="2677" spans="1:23" x14ac:dyDescent="0.25">
      <c r="A2677" s="98"/>
      <c r="H2677" s="101"/>
      <c r="I2677" s="101"/>
      <c r="J2677" s="101"/>
      <c r="K2677" s="101"/>
      <c r="L2677" s="101"/>
      <c r="M2677" s="101"/>
      <c r="N2677" s="101"/>
      <c r="O2677" s="101"/>
      <c r="P2677" s="101"/>
      <c r="Q2677" s="101"/>
      <c r="R2677" s="101"/>
      <c r="S2677" s="110"/>
      <c r="T2677" s="102"/>
      <c r="U2677" s="101"/>
      <c r="V2677" s="103"/>
      <c r="W2677" s="101"/>
    </row>
    <row r="2678" spans="1:23" x14ac:dyDescent="0.25">
      <c r="A2678" s="98"/>
      <c r="H2678" s="101"/>
      <c r="I2678" s="101"/>
      <c r="J2678" s="101"/>
      <c r="K2678" s="101"/>
      <c r="L2678" s="101"/>
      <c r="M2678" s="101"/>
      <c r="N2678" s="101"/>
      <c r="O2678" s="101"/>
      <c r="P2678" s="101"/>
      <c r="Q2678" s="101"/>
      <c r="R2678" s="101"/>
      <c r="S2678" s="110"/>
      <c r="T2678" s="102"/>
      <c r="U2678" s="101"/>
      <c r="V2678" s="103"/>
      <c r="W2678" s="101"/>
    </row>
    <row r="2679" spans="1:23" x14ac:dyDescent="0.25">
      <c r="A2679" s="98"/>
      <c r="H2679" s="101"/>
      <c r="I2679" s="101"/>
      <c r="J2679" s="101"/>
      <c r="K2679" s="101"/>
      <c r="L2679" s="101"/>
      <c r="M2679" s="101"/>
      <c r="N2679" s="101"/>
      <c r="O2679" s="101"/>
      <c r="P2679" s="101"/>
      <c r="Q2679" s="101"/>
      <c r="R2679" s="101"/>
      <c r="S2679" s="110"/>
      <c r="T2679" s="102"/>
      <c r="U2679" s="101"/>
      <c r="V2679" s="103"/>
      <c r="W2679" s="101"/>
    </row>
    <row r="2680" spans="1:23" x14ac:dyDescent="0.25">
      <c r="A2680" s="98"/>
      <c r="H2680" s="101"/>
      <c r="I2680" s="101"/>
      <c r="J2680" s="101"/>
      <c r="K2680" s="101"/>
      <c r="L2680" s="101"/>
      <c r="M2680" s="101"/>
      <c r="N2680" s="101"/>
      <c r="O2680" s="101"/>
      <c r="P2680" s="101"/>
      <c r="Q2680" s="101"/>
      <c r="R2680" s="101"/>
      <c r="S2680" s="110"/>
      <c r="T2680" s="102"/>
      <c r="U2680" s="101"/>
      <c r="V2680" s="103"/>
      <c r="W2680" s="101"/>
    </row>
    <row r="2681" spans="1:23" x14ac:dyDescent="0.25">
      <c r="A2681" s="98"/>
      <c r="H2681" s="101"/>
      <c r="I2681" s="101"/>
      <c r="J2681" s="101"/>
      <c r="K2681" s="101"/>
      <c r="L2681" s="101"/>
      <c r="M2681" s="101"/>
      <c r="N2681" s="101"/>
      <c r="O2681" s="101"/>
      <c r="P2681" s="101"/>
      <c r="Q2681" s="101"/>
      <c r="R2681" s="101"/>
      <c r="S2681" s="110"/>
      <c r="T2681" s="102"/>
      <c r="U2681" s="101"/>
      <c r="V2681" s="103"/>
      <c r="W2681" s="101"/>
    </row>
    <row r="2682" spans="1:23" x14ac:dyDescent="0.25">
      <c r="A2682" s="98"/>
      <c r="H2682" s="101"/>
      <c r="I2682" s="101"/>
      <c r="J2682" s="101"/>
      <c r="K2682" s="101"/>
      <c r="L2682" s="101"/>
      <c r="M2682" s="101"/>
      <c r="N2682" s="101"/>
      <c r="O2682" s="101"/>
      <c r="P2682" s="101"/>
      <c r="Q2682" s="101"/>
      <c r="R2682" s="101"/>
      <c r="S2682" s="110"/>
      <c r="T2682" s="102"/>
      <c r="U2682" s="101"/>
      <c r="V2682" s="103"/>
      <c r="W2682" s="101"/>
    </row>
    <row r="2683" spans="1:23" x14ac:dyDescent="0.25">
      <c r="A2683" s="98"/>
      <c r="H2683" s="101"/>
      <c r="I2683" s="101"/>
      <c r="J2683" s="101"/>
      <c r="K2683" s="101"/>
      <c r="L2683" s="101"/>
      <c r="M2683" s="101"/>
      <c r="N2683" s="101"/>
      <c r="O2683" s="101"/>
      <c r="P2683" s="101"/>
      <c r="Q2683" s="101"/>
      <c r="R2683" s="101"/>
      <c r="S2683" s="110"/>
      <c r="T2683" s="102"/>
      <c r="U2683" s="101"/>
      <c r="V2683" s="103"/>
      <c r="W2683" s="101"/>
    </row>
    <row r="2684" spans="1:23" x14ac:dyDescent="0.25">
      <c r="A2684" s="98"/>
      <c r="H2684" s="101"/>
      <c r="I2684" s="101"/>
      <c r="J2684" s="101"/>
      <c r="K2684" s="101"/>
      <c r="L2684" s="101"/>
      <c r="M2684" s="101"/>
      <c r="N2684" s="101"/>
      <c r="O2684" s="101"/>
      <c r="P2684" s="101"/>
      <c r="Q2684" s="101"/>
      <c r="R2684" s="101"/>
      <c r="S2684" s="110"/>
      <c r="T2684" s="102"/>
      <c r="U2684" s="101"/>
      <c r="V2684" s="103"/>
      <c r="W2684" s="101"/>
    </row>
    <row r="2685" spans="1:23" x14ac:dyDescent="0.25">
      <c r="A2685" s="98"/>
      <c r="H2685" s="101"/>
      <c r="I2685" s="101"/>
      <c r="J2685" s="101"/>
      <c r="K2685" s="101"/>
      <c r="L2685" s="101"/>
      <c r="M2685" s="101"/>
      <c r="N2685" s="101"/>
      <c r="O2685" s="101"/>
      <c r="P2685" s="101"/>
      <c r="Q2685" s="101"/>
      <c r="R2685" s="101"/>
      <c r="S2685" s="110"/>
      <c r="T2685" s="102"/>
      <c r="U2685" s="101"/>
      <c r="V2685" s="103"/>
      <c r="W2685" s="101"/>
    </row>
    <row r="2686" spans="1:23" x14ac:dyDescent="0.25">
      <c r="A2686" s="98"/>
      <c r="H2686" s="101"/>
      <c r="I2686" s="101"/>
      <c r="J2686" s="101"/>
      <c r="K2686" s="101"/>
      <c r="L2686" s="101"/>
      <c r="M2686" s="101"/>
      <c r="N2686" s="101"/>
      <c r="O2686" s="101"/>
      <c r="P2686" s="101"/>
      <c r="Q2686" s="101"/>
      <c r="R2686" s="101"/>
      <c r="S2686" s="110"/>
      <c r="T2686" s="102"/>
      <c r="U2686" s="101"/>
      <c r="V2686" s="103"/>
      <c r="W2686" s="101"/>
    </row>
    <row r="2687" spans="1:23" x14ac:dyDescent="0.25">
      <c r="A2687" s="98"/>
      <c r="H2687" s="101"/>
      <c r="I2687" s="101"/>
      <c r="J2687" s="101"/>
      <c r="K2687" s="101"/>
      <c r="L2687" s="101"/>
      <c r="M2687" s="101"/>
      <c r="N2687" s="101"/>
      <c r="O2687" s="101"/>
      <c r="P2687" s="101"/>
      <c r="Q2687" s="101"/>
      <c r="R2687" s="101"/>
      <c r="S2687" s="110"/>
      <c r="T2687" s="102"/>
      <c r="U2687" s="101"/>
      <c r="V2687" s="103"/>
      <c r="W2687" s="101"/>
    </row>
    <row r="2688" spans="1:23" x14ac:dyDescent="0.25">
      <c r="A2688" s="98"/>
      <c r="H2688" s="101"/>
      <c r="I2688" s="101"/>
      <c r="J2688" s="101"/>
      <c r="K2688" s="101"/>
      <c r="L2688" s="101"/>
      <c r="M2688" s="101"/>
      <c r="N2688" s="101"/>
      <c r="O2688" s="101"/>
      <c r="P2688" s="101"/>
      <c r="Q2688" s="101"/>
      <c r="R2688" s="101"/>
      <c r="S2688" s="110"/>
      <c r="T2688" s="102"/>
      <c r="U2688" s="101"/>
      <c r="V2688" s="103"/>
      <c r="W2688" s="101"/>
    </row>
    <row r="2689" spans="1:23" x14ac:dyDescent="0.25">
      <c r="A2689" s="98"/>
      <c r="H2689" s="101"/>
      <c r="I2689" s="101"/>
      <c r="J2689" s="101"/>
      <c r="K2689" s="101"/>
      <c r="L2689" s="101"/>
      <c r="M2689" s="101"/>
      <c r="N2689" s="101"/>
      <c r="O2689" s="101"/>
      <c r="P2689" s="101"/>
      <c r="Q2689" s="101"/>
      <c r="R2689" s="101"/>
      <c r="S2689" s="110"/>
      <c r="T2689" s="102"/>
      <c r="U2689" s="101"/>
      <c r="V2689" s="103"/>
      <c r="W2689" s="101"/>
    </row>
    <row r="2690" spans="1:23" x14ac:dyDescent="0.25">
      <c r="A2690" s="98"/>
      <c r="H2690" s="101"/>
      <c r="I2690" s="101"/>
      <c r="J2690" s="101"/>
      <c r="K2690" s="101"/>
      <c r="L2690" s="101"/>
      <c r="M2690" s="101"/>
      <c r="N2690" s="101"/>
      <c r="O2690" s="101"/>
      <c r="P2690" s="101"/>
      <c r="Q2690" s="101"/>
      <c r="R2690" s="101"/>
      <c r="S2690" s="110"/>
      <c r="T2690" s="102"/>
      <c r="U2690" s="101"/>
      <c r="V2690" s="103"/>
      <c r="W2690" s="101"/>
    </row>
    <row r="2691" spans="1:23" x14ac:dyDescent="0.25">
      <c r="A2691" s="98"/>
      <c r="H2691" s="101"/>
      <c r="I2691" s="101"/>
      <c r="J2691" s="101"/>
      <c r="K2691" s="101"/>
      <c r="L2691" s="101"/>
      <c r="M2691" s="101"/>
      <c r="N2691" s="101"/>
      <c r="O2691" s="101"/>
      <c r="P2691" s="101"/>
      <c r="Q2691" s="101"/>
      <c r="R2691" s="101"/>
      <c r="S2691" s="110"/>
      <c r="T2691" s="102"/>
      <c r="U2691" s="101"/>
      <c r="V2691" s="103"/>
      <c r="W2691" s="101"/>
    </row>
    <row r="2692" spans="1:23" x14ac:dyDescent="0.25">
      <c r="A2692" s="98"/>
      <c r="H2692" s="101"/>
      <c r="I2692" s="101"/>
      <c r="J2692" s="101"/>
      <c r="K2692" s="101"/>
      <c r="L2692" s="101"/>
      <c r="M2692" s="101"/>
      <c r="N2692" s="101"/>
      <c r="O2692" s="101"/>
      <c r="P2692" s="101"/>
      <c r="Q2692" s="101"/>
      <c r="R2692" s="101"/>
      <c r="S2692" s="110"/>
      <c r="T2692" s="102"/>
      <c r="U2692" s="101"/>
      <c r="V2692" s="103"/>
      <c r="W2692" s="101"/>
    </row>
    <row r="2693" spans="1:23" x14ac:dyDescent="0.25">
      <c r="A2693" s="98"/>
      <c r="H2693" s="101"/>
      <c r="I2693" s="101"/>
      <c r="J2693" s="101"/>
      <c r="K2693" s="101"/>
      <c r="L2693" s="101"/>
      <c r="M2693" s="101"/>
      <c r="N2693" s="101"/>
      <c r="O2693" s="101"/>
      <c r="P2693" s="101"/>
      <c r="Q2693" s="101"/>
      <c r="R2693" s="101"/>
      <c r="S2693" s="110"/>
      <c r="T2693" s="102"/>
      <c r="U2693" s="101"/>
      <c r="V2693" s="103"/>
      <c r="W2693" s="101"/>
    </row>
    <row r="2694" spans="1:23" x14ac:dyDescent="0.25">
      <c r="A2694" s="98"/>
      <c r="H2694" s="101"/>
      <c r="I2694" s="101"/>
      <c r="J2694" s="101"/>
      <c r="K2694" s="101"/>
      <c r="L2694" s="101"/>
      <c r="M2694" s="101"/>
      <c r="N2694" s="101"/>
      <c r="O2694" s="101"/>
      <c r="P2694" s="101"/>
      <c r="Q2694" s="101"/>
      <c r="R2694" s="101"/>
      <c r="S2694" s="110"/>
      <c r="T2694" s="102"/>
      <c r="U2694" s="101"/>
      <c r="V2694" s="103"/>
      <c r="W2694" s="101"/>
    </row>
    <row r="2695" spans="1:23" x14ac:dyDescent="0.25">
      <c r="A2695" s="98"/>
      <c r="H2695" s="101"/>
      <c r="I2695" s="101"/>
      <c r="J2695" s="101"/>
      <c r="K2695" s="101"/>
      <c r="L2695" s="101"/>
      <c r="M2695" s="101"/>
      <c r="N2695" s="101"/>
      <c r="O2695" s="101"/>
      <c r="P2695" s="101"/>
      <c r="Q2695" s="101"/>
      <c r="R2695" s="101"/>
      <c r="S2695" s="110"/>
      <c r="T2695" s="102"/>
      <c r="U2695" s="101"/>
      <c r="V2695" s="103"/>
      <c r="W2695" s="101"/>
    </row>
    <row r="2696" spans="1:23" x14ac:dyDescent="0.25">
      <c r="A2696" s="98"/>
      <c r="H2696" s="101"/>
      <c r="I2696" s="101"/>
      <c r="J2696" s="101"/>
      <c r="K2696" s="101"/>
      <c r="L2696" s="101"/>
      <c r="M2696" s="101"/>
      <c r="N2696" s="101"/>
      <c r="O2696" s="101"/>
      <c r="P2696" s="101"/>
      <c r="Q2696" s="101"/>
      <c r="R2696" s="101"/>
      <c r="S2696" s="110"/>
      <c r="T2696" s="102"/>
      <c r="U2696" s="101"/>
      <c r="V2696" s="103"/>
      <c r="W2696" s="101"/>
    </row>
    <row r="2697" spans="1:23" x14ac:dyDescent="0.25">
      <c r="A2697" s="98"/>
      <c r="H2697" s="101"/>
      <c r="I2697" s="101"/>
      <c r="J2697" s="101"/>
      <c r="K2697" s="101"/>
      <c r="L2697" s="101"/>
      <c r="M2697" s="101"/>
      <c r="N2697" s="101"/>
      <c r="O2697" s="101"/>
      <c r="P2697" s="101"/>
      <c r="Q2697" s="101"/>
      <c r="R2697" s="101"/>
      <c r="S2697" s="110"/>
      <c r="T2697" s="102"/>
      <c r="U2697" s="101"/>
      <c r="V2697" s="103"/>
      <c r="W2697" s="101"/>
    </row>
    <row r="2698" spans="1:23" x14ac:dyDescent="0.25">
      <c r="A2698" s="98"/>
      <c r="H2698" s="101"/>
      <c r="I2698" s="101"/>
      <c r="J2698" s="101"/>
      <c r="K2698" s="101"/>
      <c r="L2698" s="101"/>
      <c r="M2698" s="101"/>
      <c r="N2698" s="101"/>
      <c r="O2698" s="101"/>
      <c r="P2698" s="101"/>
      <c r="Q2698" s="101"/>
      <c r="R2698" s="101"/>
      <c r="S2698" s="110"/>
      <c r="T2698" s="102"/>
      <c r="U2698" s="101"/>
      <c r="V2698" s="103"/>
      <c r="W2698" s="101"/>
    </row>
    <row r="2699" spans="1:23" x14ac:dyDescent="0.25">
      <c r="A2699" s="98"/>
      <c r="H2699" s="101"/>
      <c r="I2699" s="101"/>
      <c r="J2699" s="101"/>
      <c r="K2699" s="101"/>
      <c r="L2699" s="101"/>
      <c r="M2699" s="101"/>
      <c r="N2699" s="101"/>
      <c r="O2699" s="101"/>
      <c r="P2699" s="101"/>
      <c r="Q2699" s="101"/>
      <c r="R2699" s="101"/>
      <c r="S2699" s="110"/>
      <c r="T2699" s="102"/>
      <c r="U2699" s="101"/>
      <c r="V2699" s="103"/>
      <c r="W2699" s="101"/>
    </row>
    <row r="2700" spans="1:23" x14ac:dyDescent="0.25">
      <c r="A2700" s="98"/>
      <c r="H2700" s="101"/>
      <c r="I2700" s="101"/>
      <c r="J2700" s="101"/>
      <c r="K2700" s="101"/>
      <c r="L2700" s="101"/>
      <c r="M2700" s="101"/>
      <c r="N2700" s="101"/>
      <c r="O2700" s="101"/>
      <c r="P2700" s="101"/>
      <c r="Q2700" s="101"/>
      <c r="R2700" s="101"/>
      <c r="S2700" s="110"/>
      <c r="T2700" s="102"/>
      <c r="U2700" s="101"/>
      <c r="V2700" s="103"/>
      <c r="W2700" s="101"/>
    </row>
    <row r="2701" spans="1:23" x14ac:dyDescent="0.25">
      <c r="A2701" s="98"/>
      <c r="H2701" s="101"/>
      <c r="I2701" s="101"/>
      <c r="J2701" s="101"/>
      <c r="K2701" s="101"/>
      <c r="L2701" s="101"/>
      <c r="M2701" s="101"/>
      <c r="N2701" s="101"/>
      <c r="O2701" s="101"/>
      <c r="P2701" s="101"/>
      <c r="Q2701" s="101"/>
      <c r="R2701" s="101"/>
      <c r="S2701" s="110"/>
      <c r="T2701" s="102"/>
      <c r="U2701" s="101"/>
      <c r="V2701" s="103"/>
      <c r="W2701" s="101"/>
    </row>
    <row r="2702" spans="1:23" x14ac:dyDescent="0.25">
      <c r="A2702" s="98"/>
      <c r="H2702" s="101"/>
      <c r="I2702" s="101"/>
      <c r="J2702" s="101"/>
      <c r="K2702" s="101"/>
      <c r="L2702" s="101"/>
      <c r="M2702" s="101"/>
      <c r="N2702" s="101"/>
      <c r="O2702" s="101"/>
      <c r="P2702" s="101"/>
      <c r="Q2702" s="101"/>
      <c r="R2702" s="101"/>
      <c r="S2702" s="110"/>
      <c r="T2702" s="102"/>
      <c r="U2702" s="101"/>
      <c r="V2702" s="103"/>
      <c r="W2702" s="101"/>
    </row>
    <row r="2703" spans="1:23" x14ac:dyDescent="0.25">
      <c r="A2703" s="98"/>
      <c r="H2703" s="101"/>
      <c r="I2703" s="101"/>
      <c r="J2703" s="101"/>
      <c r="K2703" s="101"/>
      <c r="L2703" s="101"/>
      <c r="M2703" s="101"/>
      <c r="N2703" s="101"/>
      <c r="O2703" s="101"/>
      <c r="P2703" s="101"/>
      <c r="Q2703" s="101"/>
      <c r="R2703" s="101"/>
      <c r="S2703" s="110"/>
      <c r="T2703" s="102"/>
      <c r="U2703" s="101"/>
      <c r="V2703" s="103"/>
      <c r="W2703" s="101"/>
    </row>
    <row r="2704" spans="1:23" x14ac:dyDescent="0.25">
      <c r="A2704" s="98"/>
      <c r="H2704" s="101"/>
      <c r="I2704" s="101"/>
      <c r="J2704" s="101"/>
      <c r="K2704" s="101"/>
      <c r="L2704" s="101"/>
      <c r="M2704" s="101"/>
      <c r="N2704" s="101"/>
      <c r="O2704" s="101"/>
      <c r="P2704" s="101"/>
      <c r="Q2704" s="101"/>
      <c r="R2704" s="101"/>
      <c r="S2704" s="110"/>
      <c r="T2704" s="102"/>
      <c r="U2704" s="101"/>
      <c r="V2704" s="103"/>
      <c r="W2704" s="101"/>
    </row>
    <row r="2705" spans="1:23" x14ac:dyDescent="0.25">
      <c r="A2705" s="98"/>
      <c r="H2705" s="101"/>
      <c r="I2705" s="101"/>
      <c r="J2705" s="101"/>
      <c r="K2705" s="101"/>
      <c r="L2705" s="101"/>
      <c r="M2705" s="101"/>
      <c r="N2705" s="101"/>
      <c r="O2705" s="101"/>
      <c r="P2705" s="101"/>
      <c r="Q2705" s="101"/>
      <c r="R2705" s="101"/>
      <c r="S2705" s="110"/>
      <c r="T2705" s="102"/>
      <c r="U2705" s="101"/>
      <c r="V2705" s="103"/>
      <c r="W2705" s="101"/>
    </row>
    <row r="2706" spans="1:23" x14ac:dyDescent="0.25">
      <c r="A2706" s="98"/>
      <c r="H2706" s="101"/>
      <c r="I2706" s="101"/>
      <c r="J2706" s="101"/>
      <c r="K2706" s="101"/>
      <c r="L2706" s="101"/>
      <c r="M2706" s="101"/>
      <c r="N2706" s="101"/>
      <c r="O2706" s="101"/>
      <c r="P2706" s="101"/>
      <c r="Q2706" s="101"/>
      <c r="R2706" s="101"/>
      <c r="S2706" s="110"/>
      <c r="T2706" s="102"/>
      <c r="U2706" s="101"/>
      <c r="V2706" s="103"/>
      <c r="W2706" s="101"/>
    </row>
    <row r="2707" spans="1:23" x14ac:dyDescent="0.25">
      <c r="A2707" s="98"/>
      <c r="H2707" s="101"/>
      <c r="I2707" s="101"/>
      <c r="J2707" s="101"/>
      <c r="K2707" s="101"/>
      <c r="L2707" s="101"/>
      <c r="M2707" s="101"/>
      <c r="N2707" s="101"/>
      <c r="O2707" s="101"/>
      <c r="P2707" s="101"/>
      <c r="Q2707" s="101"/>
      <c r="R2707" s="101"/>
      <c r="S2707" s="110"/>
      <c r="T2707" s="102"/>
      <c r="U2707" s="101"/>
      <c r="V2707" s="103"/>
      <c r="W2707" s="101"/>
    </row>
    <row r="2708" spans="1:23" x14ac:dyDescent="0.25">
      <c r="A2708" s="98"/>
      <c r="H2708" s="101"/>
      <c r="I2708" s="101"/>
      <c r="J2708" s="101"/>
      <c r="K2708" s="101"/>
      <c r="L2708" s="101"/>
      <c r="M2708" s="101"/>
      <c r="N2708" s="101"/>
      <c r="O2708" s="101"/>
      <c r="P2708" s="101"/>
      <c r="Q2708" s="101"/>
      <c r="R2708" s="101"/>
      <c r="S2708" s="110"/>
      <c r="T2708" s="102"/>
      <c r="U2708" s="101"/>
      <c r="V2708" s="103"/>
      <c r="W2708" s="101"/>
    </row>
    <row r="2709" spans="1:23" x14ac:dyDescent="0.25">
      <c r="A2709" s="98"/>
      <c r="H2709" s="101"/>
      <c r="I2709" s="101"/>
      <c r="J2709" s="101"/>
      <c r="K2709" s="101"/>
      <c r="L2709" s="101"/>
      <c r="M2709" s="101"/>
      <c r="N2709" s="101"/>
      <c r="O2709" s="101"/>
      <c r="P2709" s="101"/>
      <c r="Q2709" s="101"/>
      <c r="R2709" s="101"/>
      <c r="S2709" s="110"/>
      <c r="T2709" s="102"/>
      <c r="U2709" s="101"/>
      <c r="V2709" s="103"/>
      <c r="W2709" s="101"/>
    </row>
    <row r="2710" spans="1:23" x14ac:dyDescent="0.25">
      <c r="A2710" s="98"/>
      <c r="H2710" s="101"/>
      <c r="I2710" s="101"/>
      <c r="J2710" s="101"/>
      <c r="K2710" s="101"/>
      <c r="L2710" s="101"/>
      <c r="M2710" s="101"/>
      <c r="N2710" s="101"/>
      <c r="O2710" s="101"/>
      <c r="P2710" s="101"/>
      <c r="Q2710" s="101"/>
      <c r="R2710" s="101"/>
      <c r="S2710" s="110"/>
      <c r="T2710" s="102"/>
      <c r="U2710" s="101"/>
      <c r="V2710" s="103"/>
      <c r="W2710" s="101"/>
    </row>
    <row r="2711" spans="1:23" x14ac:dyDescent="0.25">
      <c r="A2711" s="98"/>
      <c r="H2711" s="101"/>
      <c r="I2711" s="101"/>
      <c r="J2711" s="101"/>
      <c r="K2711" s="101"/>
      <c r="L2711" s="101"/>
      <c r="M2711" s="101"/>
      <c r="N2711" s="101"/>
      <c r="O2711" s="101"/>
      <c r="P2711" s="101"/>
      <c r="Q2711" s="101"/>
      <c r="R2711" s="101"/>
      <c r="S2711" s="110"/>
      <c r="T2711" s="102"/>
      <c r="U2711" s="101"/>
      <c r="V2711" s="103"/>
      <c r="W2711" s="101"/>
    </row>
    <row r="2712" spans="1:23" x14ac:dyDescent="0.25">
      <c r="A2712" s="98"/>
      <c r="H2712" s="101"/>
      <c r="I2712" s="101"/>
      <c r="J2712" s="101"/>
      <c r="K2712" s="101"/>
      <c r="L2712" s="101"/>
      <c r="M2712" s="101"/>
      <c r="N2712" s="101"/>
      <c r="O2712" s="101"/>
      <c r="P2712" s="101"/>
      <c r="Q2712" s="101"/>
      <c r="R2712" s="101"/>
      <c r="S2712" s="110"/>
      <c r="T2712" s="102"/>
      <c r="U2712" s="101"/>
      <c r="V2712" s="103"/>
      <c r="W2712" s="101"/>
    </row>
    <row r="2713" spans="1:23" x14ac:dyDescent="0.25">
      <c r="A2713" s="98"/>
      <c r="H2713" s="101"/>
      <c r="I2713" s="101"/>
      <c r="J2713" s="101"/>
      <c r="K2713" s="101"/>
      <c r="L2713" s="101"/>
      <c r="M2713" s="101"/>
      <c r="N2713" s="101"/>
      <c r="O2713" s="101"/>
      <c r="P2713" s="101"/>
      <c r="Q2713" s="101"/>
      <c r="R2713" s="101"/>
      <c r="S2713" s="110"/>
      <c r="T2713" s="102"/>
      <c r="U2713" s="101"/>
      <c r="V2713" s="103"/>
      <c r="W2713" s="101"/>
    </row>
    <row r="2714" spans="1:23" x14ac:dyDescent="0.25">
      <c r="A2714" s="98"/>
      <c r="H2714" s="101"/>
      <c r="I2714" s="101"/>
      <c r="J2714" s="101"/>
      <c r="K2714" s="101"/>
      <c r="L2714" s="101"/>
      <c r="M2714" s="101"/>
      <c r="N2714" s="101"/>
      <c r="O2714" s="101"/>
      <c r="P2714" s="101"/>
      <c r="Q2714" s="101"/>
      <c r="R2714" s="101"/>
      <c r="S2714" s="110"/>
      <c r="T2714" s="102"/>
      <c r="U2714" s="101"/>
      <c r="V2714" s="103"/>
      <c r="W2714" s="101"/>
    </row>
    <row r="2715" spans="1:23" x14ac:dyDescent="0.25">
      <c r="A2715" s="98"/>
      <c r="H2715" s="101"/>
      <c r="I2715" s="101"/>
      <c r="J2715" s="101"/>
      <c r="K2715" s="101"/>
      <c r="L2715" s="101"/>
      <c r="M2715" s="101"/>
      <c r="N2715" s="101"/>
      <c r="O2715" s="101"/>
      <c r="P2715" s="101"/>
      <c r="Q2715" s="101"/>
      <c r="R2715" s="101"/>
      <c r="S2715" s="110"/>
      <c r="T2715" s="102"/>
      <c r="U2715" s="101"/>
      <c r="V2715" s="103"/>
      <c r="W2715" s="101"/>
    </row>
    <row r="2716" spans="1:23" x14ac:dyDescent="0.25">
      <c r="A2716" s="98"/>
      <c r="H2716" s="101"/>
      <c r="I2716" s="101"/>
      <c r="J2716" s="101"/>
      <c r="K2716" s="101"/>
      <c r="L2716" s="101"/>
      <c r="M2716" s="101"/>
      <c r="N2716" s="101"/>
      <c r="O2716" s="101"/>
      <c r="P2716" s="101"/>
      <c r="Q2716" s="101"/>
      <c r="R2716" s="101"/>
      <c r="S2716" s="110"/>
      <c r="T2716" s="102"/>
      <c r="U2716" s="101"/>
      <c r="V2716" s="103"/>
      <c r="W2716" s="101"/>
    </row>
    <row r="2717" spans="1:23" x14ac:dyDescent="0.25">
      <c r="A2717" s="98"/>
      <c r="H2717" s="101"/>
      <c r="I2717" s="101"/>
      <c r="J2717" s="101"/>
      <c r="K2717" s="101"/>
      <c r="L2717" s="101"/>
      <c r="M2717" s="101"/>
      <c r="N2717" s="101"/>
      <c r="O2717" s="101"/>
      <c r="P2717" s="101"/>
      <c r="Q2717" s="101"/>
      <c r="R2717" s="101"/>
      <c r="S2717" s="110"/>
      <c r="T2717" s="102"/>
      <c r="U2717" s="101"/>
      <c r="V2717" s="103"/>
      <c r="W2717" s="101"/>
    </row>
    <row r="2718" spans="1:23" x14ac:dyDescent="0.25">
      <c r="A2718" s="98"/>
      <c r="H2718" s="101"/>
      <c r="I2718" s="101"/>
      <c r="J2718" s="101"/>
      <c r="K2718" s="101"/>
      <c r="L2718" s="101"/>
      <c r="M2718" s="101"/>
      <c r="N2718" s="101"/>
      <c r="O2718" s="101"/>
      <c r="P2718" s="101"/>
      <c r="Q2718" s="101"/>
      <c r="R2718" s="101"/>
      <c r="S2718" s="110"/>
      <c r="T2718" s="102"/>
      <c r="U2718" s="101"/>
      <c r="V2718" s="103"/>
      <c r="W2718" s="101"/>
    </row>
    <row r="2719" spans="1:23" x14ac:dyDescent="0.25">
      <c r="A2719" s="98"/>
      <c r="H2719" s="101"/>
      <c r="I2719" s="101"/>
      <c r="J2719" s="101"/>
      <c r="K2719" s="101"/>
      <c r="L2719" s="101"/>
      <c r="M2719" s="101"/>
      <c r="N2719" s="101"/>
      <c r="O2719" s="101"/>
      <c r="P2719" s="101"/>
      <c r="Q2719" s="101"/>
      <c r="R2719" s="101"/>
      <c r="S2719" s="110"/>
      <c r="T2719" s="102"/>
      <c r="U2719" s="101"/>
      <c r="V2719" s="103"/>
      <c r="W2719" s="101"/>
    </row>
    <row r="2720" spans="1:23" x14ac:dyDescent="0.25">
      <c r="A2720" s="98"/>
      <c r="H2720" s="101"/>
      <c r="I2720" s="101"/>
      <c r="J2720" s="101"/>
      <c r="K2720" s="101"/>
      <c r="L2720" s="101"/>
      <c r="M2720" s="101"/>
      <c r="N2720" s="101"/>
      <c r="O2720" s="101"/>
      <c r="P2720" s="101"/>
      <c r="Q2720" s="101"/>
      <c r="R2720" s="101"/>
      <c r="S2720" s="110"/>
      <c r="T2720" s="102"/>
      <c r="U2720" s="101"/>
      <c r="V2720" s="103"/>
      <c r="W2720" s="101"/>
    </row>
    <row r="2721" spans="1:23" x14ac:dyDescent="0.25">
      <c r="A2721" s="98"/>
      <c r="H2721" s="101"/>
      <c r="I2721" s="101"/>
      <c r="J2721" s="101"/>
      <c r="K2721" s="101"/>
      <c r="L2721" s="101"/>
      <c r="M2721" s="101"/>
      <c r="N2721" s="101"/>
      <c r="O2721" s="101"/>
      <c r="P2721" s="101"/>
      <c r="Q2721" s="101"/>
      <c r="R2721" s="101"/>
      <c r="S2721" s="110"/>
      <c r="T2721" s="102"/>
      <c r="U2721" s="101"/>
      <c r="V2721" s="103"/>
      <c r="W2721" s="101"/>
    </row>
    <row r="2722" spans="1:23" x14ac:dyDescent="0.25">
      <c r="A2722" s="98"/>
      <c r="H2722" s="101"/>
      <c r="I2722" s="101"/>
      <c r="J2722" s="101"/>
      <c r="K2722" s="101"/>
      <c r="L2722" s="101"/>
      <c r="M2722" s="101"/>
      <c r="N2722" s="101"/>
      <c r="O2722" s="101"/>
      <c r="P2722" s="101"/>
      <c r="Q2722" s="101"/>
      <c r="R2722" s="101"/>
      <c r="S2722" s="110"/>
      <c r="T2722" s="102"/>
      <c r="U2722" s="101"/>
      <c r="V2722" s="103"/>
      <c r="W2722" s="101"/>
    </row>
    <row r="2723" spans="1:23" x14ac:dyDescent="0.25">
      <c r="A2723" s="98"/>
      <c r="H2723" s="101"/>
      <c r="I2723" s="101"/>
      <c r="J2723" s="101"/>
      <c r="K2723" s="101"/>
      <c r="L2723" s="101"/>
      <c r="M2723" s="101"/>
      <c r="N2723" s="101"/>
      <c r="O2723" s="101"/>
      <c r="P2723" s="101"/>
      <c r="Q2723" s="101"/>
      <c r="R2723" s="101"/>
      <c r="S2723" s="110"/>
      <c r="T2723" s="102"/>
      <c r="U2723" s="101"/>
      <c r="V2723" s="103"/>
      <c r="W2723" s="101"/>
    </row>
    <row r="2724" spans="1:23" x14ac:dyDescent="0.25">
      <c r="A2724" s="98"/>
      <c r="H2724" s="101"/>
      <c r="I2724" s="101"/>
      <c r="J2724" s="101"/>
      <c r="K2724" s="101"/>
      <c r="L2724" s="101"/>
      <c r="M2724" s="101"/>
      <c r="N2724" s="101"/>
      <c r="O2724" s="101"/>
      <c r="P2724" s="101"/>
      <c r="Q2724" s="101"/>
      <c r="R2724" s="101"/>
      <c r="S2724" s="110"/>
      <c r="T2724" s="102"/>
      <c r="U2724" s="101"/>
      <c r="V2724" s="103"/>
      <c r="W2724" s="101"/>
    </row>
    <row r="2725" spans="1:23" x14ac:dyDescent="0.25">
      <c r="A2725" s="98"/>
      <c r="H2725" s="101"/>
      <c r="I2725" s="101"/>
      <c r="J2725" s="101"/>
      <c r="K2725" s="101"/>
      <c r="L2725" s="101"/>
      <c r="M2725" s="101"/>
      <c r="N2725" s="101"/>
      <c r="O2725" s="101"/>
      <c r="P2725" s="101"/>
      <c r="Q2725" s="101"/>
      <c r="R2725" s="101"/>
      <c r="S2725" s="110"/>
      <c r="T2725" s="102"/>
      <c r="U2725" s="101"/>
      <c r="V2725" s="103"/>
      <c r="W2725" s="101"/>
    </row>
    <row r="2726" spans="1:23" x14ac:dyDescent="0.25">
      <c r="A2726" s="98"/>
      <c r="H2726" s="101"/>
      <c r="I2726" s="101"/>
      <c r="J2726" s="101"/>
      <c r="K2726" s="101"/>
      <c r="L2726" s="101"/>
      <c r="M2726" s="101"/>
      <c r="N2726" s="101"/>
      <c r="O2726" s="101"/>
      <c r="P2726" s="101"/>
      <c r="Q2726" s="101"/>
      <c r="R2726" s="101"/>
      <c r="S2726" s="110"/>
      <c r="T2726" s="102"/>
      <c r="U2726" s="101"/>
      <c r="V2726" s="103"/>
      <c r="W2726" s="101"/>
    </row>
    <row r="2727" spans="1:23" x14ac:dyDescent="0.25">
      <c r="A2727" s="98"/>
      <c r="H2727" s="101"/>
      <c r="I2727" s="101"/>
      <c r="J2727" s="101"/>
      <c r="K2727" s="101"/>
      <c r="L2727" s="101"/>
      <c r="M2727" s="101"/>
      <c r="N2727" s="101"/>
      <c r="O2727" s="101"/>
      <c r="P2727" s="101"/>
      <c r="Q2727" s="101"/>
      <c r="R2727" s="101"/>
      <c r="S2727" s="110"/>
      <c r="T2727" s="102"/>
      <c r="U2727" s="101"/>
      <c r="V2727" s="103"/>
      <c r="W2727" s="101"/>
    </row>
    <row r="2728" spans="1:23" x14ac:dyDescent="0.25">
      <c r="A2728" s="98"/>
      <c r="H2728" s="101"/>
      <c r="I2728" s="101"/>
      <c r="J2728" s="101"/>
      <c r="K2728" s="101"/>
      <c r="L2728" s="101"/>
      <c r="M2728" s="101"/>
      <c r="N2728" s="101"/>
      <c r="O2728" s="101"/>
      <c r="P2728" s="101"/>
      <c r="Q2728" s="101"/>
      <c r="R2728" s="101"/>
      <c r="S2728" s="110"/>
      <c r="T2728" s="102"/>
      <c r="U2728" s="101"/>
      <c r="V2728" s="103"/>
      <c r="W2728" s="101"/>
    </row>
    <row r="2729" spans="1:23" x14ac:dyDescent="0.25">
      <c r="A2729" s="98"/>
      <c r="H2729" s="101"/>
      <c r="I2729" s="101"/>
      <c r="J2729" s="101"/>
      <c r="K2729" s="101"/>
      <c r="L2729" s="101"/>
      <c r="M2729" s="101"/>
      <c r="N2729" s="101"/>
      <c r="O2729" s="101"/>
      <c r="P2729" s="101"/>
      <c r="Q2729" s="101"/>
      <c r="R2729" s="101"/>
      <c r="S2729" s="110"/>
      <c r="T2729" s="102"/>
      <c r="U2729" s="101"/>
      <c r="V2729" s="103"/>
      <c r="W2729" s="101"/>
    </row>
    <row r="2730" spans="1:23" x14ac:dyDescent="0.25">
      <c r="A2730" s="98"/>
      <c r="H2730" s="101"/>
      <c r="I2730" s="101"/>
      <c r="J2730" s="101"/>
      <c r="K2730" s="101"/>
      <c r="L2730" s="101"/>
      <c r="M2730" s="101"/>
      <c r="N2730" s="101"/>
      <c r="O2730" s="101"/>
      <c r="P2730" s="101"/>
      <c r="Q2730" s="101"/>
      <c r="R2730" s="101"/>
      <c r="S2730" s="110"/>
      <c r="T2730" s="102"/>
      <c r="U2730" s="101"/>
      <c r="V2730" s="103"/>
      <c r="W2730" s="101"/>
    </row>
    <row r="2731" spans="1:23" x14ac:dyDescent="0.25">
      <c r="A2731" s="98"/>
      <c r="H2731" s="101"/>
      <c r="I2731" s="101"/>
      <c r="J2731" s="101"/>
      <c r="K2731" s="101"/>
      <c r="L2731" s="101"/>
      <c r="M2731" s="101"/>
      <c r="N2731" s="101"/>
      <c r="O2731" s="101"/>
      <c r="P2731" s="101"/>
      <c r="Q2731" s="101"/>
      <c r="R2731" s="101"/>
      <c r="S2731" s="110"/>
      <c r="T2731" s="102"/>
      <c r="U2731" s="101"/>
      <c r="V2731" s="103"/>
      <c r="W2731" s="101"/>
    </row>
    <row r="2732" spans="1:23" x14ac:dyDescent="0.25">
      <c r="A2732" s="98"/>
      <c r="H2732" s="101"/>
      <c r="I2732" s="101"/>
      <c r="J2732" s="101"/>
      <c r="K2732" s="101"/>
      <c r="L2732" s="101"/>
      <c r="M2732" s="101"/>
      <c r="N2732" s="101"/>
      <c r="O2732" s="101"/>
      <c r="P2732" s="101"/>
      <c r="Q2732" s="101"/>
      <c r="R2732" s="101"/>
      <c r="S2732" s="110"/>
      <c r="T2732" s="102"/>
      <c r="U2732" s="101"/>
      <c r="V2732" s="103"/>
      <c r="W2732" s="101"/>
    </row>
    <row r="2733" spans="1:23" x14ac:dyDescent="0.25">
      <c r="A2733" s="98"/>
      <c r="H2733" s="101"/>
      <c r="I2733" s="101"/>
      <c r="J2733" s="101"/>
      <c r="K2733" s="101"/>
      <c r="L2733" s="101"/>
      <c r="M2733" s="101"/>
      <c r="N2733" s="101"/>
      <c r="O2733" s="101"/>
      <c r="P2733" s="101"/>
      <c r="Q2733" s="101"/>
      <c r="R2733" s="101"/>
      <c r="S2733" s="110"/>
      <c r="T2733" s="102"/>
      <c r="U2733" s="101"/>
      <c r="V2733" s="103"/>
      <c r="W2733" s="101"/>
    </row>
    <row r="2734" spans="1:23" x14ac:dyDescent="0.25">
      <c r="A2734" s="98"/>
      <c r="H2734" s="101"/>
      <c r="I2734" s="101"/>
      <c r="J2734" s="101"/>
      <c r="K2734" s="101"/>
      <c r="L2734" s="101"/>
      <c r="M2734" s="101"/>
      <c r="N2734" s="101"/>
      <c r="O2734" s="101"/>
      <c r="P2734" s="101"/>
      <c r="Q2734" s="101"/>
      <c r="R2734" s="101"/>
      <c r="S2734" s="110"/>
      <c r="T2734" s="102"/>
      <c r="U2734" s="101"/>
      <c r="V2734" s="103"/>
      <c r="W2734" s="101"/>
    </row>
    <row r="2735" spans="1:23" x14ac:dyDescent="0.25">
      <c r="A2735" s="98"/>
      <c r="H2735" s="101"/>
      <c r="I2735" s="101"/>
      <c r="J2735" s="101"/>
      <c r="K2735" s="101"/>
      <c r="L2735" s="101"/>
      <c r="M2735" s="101"/>
      <c r="N2735" s="101"/>
      <c r="O2735" s="101"/>
      <c r="P2735" s="101"/>
      <c r="Q2735" s="101"/>
      <c r="R2735" s="101"/>
      <c r="S2735" s="110"/>
      <c r="T2735" s="102"/>
      <c r="U2735" s="101"/>
      <c r="V2735" s="103"/>
      <c r="W2735" s="101"/>
    </row>
    <row r="2736" spans="1:23" x14ac:dyDescent="0.25">
      <c r="A2736" s="98"/>
      <c r="H2736" s="101"/>
      <c r="I2736" s="101"/>
      <c r="J2736" s="101"/>
      <c r="K2736" s="101"/>
      <c r="L2736" s="101"/>
      <c r="M2736" s="101"/>
      <c r="N2736" s="101"/>
      <c r="O2736" s="101"/>
      <c r="P2736" s="101"/>
      <c r="Q2736" s="101"/>
      <c r="R2736" s="101"/>
      <c r="S2736" s="110"/>
      <c r="T2736" s="102"/>
      <c r="U2736" s="101"/>
      <c r="V2736" s="103"/>
      <c r="W2736" s="101"/>
    </row>
    <row r="2737" spans="1:23" x14ac:dyDescent="0.25">
      <c r="A2737" s="98"/>
      <c r="H2737" s="101"/>
      <c r="I2737" s="101"/>
      <c r="J2737" s="101"/>
      <c r="K2737" s="101"/>
      <c r="L2737" s="101"/>
      <c r="M2737" s="101"/>
      <c r="N2737" s="101"/>
      <c r="O2737" s="101"/>
      <c r="P2737" s="101"/>
      <c r="Q2737" s="101"/>
      <c r="R2737" s="101"/>
      <c r="S2737" s="110"/>
      <c r="T2737" s="102"/>
      <c r="U2737" s="101"/>
      <c r="V2737" s="103"/>
      <c r="W2737" s="101"/>
    </row>
    <row r="2738" spans="1:23" x14ac:dyDescent="0.25">
      <c r="A2738" s="98"/>
      <c r="H2738" s="101"/>
      <c r="I2738" s="101"/>
      <c r="J2738" s="101"/>
      <c r="K2738" s="101"/>
      <c r="L2738" s="101"/>
      <c r="M2738" s="101"/>
      <c r="N2738" s="101"/>
      <c r="O2738" s="101"/>
      <c r="P2738" s="101"/>
      <c r="Q2738" s="101"/>
      <c r="R2738" s="101"/>
      <c r="S2738" s="110"/>
      <c r="T2738" s="102"/>
      <c r="U2738" s="101"/>
      <c r="V2738" s="103"/>
      <c r="W2738" s="101"/>
    </row>
    <row r="2739" spans="1:23" x14ac:dyDescent="0.25">
      <c r="A2739" s="98"/>
      <c r="H2739" s="101"/>
      <c r="I2739" s="101"/>
      <c r="J2739" s="101"/>
      <c r="K2739" s="101"/>
      <c r="L2739" s="101"/>
      <c r="M2739" s="101"/>
      <c r="N2739" s="101"/>
      <c r="O2739" s="101"/>
      <c r="P2739" s="101"/>
      <c r="Q2739" s="101"/>
      <c r="R2739" s="101"/>
      <c r="S2739" s="110"/>
      <c r="T2739" s="102"/>
      <c r="U2739" s="101"/>
      <c r="V2739" s="103"/>
      <c r="W2739" s="101"/>
    </row>
    <row r="2740" spans="1:23" x14ac:dyDescent="0.25">
      <c r="A2740" s="98"/>
      <c r="H2740" s="101"/>
      <c r="I2740" s="101"/>
      <c r="J2740" s="101"/>
      <c r="K2740" s="101"/>
      <c r="L2740" s="101"/>
      <c r="M2740" s="101"/>
      <c r="N2740" s="101"/>
      <c r="O2740" s="101"/>
      <c r="P2740" s="101"/>
      <c r="Q2740" s="101"/>
      <c r="R2740" s="101"/>
      <c r="S2740" s="110"/>
      <c r="T2740" s="102"/>
      <c r="U2740" s="101"/>
      <c r="V2740" s="103"/>
      <c r="W2740" s="101"/>
    </row>
    <row r="2741" spans="1:23" x14ac:dyDescent="0.25">
      <c r="A2741" s="98"/>
      <c r="H2741" s="101"/>
      <c r="I2741" s="101"/>
      <c r="J2741" s="101"/>
      <c r="K2741" s="101"/>
      <c r="L2741" s="101"/>
      <c r="M2741" s="101"/>
      <c r="N2741" s="101"/>
      <c r="O2741" s="101"/>
      <c r="P2741" s="101"/>
      <c r="Q2741" s="101"/>
      <c r="R2741" s="101"/>
      <c r="S2741" s="110"/>
      <c r="T2741" s="102"/>
      <c r="U2741" s="101"/>
      <c r="V2741" s="103"/>
      <c r="W2741" s="101"/>
    </row>
    <row r="2742" spans="1:23" x14ac:dyDescent="0.25">
      <c r="A2742" s="98"/>
      <c r="H2742" s="101"/>
      <c r="I2742" s="101"/>
      <c r="J2742" s="101"/>
      <c r="K2742" s="101"/>
      <c r="L2742" s="101"/>
      <c r="M2742" s="101"/>
      <c r="N2742" s="101"/>
      <c r="O2742" s="101"/>
      <c r="P2742" s="101"/>
      <c r="Q2742" s="101"/>
      <c r="R2742" s="101"/>
      <c r="S2742" s="110"/>
      <c r="T2742" s="102"/>
      <c r="U2742" s="101"/>
      <c r="V2742" s="103"/>
      <c r="W2742" s="101"/>
    </row>
    <row r="2743" spans="1:23" x14ac:dyDescent="0.25">
      <c r="A2743" s="98"/>
      <c r="H2743" s="101"/>
      <c r="I2743" s="101"/>
      <c r="J2743" s="101"/>
      <c r="K2743" s="101"/>
      <c r="L2743" s="101"/>
      <c r="M2743" s="101"/>
      <c r="N2743" s="101"/>
      <c r="O2743" s="101"/>
      <c r="P2743" s="101"/>
      <c r="Q2743" s="101"/>
      <c r="R2743" s="101"/>
      <c r="S2743" s="110"/>
      <c r="T2743" s="102"/>
      <c r="U2743" s="101"/>
      <c r="V2743" s="103"/>
      <c r="W2743" s="101"/>
    </row>
    <row r="2744" spans="1:23" x14ac:dyDescent="0.25">
      <c r="A2744" s="98"/>
      <c r="H2744" s="101"/>
      <c r="I2744" s="101"/>
      <c r="J2744" s="101"/>
      <c r="K2744" s="101"/>
      <c r="L2744" s="101"/>
      <c r="M2744" s="101"/>
      <c r="N2744" s="101"/>
      <c r="O2744" s="101"/>
      <c r="P2744" s="101"/>
      <c r="Q2744" s="101"/>
      <c r="R2744" s="101"/>
      <c r="S2744" s="110"/>
      <c r="T2744" s="102"/>
      <c r="U2744" s="101"/>
      <c r="V2744" s="103"/>
      <c r="W2744" s="101"/>
    </row>
    <row r="2745" spans="1:23" x14ac:dyDescent="0.25">
      <c r="A2745" s="98"/>
      <c r="H2745" s="101"/>
      <c r="I2745" s="101"/>
      <c r="J2745" s="101"/>
      <c r="K2745" s="101"/>
      <c r="L2745" s="101"/>
      <c r="M2745" s="101"/>
      <c r="N2745" s="101"/>
      <c r="O2745" s="101"/>
      <c r="P2745" s="101"/>
      <c r="Q2745" s="101"/>
      <c r="R2745" s="101"/>
      <c r="S2745" s="110"/>
      <c r="T2745" s="102"/>
      <c r="U2745" s="101"/>
      <c r="V2745" s="103"/>
      <c r="W2745" s="101"/>
    </row>
    <row r="2746" spans="1:23" x14ac:dyDescent="0.25">
      <c r="A2746" s="98"/>
      <c r="H2746" s="101"/>
      <c r="I2746" s="101"/>
      <c r="J2746" s="101"/>
      <c r="K2746" s="101"/>
      <c r="L2746" s="101"/>
      <c r="M2746" s="101"/>
      <c r="N2746" s="101"/>
      <c r="O2746" s="101"/>
      <c r="P2746" s="101"/>
      <c r="Q2746" s="101"/>
      <c r="R2746" s="101"/>
      <c r="S2746" s="110"/>
      <c r="T2746" s="102"/>
      <c r="U2746" s="101"/>
      <c r="V2746" s="103"/>
      <c r="W2746" s="101"/>
    </row>
    <row r="2747" spans="1:23" x14ac:dyDescent="0.25">
      <c r="A2747" s="98"/>
      <c r="H2747" s="101"/>
      <c r="I2747" s="101"/>
      <c r="J2747" s="101"/>
      <c r="K2747" s="101"/>
      <c r="L2747" s="101"/>
      <c r="M2747" s="101"/>
      <c r="N2747" s="101"/>
      <c r="O2747" s="101"/>
      <c r="P2747" s="101"/>
      <c r="Q2747" s="101"/>
      <c r="R2747" s="101"/>
      <c r="S2747" s="110"/>
      <c r="T2747" s="102"/>
      <c r="U2747" s="101"/>
      <c r="V2747" s="103"/>
      <c r="W2747" s="101"/>
    </row>
    <row r="2748" spans="1:23" x14ac:dyDescent="0.25">
      <c r="A2748" s="98"/>
      <c r="H2748" s="101"/>
      <c r="I2748" s="101"/>
      <c r="J2748" s="101"/>
      <c r="K2748" s="101"/>
      <c r="L2748" s="101"/>
      <c r="M2748" s="101"/>
      <c r="N2748" s="101"/>
      <c r="O2748" s="101"/>
      <c r="P2748" s="101"/>
      <c r="Q2748" s="101"/>
      <c r="R2748" s="101"/>
      <c r="S2748" s="110"/>
      <c r="T2748" s="102"/>
      <c r="U2748" s="101"/>
      <c r="V2748" s="103"/>
      <c r="W2748" s="101"/>
    </row>
    <row r="2749" spans="1:23" x14ac:dyDescent="0.25">
      <c r="A2749" s="98"/>
      <c r="H2749" s="101"/>
      <c r="I2749" s="101"/>
      <c r="J2749" s="101"/>
      <c r="K2749" s="101"/>
      <c r="L2749" s="101"/>
      <c r="M2749" s="101"/>
      <c r="N2749" s="101"/>
      <c r="O2749" s="101"/>
      <c r="P2749" s="101"/>
      <c r="Q2749" s="101"/>
      <c r="R2749" s="101"/>
      <c r="S2749" s="110"/>
      <c r="T2749" s="102"/>
      <c r="U2749" s="101"/>
      <c r="V2749" s="103"/>
      <c r="W2749" s="101"/>
    </row>
    <row r="2750" spans="1:23" x14ac:dyDescent="0.25">
      <c r="A2750" s="98"/>
      <c r="H2750" s="101"/>
      <c r="I2750" s="101"/>
      <c r="J2750" s="101"/>
      <c r="K2750" s="101"/>
      <c r="L2750" s="101"/>
      <c r="M2750" s="101"/>
      <c r="N2750" s="101"/>
      <c r="O2750" s="101"/>
      <c r="P2750" s="101"/>
      <c r="Q2750" s="101"/>
      <c r="R2750" s="101"/>
      <c r="S2750" s="110"/>
      <c r="T2750" s="102"/>
      <c r="U2750" s="101"/>
      <c r="V2750" s="103"/>
      <c r="W2750" s="101"/>
    </row>
    <row r="2751" spans="1:23" x14ac:dyDescent="0.25">
      <c r="A2751" s="98"/>
      <c r="H2751" s="101"/>
      <c r="I2751" s="101"/>
      <c r="J2751" s="101"/>
      <c r="K2751" s="101"/>
      <c r="L2751" s="101"/>
      <c r="M2751" s="101"/>
      <c r="N2751" s="101"/>
      <c r="O2751" s="101"/>
      <c r="P2751" s="101"/>
      <c r="Q2751" s="101"/>
      <c r="R2751" s="101"/>
      <c r="S2751" s="110"/>
      <c r="T2751" s="102"/>
      <c r="U2751" s="101"/>
      <c r="V2751" s="103"/>
      <c r="W2751" s="101"/>
    </row>
    <row r="2752" spans="1:23" x14ac:dyDescent="0.25">
      <c r="A2752" s="98"/>
      <c r="H2752" s="101"/>
      <c r="I2752" s="101"/>
      <c r="J2752" s="101"/>
      <c r="K2752" s="101"/>
      <c r="L2752" s="101"/>
      <c r="M2752" s="101"/>
      <c r="N2752" s="101"/>
      <c r="O2752" s="101"/>
      <c r="P2752" s="101"/>
      <c r="Q2752" s="101"/>
      <c r="R2752" s="101"/>
      <c r="S2752" s="110"/>
      <c r="T2752" s="102"/>
      <c r="U2752" s="101"/>
      <c r="V2752" s="103"/>
      <c r="W2752" s="101"/>
    </row>
    <row r="2753" spans="1:23" x14ac:dyDescent="0.25">
      <c r="A2753" s="98"/>
      <c r="H2753" s="101"/>
      <c r="I2753" s="101"/>
      <c r="J2753" s="101"/>
      <c r="K2753" s="101"/>
      <c r="L2753" s="101"/>
      <c r="M2753" s="101"/>
      <c r="N2753" s="101"/>
      <c r="O2753" s="101"/>
      <c r="P2753" s="101"/>
      <c r="Q2753" s="101"/>
      <c r="R2753" s="101"/>
      <c r="S2753" s="110"/>
      <c r="T2753" s="102"/>
      <c r="U2753" s="101"/>
      <c r="V2753" s="103"/>
      <c r="W2753" s="101"/>
    </row>
    <row r="2754" spans="1:23" x14ac:dyDescent="0.25">
      <c r="A2754" s="98"/>
      <c r="H2754" s="101"/>
      <c r="I2754" s="101"/>
      <c r="J2754" s="101"/>
      <c r="K2754" s="101"/>
      <c r="L2754" s="101"/>
      <c r="M2754" s="101"/>
      <c r="N2754" s="101"/>
      <c r="O2754" s="101"/>
      <c r="P2754" s="101"/>
      <c r="Q2754" s="101"/>
      <c r="R2754" s="101"/>
      <c r="S2754" s="110"/>
      <c r="T2754" s="102"/>
      <c r="U2754" s="101"/>
      <c r="V2754" s="103"/>
      <c r="W2754" s="101"/>
    </row>
    <row r="2755" spans="1:23" x14ac:dyDescent="0.25">
      <c r="A2755" s="98"/>
      <c r="H2755" s="101"/>
      <c r="I2755" s="101"/>
      <c r="J2755" s="101"/>
      <c r="K2755" s="101"/>
      <c r="L2755" s="101"/>
      <c r="M2755" s="101"/>
      <c r="N2755" s="101"/>
      <c r="O2755" s="101"/>
      <c r="P2755" s="101"/>
      <c r="Q2755" s="101"/>
      <c r="R2755" s="101"/>
      <c r="S2755" s="110"/>
      <c r="T2755" s="102"/>
      <c r="U2755" s="101"/>
      <c r="V2755" s="103"/>
      <c r="W2755" s="101"/>
    </row>
    <row r="2756" spans="1:23" x14ac:dyDescent="0.25">
      <c r="A2756" s="98"/>
      <c r="H2756" s="101"/>
      <c r="I2756" s="101"/>
      <c r="J2756" s="101"/>
      <c r="K2756" s="101"/>
      <c r="L2756" s="101"/>
      <c r="M2756" s="101"/>
      <c r="N2756" s="101"/>
      <c r="O2756" s="101"/>
      <c r="P2756" s="101"/>
      <c r="Q2756" s="101"/>
      <c r="R2756" s="101"/>
      <c r="S2756" s="110"/>
      <c r="T2756" s="102"/>
      <c r="U2756" s="101"/>
      <c r="V2756" s="103"/>
      <c r="W2756" s="101"/>
    </row>
    <row r="2757" spans="1:23" x14ac:dyDescent="0.25">
      <c r="A2757" s="98"/>
      <c r="H2757" s="101"/>
      <c r="I2757" s="101"/>
      <c r="J2757" s="101"/>
      <c r="K2757" s="101"/>
      <c r="L2757" s="101"/>
      <c r="M2757" s="101"/>
      <c r="N2757" s="101"/>
      <c r="O2757" s="101"/>
      <c r="P2757" s="101"/>
      <c r="Q2757" s="101"/>
      <c r="R2757" s="101"/>
      <c r="S2757" s="110"/>
      <c r="T2757" s="102"/>
      <c r="U2757" s="101"/>
      <c r="V2757" s="103"/>
      <c r="W2757" s="101"/>
    </row>
    <row r="2758" spans="1:23" x14ac:dyDescent="0.25">
      <c r="A2758" s="98"/>
      <c r="H2758" s="101"/>
      <c r="I2758" s="101"/>
      <c r="J2758" s="101"/>
      <c r="K2758" s="101"/>
      <c r="L2758" s="101"/>
      <c r="M2758" s="101"/>
      <c r="N2758" s="101"/>
      <c r="O2758" s="101"/>
      <c r="P2758" s="101"/>
      <c r="Q2758" s="101"/>
      <c r="R2758" s="101"/>
      <c r="S2758" s="110"/>
      <c r="T2758" s="102"/>
      <c r="U2758" s="101"/>
      <c r="V2758" s="103"/>
      <c r="W2758" s="101"/>
    </row>
    <row r="2759" spans="1:23" x14ac:dyDescent="0.25">
      <c r="A2759" s="98"/>
      <c r="H2759" s="101"/>
      <c r="I2759" s="101"/>
      <c r="J2759" s="101"/>
      <c r="K2759" s="101"/>
      <c r="L2759" s="101"/>
      <c r="M2759" s="101"/>
      <c r="N2759" s="101"/>
      <c r="O2759" s="101"/>
      <c r="P2759" s="101"/>
      <c r="Q2759" s="101"/>
      <c r="R2759" s="101"/>
      <c r="S2759" s="110"/>
      <c r="T2759" s="102"/>
      <c r="U2759" s="101"/>
      <c r="V2759" s="103"/>
      <c r="W2759" s="101"/>
    </row>
    <row r="2760" spans="1:23" x14ac:dyDescent="0.25">
      <c r="A2760" s="98"/>
      <c r="H2760" s="101"/>
      <c r="I2760" s="101"/>
      <c r="J2760" s="101"/>
      <c r="K2760" s="101"/>
      <c r="L2760" s="101"/>
      <c r="M2760" s="101"/>
      <c r="N2760" s="101"/>
      <c r="O2760" s="101"/>
      <c r="P2760" s="101"/>
      <c r="Q2760" s="101"/>
      <c r="R2760" s="101"/>
      <c r="S2760" s="110"/>
      <c r="T2760" s="102"/>
      <c r="U2760" s="101"/>
      <c r="V2760" s="103"/>
      <c r="W2760" s="101"/>
    </row>
    <row r="2761" spans="1:23" x14ac:dyDescent="0.25">
      <c r="A2761" s="98"/>
      <c r="H2761" s="101"/>
      <c r="I2761" s="101"/>
      <c r="J2761" s="101"/>
      <c r="K2761" s="101"/>
      <c r="L2761" s="101"/>
      <c r="M2761" s="101"/>
      <c r="N2761" s="101"/>
      <c r="O2761" s="101"/>
      <c r="P2761" s="101"/>
      <c r="Q2761" s="101"/>
      <c r="R2761" s="101"/>
      <c r="S2761" s="110"/>
      <c r="T2761" s="102"/>
      <c r="U2761" s="101"/>
      <c r="V2761" s="103"/>
      <c r="W2761" s="101"/>
    </row>
    <row r="2762" spans="1:23" x14ac:dyDescent="0.25">
      <c r="A2762" s="98"/>
      <c r="H2762" s="101"/>
      <c r="I2762" s="101"/>
      <c r="J2762" s="101"/>
      <c r="K2762" s="101"/>
      <c r="L2762" s="101"/>
      <c r="M2762" s="101"/>
      <c r="N2762" s="101"/>
      <c r="O2762" s="101"/>
      <c r="P2762" s="101"/>
      <c r="Q2762" s="101"/>
      <c r="R2762" s="101"/>
      <c r="S2762" s="110"/>
      <c r="T2762" s="102"/>
      <c r="U2762" s="101"/>
      <c r="V2762" s="103"/>
      <c r="W2762" s="101"/>
    </row>
    <row r="2763" spans="1:23" x14ac:dyDescent="0.25">
      <c r="A2763" s="98"/>
      <c r="H2763" s="101"/>
      <c r="I2763" s="101"/>
      <c r="J2763" s="101"/>
      <c r="K2763" s="101"/>
      <c r="L2763" s="101"/>
      <c r="M2763" s="101"/>
      <c r="N2763" s="101"/>
      <c r="O2763" s="101"/>
      <c r="P2763" s="101"/>
      <c r="Q2763" s="101"/>
      <c r="R2763" s="101"/>
      <c r="S2763" s="110"/>
      <c r="T2763" s="102"/>
      <c r="U2763" s="101"/>
      <c r="V2763" s="103"/>
      <c r="W2763" s="101"/>
    </row>
    <row r="2764" spans="1:23" x14ac:dyDescent="0.25">
      <c r="A2764" s="98"/>
      <c r="H2764" s="101"/>
      <c r="I2764" s="101"/>
      <c r="J2764" s="101"/>
      <c r="K2764" s="101"/>
      <c r="L2764" s="101"/>
      <c r="M2764" s="101"/>
      <c r="N2764" s="101"/>
      <c r="O2764" s="101"/>
      <c r="P2764" s="101"/>
      <c r="Q2764" s="101"/>
      <c r="R2764" s="101"/>
      <c r="S2764" s="110"/>
      <c r="T2764" s="102"/>
      <c r="U2764" s="101"/>
      <c r="V2764" s="103"/>
      <c r="W2764" s="101"/>
    </row>
    <row r="2765" spans="1:23" x14ac:dyDescent="0.25">
      <c r="A2765" s="98"/>
      <c r="H2765" s="101"/>
      <c r="I2765" s="101"/>
      <c r="J2765" s="101"/>
      <c r="K2765" s="101"/>
      <c r="L2765" s="101"/>
      <c r="M2765" s="101"/>
      <c r="N2765" s="101"/>
      <c r="O2765" s="101"/>
      <c r="P2765" s="101"/>
      <c r="Q2765" s="101"/>
      <c r="R2765" s="101"/>
      <c r="S2765" s="110"/>
      <c r="T2765" s="102"/>
      <c r="U2765" s="101"/>
      <c r="V2765" s="103"/>
      <c r="W2765" s="101"/>
    </row>
    <row r="2766" spans="1:23" x14ac:dyDescent="0.25">
      <c r="A2766" s="98"/>
      <c r="H2766" s="101"/>
      <c r="I2766" s="101"/>
      <c r="J2766" s="101"/>
      <c r="K2766" s="101"/>
      <c r="L2766" s="101"/>
      <c r="M2766" s="101"/>
      <c r="N2766" s="101"/>
      <c r="O2766" s="101"/>
      <c r="P2766" s="101"/>
      <c r="Q2766" s="101"/>
      <c r="R2766" s="101"/>
      <c r="S2766" s="110"/>
      <c r="T2766" s="102"/>
      <c r="U2766" s="101"/>
      <c r="V2766" s="103"/>
      <c r="W2766" s="101"/>
    </row>
    <row r="2767" spans="1:23" x14ac:dyDescent="0.25">
      <c r="A2767" s="98"/>
      <c r="H2767" s="101"/>
      <c r="I2767" s="101"/>
      <c r="J2767" s="101"/>
      <c r="K2767" s="101"/>
      <c r="L2767" s="101"/>
      <c r="M2767" s="101"/>
      <c r="N2767" s="101"/>
      <c r="O2767" s="101"/>
      <c r="P2767" s="101"/>
      <c r="Q2767" s="101"/>
      <c r="R2767" s="101"/>
      <c r="S2767" s="110"/>
      <c r="T2767" s="102"/>
      <c r="U2767" s="101"/>
      <c r="V2767" s="103"/>
      <c r="W2767" s="101"/>
    </row>
    <row r="2768" spans="1:23" x14ac:dyDescent="0.25">
      <c r="A2768" s="98"/>
      <c r="H2768" s="101"/>
      <c r="I2768" s="101"/>
      <c r="J2768" s="101"/>
      <c r="K2768" s="101"/>
      <c r="L2768" s="101"/>
      <c r="M2768" s="101"/>
      <c r="N2768" s="101"/>
      <c r="O2768" s="101"/>
      <c r="P2768" s="101"/>
      <c r="Q2768" s="101"/>
      <c r="R2768" s="101"/>
      <c r="S2768" s="110"/>
      <c r="T2768" s="102"/>
      <c r="U2768" s="101"/>
      <c r="V2768" s="103"/>
      <c r="W2768" s="101"/>
    </row>
    <row r="2769" spans="1:23" x14ac:dyDescent="0.25">
      <c r="A2769" s="98"/>
      <c r="H2769" s="101"/>
      <c r="I2769" s="101"/>
      <c r="J2769" s="101"/>
      <c r="K2769" s="101"/>
      <c r="L2769" s="101"/>
      <c r="M2769" s="101"/>
      <c r="N2769" s="101"/>
      <c r="O2769" s="101"/>
      <c r="P2769" s="101"/>
      <c r="Q2769" s="101"/>
      <c r="R2769" s="101"/>
      <c r="S2769" s="110"/>
      <c r="T2769" s="102"/>
      <c r="U2769" s="101"/>
      <c r="V2769" s="103"/>
      <c r="W2769" s="101"/>
    </row>
    <row r="2770" spans="1:23" x14ac:dyDescent="0.25">
      <c r="A2770" s="98"/>
      <c r="H2770" s="101"/>
      <c r="I2770" s="101"/>
      <c r="J2770" s="101"/>
      <c r="K2770" s="101"/>
      <c r="L2770" s="101"/>
      <c r="M2770" s="101"/>
      <c r="N2770" s="101"/>
      <c r="O2770" s="101"/>
      <c r="P2770" s="101"/>
      <c r="Q2770" s="101"/>
      <c r="R2770" s="101"/>
      <c r="S2770" s="110"/>
      <c r="T2770" s="102"/>
      <c r="U2770" s="101"/>
      <c r="V2770" s="103"/>
      <c r="W2770" s="101"/>
    </row>
    <row r="2771" spans="1:23" x14ac:dyDescent="0.25">
      <c r="A2771" s="98"/>
      <c r="H2771" s="101"/>
      <c r="I2771" s="101"/>
      <c r="J2771" s="101"/>
      <c r="K2771" s="101"/>
      <c r="L2771" s="101"/>
      <c r="M2771" s="101"/>
      <c r="N2771" s="101"/>
      <c r="O2771" s="101"/>
      <c r="P2771" s="101"/>
      <c r="Q2771" s="101"/>
      <c r="R2771" s="101"/>
      <c r="S2771" s="110"/>
      <c r="T2771" s="102"/>
      <c r="U2771" s="101"/>
      <c r="V2771" s="103"/>
      <c r="W2771" s="101"/>
    </row>
    <row r="2772" spans="1:23" x14ac:dyDescent="0.25">
      <c r="A2772" s="98"/>
      <c r="H2772" s="101"/>
      <c r="I2772" s="101"/>
      <c r="J2772" s="101"/>
      <c r="K2772" s="101"/>
      <c r="L2772" s="101"/>
      <c r="M2772" s="101"/>
      <c r="N2772" s="101"/>
      <c r="O2772" s="101"/>
      <c r="P2772" s="101"/>
      <c r="Q2772" s="101"/>
      <c r="R2772" s="101"/>
      <c r="S2772" s="110"/>
      <c r="T2772" s="102"/>
      <c r="U2772" s="101"/>
      <c r="V2772" s="103"/>
      <c r="W2772" s="101"/>
    </row>
    <row r="2773" spans="1:23" x14ac:dyDescent="0.25">
      <c r="A2773" s="98"/>
      <c r="H2773" s="101"/>
      <c r="I2773" s="101"/>
      <c r="J2773" s="101"/>
      <c r="K2773" s="101"/>
      <c r="L2773" s="101"/>
      <c r="M2773" s="101"/>
      <c r="N2773" s="101"/>
      <c r="O2773" s="101"/>
      <c r="P2773" s="101"/>
      <c r="Q2773" s="101"/>
      <c r="R2773" s="101"/>
      <c r="S2773" s="110"/>
      <c r="T2773" s="102"/>
      <c r="U2773" s="101"/>
      <c r="V2773" s="103"/>
      <c r="W2773" s="101"/>
    </row>
    <row r="2774" spans="1:23" x14ac:dyDescent="0.25">
      <c r="A2774" s="98"/>
      <c r="H2774" s="101"/>
      <c r="I2774" s="101"/>
      <c r="J2774" s="101"/>
      <c r="K2774" s="101"/>
      <c r="L2774" s="101"/>
      <c r="M2774" s="101"/>
      <c r="N2774" s="101"/>
      <c r="O2774" s="101"/>
      <c r="P2774" s="101"/>
      <c r="Q2774" s="101"/>
      <c r="R2774" s="101"/>
      <c r="S2774" s="110"/>
      <c r="T2774" s="102"/>
      <c r="U2774" s="101"/>
      <c r="V2774" s="103"/>
      <c r="W2774" s="101"/>
    </row>
    <row r="2775" spans="1:23" x14ac:dyDescent="0.25">
      <c r="A2775" s="98"/>
      <c r="H2775" s="101"/>
      <c r="I2775" s="101"/>
      <c r="J2775" s="101"/>
      <c r="K2775" s="101"/>
      <c r="L2775" s="101"/>
      <c r="M2775" s="101"/>
      <c r="N2775" s="101"/>
      <c r="O2775" s="101"/>
      <c r="P2775" s="101"/>
      <c r="Q2775" s="101"/>
      <c r="R2775" s="101"/>
      <c r="S2775" s="110"/>
      <c r="T2775" s="102"/>
      <c r="U2775" s="101"/>
      <c r="V2775" s="103"/>
      <c r="W2775" s="101"/>
    </row>
    <row r="2776" spans="1:23" x14ac:dyDescent="0.25">
      <c r="A2776" s="98"/>
      <c r="H2776" s="101"/>
      <c r="I2776" s="101"/>
      <c r="J2776" s="101"/>
      <c r="K2776" s="101"/>
      <c r="L2776" s="101"/>
      <c r="M2776" s="101"/>
      <c r="N2776" s="101"/>
      <c r="O2776" s="101"/>
      <c r="P2776" s="101"/>
      <c r="Q2776" s="101"/>
      <c r="R2776" s="101"/>
      <c r="S2776" s="110"/>
      <c r="T2776" s="102"/>
      <c r="U2776" s="101"/>
      <c r="V2776" s="103"/>
      <c r="W2776" s="101"/>
    </row>
    <row r="2777" spans="1:23" x14ac:dyDescent="0.25">
      <c r="A2777" s="98"/>
      <c r="H2777" s="101"/>
      <c r="I2777" s="101"/>
      <c r="J2777" s="101"/>
      <c r="K2777" s="101"/>
      <c r="L2777" s="101"/>
      <c r="M2777" s="101"/>
      <c r="N2777" s="101"/>
      <c r="O2777" s="101"/>
      <c r="P2777" s="101"/>
      <c r="Q2777" s="101"/>
      <c r="R2777" s="101"/>
      <c r="S2777" s="110"/>
      <c r="T2777" s="102"/>
      <c r="U2777" s="101"/>
      <c r="V2777" s="103"/>
      <c r="W2777" s="101"/>
    </row>
    <row r="2778" spans="1:23" x14ac:dyDescent="0.25">
      <c r="A2778" s="98"/>
      <c r="H2778" s="101"/>
      <c r="I2778" s="101"/>
      <c r="J2778" s="101"/>
      <c r="K2778" s="101"/>
      <c r="L2778" s="101"/>
      <c r="M2778" s="101"/>
      <c r="N2778" s="101"/>
      <c r="O2778" s="101"/>
      <c r="P2778" s="101"/>
      <c r="Q2778" s="101"/>
      <c r="R2778" s="101"/>
      <c r="S2778" s="110"/>
      <c r="T2778" s="102"/>
      <c r="U2778" s="101"/>
      <c r="V2778" s="103"/>
      <c r="W2778" s="101"/>
    </row>
    <row r="2779" spans="1:23" x14ac:dyDescent="0.25">
      <c r="A2779" s="98"/>
      <c r="H2779" s="101"/>
      <c r="I2779" s="101"/>
      <c r="J2779" s="101"/>
      <c r="K2779" s="101"/>
      <c r="L2779" s="101"/>
      <c r="M2779" s="101"/>
      <c r="N2779" s="101"/>
      <c r="O2779" s="101"/>
      <c r="P2779" s="101"/>
      <c r="Q2779" s="101"/>
      <c r="R2779" s="101"/>
      <c r="S2779" s="110"/>
      <c r="T2779" s="102"/>
      <c r="U2779" s="101"/>
      <c r="V2779" s="103"/>
      <c r="W2779" s="101"/>
    </row>
    <row r="2780" spans="1:23" x14ac:dyDescent="0.25">
      <c r="A2780" s="98"/>
      <c r="H2780" s="101"/>
      <c r="I2780" s="101"/>
      <c r="J2780" s="101"/>
      <c r="K2780" s="101"/>
      <c r="L2780" s="101"/>
      <c r="M2780" s="101"/>
      <c r="N2780" s="101"/>
      <c r="O2780" s="101"/>
      <c r="P2780" s="101"/>
      <c r="Q2780" s="101"/>
      <c r="R2780" s="101"/>
      <c r="S2780" s="110"/>
      <c r="T2780" s="102"/>
      <c r="U2780" s="101"/>
      <c r="V2780" s="103"/>
      <c r="W2780" s="101"/>
    </row>
    <row r="2781" spans="1:23" x14ac:dyDescent="0.25">
      <c r="A2781" s="98"/>
      <c r="H2781" s="101"/>
      <c r="I2781" s="101"/>
      <c r="J2781" s="101"/>
      <c r="K2781" s="101"/>
      <c r="L2781" s="101"/>
      <c r="M2781" s="101"/>
      <c r="N2781" s="101"/>
      <c r="O2781" s="101"/>
      <c r="P2781" s="101"/>
      <c r="Q2781" s="101"/>
      <c r="R2781" s="101"/>
      <c r="S2781" s="110"/>
      <c r="T2781" s="102"/>
      <c r="U2781" s="101"/>
      <c r="V2781" s="103"/>
      <c r="W2781" s="101"/>
    </row>
    <row r="2782" spans="1:23" x14ac:dyDescent="0.25">
      <c r="A2782" s="98"/>
      <c r="H2782" s="101"/>
      <c r="I2782" s="101"/>
      <c r="J2782" s="101"/>
      <c r="K2782" s="101"/>
      <c r="L2782" s="101"/>
      <c r="M2782" s="101"/>
      <c r="N2782" s="101"/>
      <c r="O2782" s="101"/>
      <c r="P2782" s="101"/>
      <c r="Q2782" s="101"/>
      <c r="R2782" s="101"/>
      <c r="S2782" s="110"/>
      <c r="T2782" s="102"/>
      <c r="U2782" s="101"/>
      <c r="V2782" s="103"/>
      <c r="W2782" s="101"/>
    </row>
    <row r="2783" spans="1:23" x14ac:dyDescent="0.25">
      <c r="A2783" s="98"/>
      <c r="H2783" s="101"/>
      <c r="I2783" s="101"/>
      <c r="J2783" s="101"/>
      <c r="K2783" s="101"/>
      <c r="L2783" s="101"/>
      <c r="M2783" s="101"/>
      <c r="N2783" s="101"/>
      <c r="O2783" s="101"/>
      <c r="P2783" s="101"/>
      <c r="Q2783" s="101"/>
      <c r="R2783" s="101"/>
      <c r="S2783" s="110"/>
      <c r="T2783" s="102"/>
      <c r="U2783" s="101"/>
      <c r="V2783" s="103"/>
      <c r="W2783" s="101"/>
    </row>
    <row r="2784" spans="1:23" x14ac:dyDescent="0.25">
      <c r="A2784" s="98"/>
      <c r="H2784" s="101"/>
      <c r="I2784" s="101"/>
      <c r="J2784" s="101"/>
      <c r="K2784" s="101"/>
      <c r="L2784" s="101"/>
      <c r="M2784" s="101"/>
      <c r="N2784" s="101"/>
      <c r="O2784" s="101"/>
      <c r="P2784" s="101"/>
      <c r="Q2784" s="101"/>
      <c r="R2784" s="101"/>
      <c r="S2784" s="110"/>
      <c r="T2784" s="102"/>
      <c r="U2784" s="101"/>
      <c r="V2784" s="103"/>
      <c r="W2784" s="101"/>
    </row>
    <row r="2785" spans="1:23" x14ac:dyDescent="0.25">
      <c r="A2785" s="98"/>
      <c r="H2785" s="101"/>
      <c r="I2785" s="101"/>
      <c r="J2785" s="101"/>
      <c r="K2785" s="101"/>
      <c r="L2785" s="101"/>
      <c r="M2785" s="101"/>
      <c r="N2785" s="101"/>
      <c r="O2785" s="101"/>
      <c r="P2785" s="101"/>
      <c r="Q2785" s="101"/>
      <c r="R2785" s="101"/>
      <c r="S2785" s="110"/>
      <c r="T2785" s="102"/>
      <c r="U2785" s="101"/>
      <c r="V2785" s="103"/>
      <c r="W2785" s="101"/>
    </row>
    <row r="2786" spans="1:23" x14ac:dyDescent="0.25">
      <c r="A2786" s="98"/>
      <c r="H2786" s="101"/>
      <c r="I2786" s="101"/>
      <c r="J2786" s="101"/>
      <c r="K2786" s="101"/>
      <c r="L2786" s="101"/>
      <c r="M2786" s="101"/>
      <c r="N2786" s="101"/>
      <c r="O2786" s="101"/>
      <c r="P2786" s="101"/>
      <c r="Q2786" s="101"/>
      <c r="R2786" s="101"/>
      <c r="S2786" s="110"/>
      <c r="T2786" s="102"/>
      <c r="U2786" s="101"/>
      <c r="V2786" s="103"/>
      <c r="W2786" s="101"/>
    </row>
    <row r="2787" spans="1:23" x14ac:dyDescent="0.25">
      <c r="A2787" s="98"/>
      <c r="H2787" s="101"/>
      <c r="I2787" s="101"/>
      <c r="J2787" s="101"/>
      <c r="K2787" s="101"/>
      <c r="L2787" s="101"/>
      <c r="M2787" s="101"/>
      <c r="N2787" s="101"/>
      <c r="O2787" s="101"/>
      <c r="P2787" s="101"/>
      <c r="Q2787" s="101"/>
      <c r="R2787" s="101"/>
      <c r="S2787" s="110"/>
      <c r="T2787" s="102"/>
      <c r="U2787" s="101"/>
      <c r="V2787" s="103"/>
      <c r="W2787" s="101"/>
    </row>
    <row r="2788" spans="1:23" x14ac:dyDescent="0.25">
      <c r="A2788" s="98"/>
      <c r="H2788" s="101"/>
      <c r="I2788" s="101"/>
      <c r="J2788" s="101"/>
      <c r="K2788" s="101"/>
      <c r="L2788" s="101"/>
      <c r="M2788" s="101"/>
      <c r="N2788" s="101"/>
      <c r="O2788" s="101"/>
      <c r="P2788" s="101"/>
      <c r="Q2788" s="101"/>
      <c r="R2788" s="101"/>
      <c r="S2788" s="110"/>
      <c r="T2788" s="102"/>
      <c r="U2788" s="101"/>
      <c r="V2788" s="103"/>
      <c r="W2788" s="101"/>
    </row>
    <row r="2789" spans="1:23" x14ac:dyDescent="0.25">
      <c r="A2789" s="98"/>
      <c r="H2789" s="101"/>
      <c r="I2789" s="101"/>
      <c r="J2789" s="101"/>
      <c r="K2789" s="101"/>
      <c r="L2789" s="101"/>
      <c r="M2789" s="101"/>
      <c r="N2789" s="101"/>
      <c r="O2789" s="101"/>
      <c r="P2789" s="101"/>
      <c r="Q2789" s="101"/>
      <c r="R2789" s="101"/>
      <c r="S2789" s="110"/>
      <c r="T2789" s="102"/>
      <c r="U2789" s="101"/>
      <c r="V2789" s="103"/>
      <c r="W2789" s="101"/>
    </row>
    <row r="2790" spans="1:23" x14ac:dyDescent="0.25">
      <c r="A2790" s="98"/>
      <c r="H2790" s="101"/>
      <c r="I2790" s="101"/>
      <c r="J2790" s="101"/>
      <c r="K2790" s="101"/>
      <c r="L2790" s="101"/>
      <c r="M2790" s="101"/>
      <c r="N2790" s="101"/>
      <c r="O2790" s="101"/>
      <c r="P2790" s="101"/>
      <c r="Q2790" s="101"/>
      <c r="R2790" s="101"/>
      <c r="S2790" s="110"/>
      <c r="T2790" s="102"/>
      <c r="U2790" s="101"/>
      <c r="V2790" s="103"/>
      <c r="W2790" s="101"/>
    </row>
    <row r="2791" spans="1:23" x14ac:dyDescent="0.25">
      <c r="A2791" s="98"/>
      <c r="H2791" s="101"/>
      <c r="I2791" s="101"/>
      <c r="J2791" s="101"/>
      <c r="K2791" s="101"/>
      <c r="L2791" s="101"/>
      <c r="M2791" s="101"/>
      <c r="N2791" s="101"/>
      <c r="O2791" s="101"/>
      <c r="P2791" s="101"/>
      <c r="Q2791" s="101"/>
      <c r="R2791" s="101"/>
      <c r="S2791" s="110"/>
      <c r="T2791" s="102"/>
      <c r="U2791" s="101"/>
      <c r="V2791" s="103"/>
      <c r="W2791" s="101"/>
    </row>
    <row r="2792" spans="1:23" x14ac:dyDescent="0.25">
      <c r="A2792" s="98"/>
      <c r="H2792" s="101"/>
      <c r="I2792" s="101"/>
      <c r="J2792" s="101"/>
      <c r="K2792" s="101"/>
      <c r="L2792" s="101"/>
      <c r="M2792" s="101"/>
      <c r="N2792" s="101"/>
      <c r="O2792" s="101"/>
      <c r="P2792" s="101"/>
      <c r="Q2792" s="101"/>
      <c r="R2792" s="101"/>
      <c r="S2792" s="110"/>
      <c r="T2792" s="102"/>
      <c r="U2792" s="101"/>
      <c r="V2792" s="103"/>
      <c r="W2792" s="101"/>
    </row>
    <row r="2793" spans="1:23" x14ac:dyDescent="0.25">
      <c r="A2793" s="98"/>
      <c r="H2793" s="101"/>
      <c r="I2793" s="101"/>
      <c r="J2793" s="101"/>
      <c r="K2793" s="101"/>
      <c r="L2793" s="101"/>
      <c r="M2793" s="101"/>
      <c r="N2793" s="101"/>
      <c r="O2793" s="101"/>
      <c r="P2793" s="101"/>
      <c r="Q2793" s="101"/>
      <c r="R2793" s="101"/>
      <c r="S2793" s="110"/>
      <c r="T2793" s="102"/>
      <c r="U2793" s="101"/>
      <c r="V2793" s="103"/>
      <c r="W2793" s="101"/>
    </row>
    <row r="2794" spans="1:23" x14ac:dyDescent="0.25">
      <c r="A2794" s="98"/>
      <c r="H2794" s="101"/>
      <c r="I2794" s="101"/>
      <c r="J2794" s="101"/>
      <c r="K2794" s="101"/>
      <c r="L2794" s="101"/>
      <c r="M2794" s="101"/>
      <c r="N2794" s="101"/>
      <c r="O2794" s="101"/>
      <c r="P2794" s="101"/>
      <c r="Q2794" s="101"/>
      <c r="R2794" s="101"/>
      <c r="S2794" s="110"/>
      <c r="T2794" s="102"/>
      <c r="U2794" s="101"/>
      <c r="V2794" s="103"/>
      <c r="W2794" s="101"/>
    </row>
    <row r="2795" spans="1:23" x14ac:dyDescent="0.25">
      <c r="A2795" s="98"/>
      <c r="H2795" s="101"/>
      <c r="I2795" s="101"/>
      <c r="J2795" s="101"/>
      <c r="K2795" s="101"/>
      <c r="L2795" s="101"/>
      <c r="M2795" s="101"/>
      <c r="N2795" s="101"/>
      <c r="O2795" s="101"/>
      <c r="P2795" s="101"/>
      <c r="Q2795" s="101"/>
      <c r="R2795" s="101"/>
      <c r="S2795" s="110"/>
      <c r="T2795" s="102"/>
      <c r="U2795" s="101"/>
      <c r="V2795" s="103"/>
      <c r="W2795" s="101"/>
    </row>
    <row r="2796" spans="1:23" x14ac:dyDescent="0.25">
      <c r="A2796" s="98"/>
      <c r="H2796" s="101"/>
      <c r="I2796" s="101"/>
      <c r="J2796" s="101"/>
      <c r="K2796" s="101"/>
      <c r="L2796" s="101"/>
      <c r="M2796" s="101"/>
      <c r="N2796" s="101"/>
      <c r="O2796" s="101"/>
      <c r="P2796" s="101"/>
      <c r="Q2796" s="101"/>
      <c r="R2796" s="101"/>
      <c r="S2796" s="110"/>
      <c r="T2796" s="102"/>
      <c r="U2796" s="101"/>
      <c r="V2796" s="103"/>
      <c r="W2796" s="101"/>
    </row>
    <row r="2797" spans="1:23" x14ac:dyDescent="0.25">
      <c r="A2797" s="98"/>
      <c r="H2797" s="101"/>
      <c r="I2797" s="101"/>
      <c r="J2797" s="101"/>
      <c r="K2797" s="101"/>
      <c r="L2797" s="101"/>
      <c r="M2797" s="101"/>
      <c r="N2797" s="101"/>
      <c r="O2797" s="101"/>
      <c r="P2797" s="101"/>
      <c r="Q2797" s="101"/>
      <c r="R2797" s="101"/>
      <c r="S2797" s="110"/>
      <c r="T2797" s="102"/>
      <c r="U2797" s="101"/>
      <c r="V2797" s="103"/>
      <c r="W2797" s="101"/>
    </row>
    <row r="2798" spans="1:23" x14ac:dyDescent="0.25">
      <c r="A2798" s="98"/>
      <c r="H2798" s="101"/>
      <c r="I2798" s="101"/>
      <c r="J2798" s="101"/>
      <c r="K2798" s="101"/>
      <c r="L2798" s="101"/>
      <c r="M2798" s="101"/>
      <c r="N2798" s="101"/>
      <c r="O2798" s="101"/>
      <c r="P2798" s="101"/>
      <c r="Q2798" s="101"/>
      <c r="R2798" s="101"/>
      <c r="S2798" s="110"/>
      <c r="T2798" s="102"/>
      <c r="U2798" s="101"/>
      <c r="V2798" s="103"/>
      <c r="W2798" s="101"/>
    </row>
    <row r="2799" spans="1:23" x14ac:dyDescent="0.25">
      <c r="A2799" s="98"/>
      <c r="H2799" s="101"/>
      <c r="I2799" s="101"/>
      <c r="J2799" s="101"/>
      <c r="K2799" s="101"/>
      <c r="L2799" s="101"/>
      <c r="M2799" s="101"/>
      <c r="N2799" s="101"/>
      <c r="O2799" s="101"/>
      <c r="P2799" s="101"/>
      <c r="Q2799" s="101"/>
      <c r="R2799" s="101"/>
      <c r="S2799" s="110"/>
      <c r="T2799" s="102"/>
      <c r="U2799" s="101"/>
      <c r="V2799" s="103"/>
      <c r="W2799" s="101"/>
    </row>
    <row r="2800" spans="1:23" x14ac:dyDescent="0.25">
      <c r="A2800" s="98"/>
      <c r="H2800" s="101"/>
      <c r="I2800" s="101"/>
      <c r="J2800" s="101"/>
      <c r="K2800" s="101"/>
      <c r="L2800" s="101"/>
      <c r="M2800" s="101"/>
      <c r="N2800" s="101"/>
      <c r="O2800" s="101"/>
      <c r="P2800" s="101"/>
      <c r="Q2800" s="101"/>
      <c r="R2800" s="101"/>
      <c r="S2800" s="110"/>
      <c r="T2800" s="102"/>
      <c r="U2800" s="101"/>
      <c r="V2800" s="103"/>
      <c r="W2800" s="101"/>
    </row>
    <row r="2801" spans="1:23" x14ac:dyDescent="0.25">
      <c r="A2801" s="98"/>
      <c r="H2801" s="101"/>
      <c r="I2801" s="101"/>
      <c r="J2801" s="101"/>
      <c r="K2801" s="101"/>
      <c r="L2801" s="101"/>
      <c r="M2801" s="101"/>
      <c r="N2801" s="101"/>
      <c r="O2801" s="101"/>
      <c r="P2801" s="101"/>
      <c r="Q2801" s="101"/>
      <c r="R2801" s="101"/>
      <c r="S2801" s="110"/>
      <c r="T2801" s="102"/>
      <c r="U2801" s="101"/>
      <c r="V2801" s="103"/>
      <c r="W2801" s="101"/>
    </row>
    <row r="2802" spans="1:23" x14ac:dyDescent="0.25">
      <c r="A2802" s="98"/>
      <c r="H2802" s="101"/>
      <c r="I2802" s="101"/>
      <c r="J2802" s="101"/>
      <c r="K2802" s="101"/>
      <c r="L2802" s="101"/>
      <c r="M2802" s="101"/>
      <c r="N2802" s="101"/>
      <c r="O2802" s="101"/>
      <c r="P2802" s="101"/>
      <c r="Q2802" s="101"/>
      <c r="R2802" s="101"/>
      <c r="S2802" s="110"/>
      <c r="T2802" s="102"/>
      <c r="U2802" s="101"/>
      <c r="V2802" s="103"/>
      <c r="W2802" s="101"/>
    </row>
    <row r="2803" spans="1:23" x14ac:dyDescent="0.25">
      <c r="A2803" s="98"/>
      <c r="H2803" s="101"/>
      <c r="I2803" s="101"/>
      <c r="J2803" s="101"/>
      <c r="K2803" s="101"/>
      <c r="L2803" s="101"/>
      <c r="M2803" s="101"/>
      <c r="N2803" s="101"/>
      <c r="O2803" s="101"/>
      <c r="P2803" s="101"/>
      <c r="Q2803" s="101"/>
      <c r="R2803" s="101"/>
      <c r="S2803" s="110"/>
      <c r="T2803" s="102"/>
      <c r="U2803" s="101"/>
      <c r="V2803" s="103"/>
      <c r="W2803" s="101"/>
    </row>
    <row r="2804" spans="1:23" x14ac:dyDescent="0.25">
      <c r="A2804" s="98"/>
      <c r="H2804" s="101"/>
      <c r="I2804" s="101"/>
      <c r="J2804" s="101"/>
      <c r="K2804" s="101"/>
      <c r="L2804" s="101"/>
      <c r="M2804" s="101"/>
      <c r="N2804" s="101"/>
      <c r="O2804" s="101"/>
      <c r="P2804" s="101"/>
      <c r="Q2804" s="101"/>
      <c r="R2804" s="101"/>
      <c r="S2804" s="110"/>
      <c r="T2804" s="102"/>
      <c r="U2804" s="101"/>
      <c r="V2804" s="103"/>
      <c r="W2804" s="101"/>
    </row>
    <row r="2805" spans="1:23" x14ac:dyDescent="0.25">
      <c r="A2805" s="98"/>
      <c r="H2805" s="101"/>
      <c r="I2805" s="101"/>
      <c r="J2805" s="101"/>
      <c r="K2805" s="101"/>
      <c r="L2805" s="101"/>
      <c r="M2805" s="101"/>
      <c r="N2805" s="101"/>
      <c r="O2805" s="101"/>
      <c r="P2805" s="101"/>
      <c r="Q2805" s="101"/>
      <c r="R2805" s="101"/>
      <c r="S2805" s="110"/>
      <c r="T2805" s="102"/>
      <c r="U2805" s="101"/>
      <c r="V2805" s="103"/>
      <c r="W2805" s="101"/>
    </row>
    <row r="2806" spans="1:23" x14ac:dyDescent="0.25">
      <c r="A2806" s="98"/>
      <c r="H2806" s="101"/>
      <c r="I2806" s="101"/>
      <c r="J2806" s="101"/>
      <c r="K2806" s="101"/>
      <c r="L2806" s="101"/>
      <c r="M2806" s="101"/>
      <c r="N2806" s="101"/>
      <c r="O2806" s="101"/>
      <c r="P2806" s="101"/>
      <c r="Q2806" s="101"/>
      <c r="R2806" s="101"/>
      <c r="S2806" s="110"/>
      <c r="T2806" s="102"/>
      <c r="U2806" s="101"/>
      <c r="V2806" s="103"/>
      <c r="W2806" s="101"/>
    </row>
    <row r="2807" spans="1:23" x14ac:dyDescent="0.25">
      <c r="A2807" s="98"/>
      <c r="H2807" s="101"/>
      <c r="I2807" s="101"/>
      <c r="J2807" s="101"/>
      <c r="K2807" s="101"/>
      <c r="L2807" s="101"/>
      <c r="M2807" s="101"/>
      <c r="N2807" s="101"/>
      <c r="O2807" s="101"/>
      <c r="P2807" s="101"/>
      <c r="Q2807" s="101"/>
      <c r="R2807" s="101"/>
      <c r="S2807" s="110"/>
      <c r="T2807" s="102"/>
      <c r="U2807" s="101"/>
      <c r="V2807" s="103"/>
      <c r="W2807" s="101"/>
    </row>
    <row r="2808" spans="1:23" x14ac:dyDescent="0.25">
      <c r="A2808" s="98"/>
      <c r="H2808" s="101"/>
      <c r="I2808" s="101"/>
      <c r="J2808" s="101"/>
      <c r="K2808" s="101"/>
      <c r="L2808" s="101"/>
      <c r="M2808" s="101"/>
      <c r="N2808" s="101"/>
      <c r="O2808" s="101"/>
      <c r="P2808" s="101"/>
      <c r="Q2808" s="101"/>
      <c r="R2808" s="101"/>
      <c r="S2808" s="110"/>
      <c r="T2808" s="102"/>
      <c r="U2808" s="101"/>
      <c r="V2808" s="103"/>
      <c r="W2808" s="101"/>
    </row>
    <row r="2809" spans="1:23" x14ac:dyDescent="0.25">
      <c r="A2809" s="98"/>
      <c r="H2809" s="101"/>
      <c r="I2809" s="101"/>
      <c r="J2809" s="101"/>
      <c r="K2809" s="101"/>
      <c r="L2809" s="101"/>
      <c r="M2809" s="101"/>
      <c r="N2809" s="101"/>
      <c r="O2809" s="101"/>
      <c r="P2809" s="101"/>
      <c r="Q2809" s="101"/>
      <c r="R2809" s="101"/>
      <c r="S2809" s="110"/>
      <c r="T2809" s="102"/>
      <c r="U2809" s="101"/>
      <c r="V2809" s="103"/>
      <c r="W2809" s="101"/>
    </row>
    <row r="2810" spans="1:23" x14ac:dyDescent="0.25">
      <c r="A2810" s="98"/>
      <c r="H2810" s="101"/>
      <c r="I2810" s="101"/>
      <c r="J2810" s="101"/>
      <c r="K2810" s="101"/>
      <c r="L2810" s="101"/>
      <c r="M2810" s="101"/>
      <c r="N2810" s="101"/>
      <c r="O2810" s="101"/>
      <c r="P2810" s="101"/>
      <c r="Q2810" s="101"/>
      <c r="R2810" s="101"/>
      <c r="S2810" s="110"/>
      <c r="T2810" s="102"/>
      <c r="U2810" s="101"/>
      <c r="V2810" s="103"/>
      <c r="W2810" s="101"/>
    </row>
    <row r="2811" spans="1:23" x14ac:dyDescent="0.25">
      <c r="A2811" s="98"/>
      <c r="H2811" s="101"/>
      <c r="I2811" s="101"/>
      <c r="J2811" s="101"/>
      <c r="K2811" s="101"/>
      <c r="L2811" s="101"/>
      <c r="M2811" s="101"/>
      <c r="N2811" s="101"/>
      <c r="O2811" s="101"/>
      <c r="P2811" s="101"/>
      <c r="Q2811" s="101"/>
      <c r="R2811" s="101"/>
      <c r="S2811" s="110"/>
      <c r="T2811" s="102"/>
      <c r="U2811" s="101"/>
      <c r="V2811" s="103"/>
      <c r="W2811" s="101"/>
    </row>
    <row r="2812" spans="1:23" x14ac:dyDescent="0.25">
      <c r="A2812" s="98"/>
      <c r="H2812" s="101"/>
      <c r="I2812" s="101"/>
      <c r="J2812" s="101"/>
      <c r="K2812" s="101"/>
      <c r="L2812" s="101"/>
      <c r="M2812" s="101"/>
      <c r="N2812" s="101"/>
      <c r="O2812" s="101"/>
      <c r="P2812" s="101"/>
      <c r="Q2812" s="101"/>
      <c r="R2812" s="101"/>
      <c r="S2812" s="110"/>
      <c r="T2812" s="102"/>
      <c r="U2812" s="101"/>
      <c r="V2812" s="103"/>
      <c r="W2812" s="101"/>
    </row>
    <row r="2813" spans="1:23" x14ac:dyDescent="0.25">
      <c r="A2813" s="98"/>
      <c r="H2813" s="101"/>
      <c r="I2813" s="101"/>
      <c r="J2813" s="101"/>
      <c r="K2813" s="101"/>
      <c r="L2813" s="101"/>
      <c r="M2813" s="101"/>
      <c r="N2813" s="101"/>
      <c r="O2813" s="101"/>
      <c r="P2813" s="101"/>
      <c r="Q2813" s="101"/>
      <c r="R2813" s="101"/>
      <c r="S2813" s="110"/>
      <c r="T2813" s="102"/>
      <c r="U2813" s="101"/>
      <c r="V2813" s="103"/>
      <c r="W2813" s="101"/>
    </row>
    <row r="2814" spans="1:23" x14ac:dyDescent="0.25">
      <c r="A2814" s="98"/>
      <c r="H2814" s="101"/>
      <c r="I2814" s="101"/>
      <c r="J2814" s="101"/>
      <c r="K2814" s="101"/>
      <c r="L2814" s="101"/>
      <c r="M2814" s="101"/>
      <c r="N2814" s="101"/>
      <c r="O2814" s="101"/>
      <c r="P2814" s="101"/>
      <c r="Q2814" s="101"/>
      <c r="R2814" s="101"/>
      <c r="S2814" s="110"/>
      <c r="T2814" s="102"/>
      <c r="U2814" s="101"/>
      <c r="V2814" s="103"/>
      <c r="W2814" s="101"/>
    </row>
    <row r="2815" spans="1:23" x14ac:dyDescent="0.25">
      <c r="A2815" s="98"/>
      <c r="H2815" s="101"/>
      <c r="I2815" s="101"/>
      <c r="J2815" s="101"/>
      <c r="K2815" s="101"/>
      <c r="L2815" s="101"/>
      <c r="M2815" s="101"/>
      <c r="N2815" s="101"/>
      <c r="O2815" s="101"/>
      <c r="P2815" s="101"/>
      <c r="Q2815" s="101"/>
      <c r="R2815" s="101"/>
      <c r="S2815" s="110"/>
      <c r="T2815" s="102"/>
      <c r="U2815" s="101"/>
      <c r="V2815" s="103"/>
      <c r="W2815" s="101"/>
    </row>
    <row r="2816" spans="1:23" x14ac:dyDescent="0.25">
      <c r="A2816" s="98"/>
      <c r="H2816" s="101"/>
      <c r="I2816" s="101"/>
      <c r="J2816" s="101"/>
      <c r="K2816" s="101"/>
      <c r="L2816" s="101"/>
      <c r="M2816" s="101"/>
      <c r="N2816" s="101"/>
      <c r="O2816" s="101"/>
      <c r="P2816" s="101"/>
      <c r="Q2816" s="101"/>
      <c r="R2816" s="101"/>
      <c r="S2816" s="110"/>
      <c r="T2816" s="102"/>
      <c r="U2816" s="101"/>
      <c r="V2816" s="103"/>
      <c r="W2816" s="101"/>
    </row>
    <row r="2817" spans="1:23" x14ac:dyDescent="0.25">
      <c r="A2817" s="98"/>
      <c r="H2817" s="101"/>
      <c r="I2817" s="101"/>
      <c r="J2817" s="101"/>
      <c r="K2817" s="101"/>
      <c r="L2817" s="101"/>
      <c r="M2817" s="101"/>
      <c r="N2817" s="101"/>
      <c r="O2817" s="101"/>
      <c r="P2817" s="101"/>
      <c r="Q2817" s="101"/>
      <c r="R2817" s="101"/>
      <c r="S2817" s="110"/>
      <c r="T2817" s="102"/>
      <c r="U2817" s="101"/>
      <c r="V2817" s="103"/>
      <c r="W2817" s="101"/>
    </row>
    <row r="2818" spans="1:23" x14ac:dyDescent="0.25">
      <c r="A2818" s="98"/>
      <c r="H2818" s="101"/>
      <c r="I2818" s="101"/>
      <c r="J2818" s="101"/>
      <c r="K2818" s="101"/>
      <c r="L2818" s="101"/>
      <c r="M2818" s="101"/>
      <c r="N2818" s="101"/>
      <c r="O2818" s="101"/>
      <c r="P2818" s="101"/>
      <c r="Q2818" s="101"/>
      <c r="R2818" s="101"/>
      <c r="S2818" s="110"/>
      <c r="T2818" s="102"/>
      <c r="U2818" s="101"/>
      <c r="V2818" s="103"/>
      <c r="W2818" s="101"/>
    </row>
    <row r="2819" spans="1:23" x14ac:dyDescent="0.25">
      <c r="A2819" s="98"/>
      <c r="H2819" s="101"/>
      <c r="I2819" s="101"/>
      <c r="J2819" s="101"/>
      <c r="K2819" s="101"/>
      <c r="L2819" s="101"/>
      <c r="M2819" s="101"/>
      <c r="N2819" s="101"/>
      <c r="O2819" s="101"/>
      <c r="P2819" s="101"/>
      <c r="Q2819" s="101"/>
      <c r="R2819" s="101"/>
      <c r="S2819" s="110"/>
      <c r="T2819" s="102"/>
      <c r="U2819" s="101"/>
      <c r="V2819" s="103"/>
      <c r="W2819" s="101"/>
    </row>
    <row r="2820" spans="1:23" x14ac:dyDescent="0.25">
      <c r="A2820" s="98"/>
      <c r="H2820" s="101"/>
      <c r="I2820" s="101"/>
      <c r="J2820" s="101"/>
      <c r="K2820" s="101"/>
      <c r="L2820" s="101"/>
      <c r="M2820" s="101"/>
      <c r="N2820" s="101"/>
      <c r="O2820" s="101"/>
      <c r="P2820" s="101"/>
      <c r="Q2820" s="101"/>
      <c r="R2820" s="101"/>
      <c r="S2820" s="110"/>
      <c r="T2820" s="102"/>
      <c r="U2820" s="101"/>
      <c r="V2820" s="103"/>
      <c r="W2820" s="101"/>
    </row>
    <row r="2821" spans="1:23" x14ac:dyDescent="0.25">
      <c r="A2821" s="98"/>
      <c r="H2821" s="101"/>
      <c r="I2821" s="101"/>
      <c r="J2821" s="101"/>
      <c r="K2821" s="101"/>
      <c r="L2821" s="101"/>
      <c r="M2821" s="101"/>
      <c r="N2821" s="101"/>
      <c r="O2821" s="101"/>
      <c r="P2821" s="101"/>
      <c r="Q2821" s="101"/>
      <c r="R2821" s="101"/>
      <c r="S2821" s="110"/>
      <c r="T2821" s="102"/>
      <c r="U2821" s="101"/>
      <c r="V2821" s="103"/>
      <c r="W2821" s="101"/>
    </row>
    <row r="2822" spans="1:23" x14ac:dyDescent="0.25">
      <c r="A2822" s="98"/>
      <c r="H2822" s="101"/>
      <c r="I2822" s="101"/>
      <c r="J2822" s="101"/>
      <c r="K2822" s="101"/>
      <c r="L2822" s="101"/>
      <c r="M2822" s="101"/>
      <c r="N2822" s="101"/>
      <c r="O2822" s="101"/>
      <c r="P2822" s="101"/>
      <c r="Q2822" s="101"/>
      <c r="R2822" s="101"/>
      <c r="S2822" s="110"/>
      <c r="T2822" s="102"/>
      <c r="U2822" s="101"/>
      <c r="V2822" s="103"/>
      <c r="W2822" s="101"/>
    </row>
    <row r="2823" spans="1:23" x14ac:dyDescent="0.25">
      <c r="A2823" s="98"/>
      <c r="H2823" s="101"/>
      <c r="I2823" s="101"/>
      <c r="J2823" s="101"/>
      <c r="K2823" s="101"/>
      <c r="L2823" s="101"/>
      <c r="M2823" s="101"/>
      <c r="N2823" s="101"/>
      <c r="O2823" s="101"/>
      <c r="P2823" s="101"/>
      <c r="Q2823" s="101"/>
      <c r="R2823" s="101"/>
      <c r="S2823" s="110"/>
      <c r="T2823" s="102"/>
      <c r="U2823" s="101"/>
      <c r="V2823" s="103"/>
      <c r="W2823" s="101"/>
    </row>
    <row r="2824" spans="1:23" x14ac:dyDescent="0.25">
      <c r="A2824" s="98"/>
      <c r="H2824" s="101"/>
      <c r="I2824" s="101"/>
      <c r="J2824" s="101"/>
      <c r="K2824" s="101"/>
      <c r="L2824" s="101"/>
      <c r="M2824" s="101"/>
      <c r="N2824" s="101"/>
      <c r="O2824" s="101"/>
      <c r="P2824" s="101"/>
      <c r="Q2824" s="101"/>
      <c r="R2824" s="101"/>
      <c r="S2824" s="110"/>
      <c r="T2824" s="102"/>
      <c r="U2824" s="101"/>
      <c r="V2824" s="103"/>
      <c r="W2824" s="101"/>
    </row>
    <row r="2825" spans="1:23" x14ac:dyDescent="0.25">
      <c r="A2825" s="98"/>
      <c r="H2825" s="101"/>
      <c r="I2825" s="101"/>
      <c r="J2825" s="101"/>
      <c r="K2825" s="101"/>
      <c r="L2825" s="101"/>
      <c r="M2825" s="101"/>
      <c r="N2825" s="101"/>
      <c r="O2825" s="101"/>
      <c r="P2825" s="101"/>
      <c r="Q2825" s="101"/>
      <c r="R2825" s="101"/>
      <c r="S2825" s="110"/>
      <c r="T2825" s="102"/>
      <c r="U2825" s="101"/>
      <c r="V2825" s="103"/>
      <c r="W2825" s="101"/>
    </row>
    <row r="2826" spans="1:23" x14ac:dyDescent="0.25">
      <c r="A2826" s="98"/>
      <c r="H2826" s="101"/>
      <c r="I2826" s="101"/>
      <c r="J2826" s="101"/>
      <c r="K2826" s="101"/>
      <c r="L2826" s="101"/>
      <c r="M2826" s="101"/>
      <c r="N2826" s="101"/>
      <c r="O2826" s="101"/>
      <c r="P2826" s="101"/>
      <c r="Q2826" s="101"/>
      <c r="R2826" s="101"/>
      <c r="S2826" s="110"/>
      <c r="T2826" s="102"/>
      <c r="U2826" s="101"/>
      <c r="V2826" s="103"/>
      <c r="W2826" s="101"/>
    </row>
    <row r="2827" spans="1:23" x14ac:dyDescent="0.25">
      <c r="A2827" s="98"/>
      <c r="H2827" s="101"/>
      <c r="I2827" s="101"/>
      <c r="J2827" s="101"/>
      <c r="K2827" s="101"/>
      <c r="L2827" s="101"/>
      <c r="M2827" s="101"/>
      <c r="N2827" s="101"/>
      <c r="O2827" s="101"/>
      <c r="P2827" s="101"/>
      <c r="Q2827" s="101"/>
      <c r="R2827" s="101"/>
      <c r="S2827" s="110"/>
      <c r="T2827" s="102"/>
      <c r="U2827" s="101"/>
      <c r="V2827" s="103"/>
      <c r="W2827" s="101"/>
    </row>
    <row r="2828" spans="1:23" x14ac:dyDescent="0.25">
      <c r="A2828" s="98"/>
      <c r="H2828" s="101"/>
      <c r="I2828" s="101"/>
      <c r="J2828" s="101"/>
      <c r="K2828" s="101"/>
      <c r="L2828" s="101"/>
      <c r="M2828" s="101"/>
      <c r="N2828" s="101"/>
      <c r="O2828" s="101"/>
      <c r="P2828" s="101"/>
      <c r="Q2828" s="101"/>
      <c r="R2828" s="101"/>
      <c r="S2828" s="110"/>
      <c r="T2828" s="102"/>
      <c r="U2828" s="101"/>
      <c r="V2828" s="103"/>
      <c r="W2828" s="101"/>
    </row>
    <row r="2829" spans="1:23" x14ac:dyDescent="0.25">
      <c r="A2829" s="98"/>
      <c r="H2829" s="101"/>
      <c r="I2829" s="101"/>
      <c r="J2829" s="101"/>
      <c r="K2829" s="101"/>
      <c r="L2829" s="101"/>
      <c r="M2829" s="101"/>
      <c r="N2829" s="101"/>
      <c r="O2829" s="101"/>
      <c r="P2829" s="101"/>
      <c r="Q2829" s="101"/>
      <c r="R2829" s="101"/>
      <c r="S2829" s="110"/>
      <c r="T2829" s="102"/>
      <c r="U2829" s="101"/>
      <c r="V2829" s="103"/>
      <c r="W2829" s="101"/>
    </row>
    <row r="2830" spans="1:23" x14ac:dyDescent="0.25">
      <c r="A2830" s="98"/>
      <c r="H2830" s="101"/>
      <c r="I2830" s="101"/>
      <c r="J2830" s="101"/>
      <c r="K2830" s="101"/>
      <c r="L2830" s="101"/>
      <c r="M2830" s="101"/>
      <c r="N2830" s="101"/>
      <c r="O2830" s="101"/>
      <c r="P2830" s="101"/>
      <c r="Q2830" s="101"/>
      <c r="R2830" s="101"/>
      <c r="S2830" s="110"/>
      <c r="T2830" s="102"/>
      <c r="U2830" s="101"/>
      <c r="V2830" s="103"/>
      <c r="W2830" s="101"/>
    </row>
    <row r="2831" spans="1:23" x14ac:dyDescent="0.25">
      <c r="A2831" s="98"/>
      <c r="H2831" s="101"/>
      <c r="I2831" s="101"/>
      <c r="J2831" s="101"/>
      <c r="K2831" s="101"/>
      <c r="L2831" s="101"/>
      <c r="M2831" s="101"/>
      <c r="N2831" s="101"/>
      <c r="O2831" s="101"/>
      <c r="P2831" s="101"/>
      <c r="Q2831" s="101"/>
      <c r="R2831" s="101"/>
      <c r="S2831" s="110"/>
      <c r="T2831" s="102"/>
      <c r="U2831" s="101"/>
      <c r="V2831" s="103"/>
      <c r="W2831" s="101"/>
    </row>
    <row r="2832" spans="1:23" x14ac:dyDescent="0.25">
      <c r="A2832" s="98"/>
      <c r="H2832" s="101"/>
      <c r="I2832" s="101"/>
      <c r="J2832" s="101"/>
      <c r="K2832" s="101"/>
      <c r="L2832" s="101"/>
      <c r="M2832" s="101"/>
      <c r="N2832" s="101"/>
      <c r="O2832" s="101"/>
      <c r="P2832" s="101"/>
      <c r="Q2832" s="101"/>
      <c r="R2832" s="101"/>
      <c r="S2832" s="110"/>
      <c r="T2832" s="102"/>
      <c r="U2832" s="101"/>
      <c r="V2832" s="103"/>
      <c r="W2832" s="101"/>
    </row>
    <row r="2833" spans="1:23" x14ac:dyDescent="0.25">
      <c r="A2833" s="98"/>
      <c r="H2833" s="101"/>
      <c r="I2833" s="101"/>
      <c r="J2833" s="101"/>
      <c r="K2833" s="101"/>
      <c r="L2833" s="101"/>
      <c r="M2833" s="101"/>
      <c r="N2833" s="101"/>
      <c r="O2833" s="101"/>
      <c r="P2833" s="101"/>
      <c r="Q2833" s="101"/>
      <c r="R2833" s="101"/>
      <c r="S2833" s="110"/>
      <c r="T2833" s="102"/>
      <c r="U2833" s="101"/>
      <c r="V2833" s="103"/>
      <c r="W2833" s="101"/>
    </row>
    <row r="2834" spans="1:23" x14ac:dyDescent="0.25">
      <c r="A2834" s="98"/>
      <c r="H2834" s="101"/>
      <c r="I2834" s="101"/>
      <c r="J2834" s="101"/>
      <c r="K2834" s="101"/>
      <c r="L2834" s="101"/>
      <c r="M2834" s="101"/>
      <c r="N2834" s="101"/>
      <c r="O2834" s="101"/>
      <c r="P2834" s="101"/>
      <c r="Q2834" s="101"/>
      <c r="R2834" s="101"/>
      <c r="S2834" s="110"/>
      <c r="T2834" s="102"/>
      <c r="U2834" s="101"/>
      <c r="V2834" s="103"/>
      <c r="W2834" s="101"/>
    </row>
    <row r="2835" spans="1:23" x14ac:dyDescent="0.25">
      <c r="A2835" s="98"/>
      <c r="H2835" s="101"/>
      <c r="I2835" s="101"/>
      <c r="J2835" s="101"/>
      <c r="K2835" s="101"/>
      <c r="L2835" s="101"/>
      <c r="M2835" s="101"/>
      <c r="N2835" s="101"/>
      <c r="O2835" s="101"/>
      <c r="P2835" s="101"/>
      <c r="Q2835" s="101"/>
      <c r="R2835" s="101"/>
      <c r="S2835" s="110"/>
      <c r="T2835" s="102"/>
      <c r="U2835" s="101"/>
      <c r="V2835" s="103"/>
      <c r="W2835" s="101"/>
    </row>
    <row r="2836" spans="1:23" x14ac:dyDescent="0.25">
      <c r="A2836" s="98"/>
      <c r="H2836" s="101"/>
      <c r="I2836" s="101"/>
      <c r="J2836" s="101"/>
      <c r="K2836" s="101"/>
      <c r="L2836" s="101"/>
      <c r="M2836" s="101"/>
      <c r="N2836" s="101"/>
      <c r="O2836" s="101"/>
      <c r="P2836" s="101"/>
      <c r="Q2836" s="101"/>
      <c r="R2836" s="101"/>
      <c r="S2836" s="110"/>
      <c r="T2836" s="102"/>
      <c r="U2836" s="101"/>
      <c r="V2836" s="103"/>
      <c r="W2836" s="101"/>
    </row>
    <row r="2837" spans="1:23" x14ac:dyDescent="0.25">
      <c r="A2837" s="98"/>
      <c r="H2837" s="101"/>
      <c r="I2837" s="101"/>
      <c r="J2837" s="101"/>
      <c r="K2837" s="101"/>
      <c r="L2837" s="101"/>
      <c r="M2837" s="101"/>
      <c r="N2837" s="101"/>
      <c r="O2837" s="101"/>
      <c r="P2837" s="101"/>
      <c r="Q2837" s="101"/>
      <c r="R2837" s="101"/>
      <c r="S2837" s="110"/>
      <c r="T2837" s="102"/>
      <c r="U2837" s="101"/>
      <c r="V2837" s="103"/>
      <c r="W2837" s="101"/>
    </row>
    <row r="2838" spans="1:23" x14ac:dyDescent="0.25">
      <c r="A2838" s="98"/>
      <c r="H2838" s="101"/>
      <c r="I2838" s="101"/>
      <c r="J2838" s="101"/>
      <c r="K2838" s="101"/>
      <c r="L2838" s="101"/>
      <c r="M2838" s="101"/>
      <c r="N2838" s="101"/>
      <c r="O2838" s="101"/>
      <c r="P2838" s="101"/>
      <c r="Q2838" s="101"/>
      <c r="R2838" s="101"/>
      <c r="S2838" s="110"/>
      <c r="T2838" s="102"/>
      <c r="U2838" s="101"/>
      <c r="V2838" s="103"/>
      <c r="W2838" s="101"/>
    </row>
    <row r="2839" spans="1:23" x14ac:dyDescent="0.25">
      <c r="A2839" s="98"/>
      <c r="H2839" s="101"/>
      <c r="I2839" s="101"/>
      <c r="J2839" s="101"/>
      <c r="K2839" s="101"/>
      <c r="L2839" s="101"/>
      <c r="M2839" s="101"/>
      <c r="N2839" s="101"/>
      <c r="O2839" s="101"/>
      <c r="P2839" s="101"/>
      <c r="Q2839" s="101"/>
      <c r="R2839" s="101"/>
      <c r="S2839" s="110"/>
      <c r="T2839" s="102"/>
      <c r="U2839" s="101"/>
      <c r="V2839" s="103"/>
      <c r="W2839" s="101"/>
    </row>
    <row r="2840" spans="1:23" x14ac:dyDescent="0.25">
      <c r="A2840" s="98"/>
      <c r="H2840" s="101"/>
      <c r="I2840" s="101"/>
      <c r="J2840" s="101"/>
      <c r="K2840" s="101"/>
      <c r="L2840" s="101"/>
      <c r="M2840" s="101"/>
      <c r="N2840" s="101"/>
      <c r="O2840" s="101"/>
      <c r="P2840" s="101"/>
      <c r="Q2840" s="101"/>
      <c r="R2840" s="101"/>
      <c r="S2840" s="110"/>
      <c r="T2840" s="102"/>
      <c r="U2840" s="101"/>
      <c r="V2840" s="103"/>
      <c r="W2840" s="101"/>
    </row>
    <row r="2841" spans="1:23" x14ac:dyDescent="0.25">
      <c r="A2841" s="98"/>
      <c r="H2841" s="101"/>
      <c r="I2841" s="101"/>
      <c r="J2841" s="101"/>
      <c r="K2841" s="101"/>
      <c r="L2841" s="101"/>
      <c r="M2841" s="101"/>
      <c r="N2841" s="101"/>
      <c r="O2841" s="101"/>
      <c r="P2841" s="101"/>
      <c r="Q2841" s="101"/>
      <c r="R2841" s="101"/>
      <c r="S2841" s="110"/>
      <c r="T2841" s="102"/>
      <c r="U2841" s="101"/>
      <c r="V2841" s="103"/>
      <c r="W2841" s="101"/>
    </row>
    <row r="2842" spans="1:23" x14ac:dyDescent="0.25">
      <c r="A2842" s="98"/>
      <c r="H2842" s="101"/>
      <c r="I2842" s="101"/>
      <c r="J2842" s="101"/>
      <c r="K2842" s="101"/>
      <c r="L2842" s="101"/>
      <c r="M2842" s="101"/>
      <c r="N2842" s="101"/>
      <c r="O2842" s="101"/>
      <c r="P2842" s="101"/>
      <c r="Q2842" s="101"/>
      <c r="R2842" s="101"/>
      <c r="S2842" s="110"/>
      <c r="T2842" s="102"/>
      <c r="U2842" s="101"/>
      <c r="V2842" s="103"/>
      <c r="W2842" s="101"/>
    </row>
    <row r="2843" spans="1:23" x14ac:dyDescent="0.25">
      <c r="A2843" s="98"/>
      <c r="H2843" s="101"/>
      <c r="I2843" s="101"/>
      <c r="J2843" s="101"/>
      <c r="K2843" s="101"/>
      <c r="L2843" s="101"/>
      <c r="M2843" s="101"/>
      <c r="N2843" s="101"/>
      <c r="O2843" s="101"/>
      <c r="P2843" s="101"/>
      <c r="Q2843" s="101"/>
      <c r="R2843" s="101"/>
      <c r="S2843" s="110"/>
      <c r="T2843" s="102"/>
      <c r="U2843" s="101"/>
      <c r="V2843" s="103"/>
      <c r="W2843" s="101"/>
    </row>
    <row r="2844" spans="1:23" x14ac:dyDescent="0.25">
      <c r="A2844" s="98"/>
      <c r="H2844" s="101"/>
      <c r="I2844" s="101"/>
      <c r="J2844" s="101"/>
      <c r="K2844" s="101"/>
      <c r="L2844" s="101"/>
      <c r="M2844" s="101"/>
      <c r="N2844" s="101"/>
      <c r="O2844" s="101"/>
      <c r="P2844" s="101"/>
      <c r="Q2844" s="101"/>
      <c r="R2844" s="101"/>
      <c r="S2844" s="110"/>
      <c r="T2844" s="102"/>
      <c r="U2844" s="101"/>
      <c r="V2844" s="103"/>
      <c r="W2844" s="101"/>
    </row>
    <row r="2845" spans="1:23" x14ac:dyDescent="0.25">
      <c r="A2845" s="98"/>
      <c r="H2845" s="101"/>
      <c r="I2845" s="101"/>
      <c r="J2845" s="101"/>
      <c r="K2845" s="101"/>
      <c r="L2845" s="101"/>
      <c r="M2845" s="101"/>
      <c r="N2845" s="101"/>
      <c r="O2845" s="101"/>
      <c r="P2845" s="101"/>
      <c r="Q2845" s="101"/>
      <c r="R2845" s="101"/>
      <c r="S2845" s="110"/>
      <c r="T2845" s="102"/>
      <c r="U2845" s="101"/>
      <c r="V2845" s="103"/>
      <c r="W2845" s="101"/>
    </row>
    <row r="2846" spans="1:23" x14ac:dyDescent="0.25">
      <c r="A2846" s="98"/>
      <c r="H2846" s="101"/>
      <c r="I2846" s="101"/>
      <c r="J2846" s="101"/>
      <c r="K2846" s="101"/>
      <c r="L2846" s="101"/>
      <c r="M2846" s="101"/>
      <c r="N2846" s="101"/>
      <c r="O2846" s="101"/>
      <c r="P2846" s="101"/>
      <c r="Q2846" s="101"/>
      <c r="R2846" s="101"/>
      <c r="S2846" s="110"/>
      <c r="T2846" s="102"/>
      <c r="U2846" s="101"/>
      <c r="V2846" s="103"/>
      <c r="W2846" s="101"/>
    </row>
    <row r="2847" spans="1:23" x14ac:dyDescent="0.25">
      <c r="A2847" s="98"/>
      <c r="H2847" s="101"/>
      <c r="I2847" s="101"/>
      <c r="J2847" s="101"/>
      <c r="K2847" s="101"/>
      <c r="L2847" s="101"/>
      <c r="M2847" s="101"/>
      <c r="N2847" s="101"/>
      <c r="O2847" s="101"/>
      <c r="P2847" s="101"/>
      <c r="Q2847" s="101"/>
      <c r="R2847" s="101"/>
      <c r="S2847" s="110"/>
      <c r="T2847" s="102"/>
      <c r="U2847" s="101"/>
      <c r="V2847" s="103"/>
      <c r="W2847" s="101"/>
    </row>
    <row r="2848" spans="1:23" x14ac:dyDescent="0.25">
      <c r="A2848" s="98"/>
      <c r="H2848" s="101"/>
      <c r="I2848" s="101"/>
      <c r="J2848" s="101"/>
      <c r="K2848" s="101"/>
      <c r="L2848" s="101"/>
      <c r="M2848" s="101"/>
      <c r="N2848" s="101"/>
      <c r="O2848" s="101"/>
      <c r="P2848" s="101"/>
      <c r="Q2848" s="101"/>
      <c r="R2848" s="101"/>
      <c r="S2848" s="110"/>
      <c r="T2848" s="102"/>
      <c r="U2848" s="101"/>
      <c r="V2848" s="103"/>
      <c r="W2848" s="101"/>
    </row>
    <row r="2849" spans="1:23" x14ac:dyDescent="0.25">
      <c r="A2849" s="98"/>
      <c r="H2849" s="101"/>
      <c r="I2849" s="101"/>
      <c r="J2849" s="101"/>
      <c r="K2849" s="101"/>
      <c r="L2849" s="101"/>
      <c r="M2849" s="101"/>
      <c r="N2849" s="101"/>
      <c r="O2849" s="101"/>
      <c r="P2849" s="101"/>
      <c r="Q2849" s="101"/>
      <c r="R2849" s="101"/>
      <c r="S2849" s="110"/>
      <c r="T2849" s="102"/>
      <c r="U2849" s="101"/>
      <c r="V2849" s="103"/>
      <c r="W2849" s="101"/>
    </row>
    <row r="2850" spans="1:23" x14ac:dyDescent="0.25">
      <c r="A2850" s="98"/>
      <c r="H2850" s="101"/>
      <c r="I2850" s="101"/>
      <c r="J2850" s="101"/>
      <c r="K2850" s="101"/>
      <c r="L2850" s="101"/>
      <c r="M2850" s="101"/>
      <c r="N2850" s="101"/>
      <c r="O2850" s="101"/>
      <c r="P2850" s="101"/>
      <c r="Q2850" s="101"/>
      <c r="R2850" s="101"/>
      <c r="S2850" s="110"/>
      <c r="T2850" s="102"/>
      <c r="U2850" s="101"/>
      <c r="V2850" s="103"/>
      <c r="W2850" s="101"/>
    </row>
    <row r="2851" spans="1:23" x14ac:dyDescent="0.25">
      <c r="A2851" s="98"/>
      <c r="H2851" s="101"/>
      <c r="I2851" s="101"/>
      <c r="J2851" s="101"/>
      <c r="K2851" s="101"/>
      <c r="L2851" s="101"/>
      <c r="M2851" s="101"/>
      <c r="N2851" s="101"/>
      <c r="O2851" s="101"/>
      <c r="P2851" s="101"/>
      <c r="Q2851" s="101"/>
      <c r="R2851" s="101"/>
      <c r="S2851" s="110"/>
      <c r="T2851" s="102"/>
      <c r="U2851" s="101"/>
      <c r="V2851" s="103"/>
      <c r="W2851" s="101"/>
    </row>
    <row r="2852" spans="1:23" x14ac:dyDescent="0.25">
      <c r="A2852" s="98"/>
      <c r="H2852" s="101"/>
      <c r="I2852" s="101"/>
      <c r="J2852" s="101"/>
      <c r="K2852" s="101"/>
      <c r="L2852" s="101"/>
      <c r="M2852" s="101"/>
      <c r="N2852" s="101"/>
      <c r="O2852" s="101"/>
      <c r="P2852" s="101"/>
      <c r="Q2852" s="101"/>
      <c r="R2852" s="101"/>
      <c r="S2852" s="110"/>
      <c r="T2852" s="102"/>
      <c r="U2852" s="101"/>
      <c r="V2852" s="103"/>
      <c r="W2852" s="101"/>
    </row>
    <row r="2853" spans="1:23" x14ac:dyDescent="0.25">
      <c r="A2853" s="98"/>
      <c r="H2853" s="101"/>
      <c r="I2853" s="101"/>
      <c r="J2853" s="101"/>
      <c r="K2853" s="101"/>
      <c r="L2853" s="101"/>
      <c r="M2853" s="101"/>
      <c r="N2853" s="101"/>
      <c r="O2853" s="101"/>
      <c r="P2853" s="101"/>
      <c r="Q2853" s="101"/>
      <c r="R2853" s="101"/>
      <c r="S2853" s="110"/>
      <c r="T2853" s="102"/>
      <c r="U2853" s="101"/>
      <c r="V2853" s="103"/>
      <c r="W2853" s="101"/>
    </row>
    <row r="2854" spans="1:23" x14ac:dyDescent="0.25">
      <c r="A2854" s="98"/>
      <c r="H2854" s="101"/>
      <c r="I2854" s="101"/>
      <c r="J2854" s="101"/>
      <c r="K2854" s="101"/>
      <c r="L2854" s="101"/>
      <c r="M2854" s="101"/>
      <c r="N2854" s="101"/>
      <c r="O2854" s="101"/>
      <c r="P2854" s="101"/>
      <c r="Q2854" s="101"/>
      <c r="R2854" s="101"/>
      <c r="S2854" s="110"/>
      <c r="T2854" s="102"/>
      <c r="U2854" s="101"/>
      <c r="V2854" s="103"/>
      <c r="W2854" s="101"/>
    </row>
    <row r="2855" spans="1:23" x14ac:dyDescent="0.25">
      <c r="A2855" s="98"/>
      <c r="H2855" s="101"/>
      <c r="I2855" s="101"/>
      <c r="J2855" s="101"/>
      <c r="K2855" s="101"/>
      <c r="L2855" s="101"/>
      <c r="M2855" s="101"/>
      <c r="N2855" s="101"/>
      <c r="O2855" s="101"/>
      <c r="P2855" s="101"/>
      <c r="Q2855" s="101"/>
      <c r="R2855" s="101"/>
      <c r="S2855" s="110"/>
      <c r="T2855" s="102"/>
      <c r="U2855" s="101"/>
      <c r="V2855" s="103"/>
      <c r="W2855" s="101"/>
    </row>
    <row r="2856" spans="1:23" x14ac:dyDescent="0.25">
      <c r="A2856" s="98"/>
      <c r="H2856" s="101"/>
      <c r="I2856" s="101"/>
      <c r="J2856" s="101"/>
      <c r="K2856" s="101"/>
      <c r="L2856" s="101"/>
      <c r="M2856" s="101"/>
      <c r="N2856" s="101"/>
      <c r="O2856" s="101"/>
      <c r="P2856" s="101"/>
      <c r="Q2856" s="101"/>
      <c r="R2856" s="101"/>
      <c r="S2856" s="110"/>
      <c r="T2856" s="102"/>
      <c r="U2856" s="101"/>
      <c r="V2856" s="103"/>
      <c r="W2856" s="101"/>
    </row>
    <row r="2857" spans="1:23" x14ac:dyDescent="0.25">
      <c r="A2857" s="98"/>
      <c r="H2857" s="101"/>
      <c r="I2857" s="101"/>
      <c r="J2857" s="101"/>
      <c r="K2857" s="101"/>
      <c r="L2857" s="101"/>
      <c r="M2857" s="101"/>
      <c r="N2857" s="101"/>
      <c r="O2857" s="101"/>
      <c r="P2857" s="101"/>
      <c r="Q2857" s="101"/>
      <c r="R2857" s="101"/>
      <c r="S2857" s="110"/>
      <c r="T2857" s="102"/>
      <c r="U2857" s="101"/>
      <c r="V2857" s="103"/>
      <c r="W2857" s="101"/>
    </row>
    <row r="2858" spans="1:23" x14ac:dyDescent="0.25">
      <c r="A2858" s="98"/>
      <c r="H2858" s="101"/>
      <c r="I2858" s="101"/>
      <c r="J2858" s="101"/>
      <c r="K2858" s="101"/>
      <c r="L2858" s="101"/>
      <c r="M2858" s="101"/>
      <c r="N2858" s="101"/>
      <c r="O2858" s="101"/>
      <c r="P2858" s="101"/>
      <c r="Q2858" s="101"/>
      <c r="R2858" s="101"/>
      <c r="S2858" s="110"/>
      <c r="T2858" s="102"/>
      <c r="U2858" s="101"/>
      <c r="V2858" s="103"/>
      <c r="W2858" s="101"/>
    </row>
    <row r="2859" spans="1:23" x14ac:dyDescent="0.25">
      <c r="A2859" s="98"/>
      <c r="H2859" s="101"/>
      <c r="I2859" s="101"/>
      <c r="J2859" s="101"/>
      <c r="K2859" s="101"/>
      <c r="L2859" s="101"/>
      <c r="M2859" s="101"/>
      <c r="N2859" s="101"/>
      <c r="O2859" s="101"/>
      <c r="P2859" s="101"/>
      <c r="Q2859" s="101"/>
      <c r="R2859" s="101"/>
      <c r="S2859" s="110"/>
      <c r="T2859" s="102"/>
      <c r="U2859" s="101"/>
      <c r="V2859" s="103"/>
      <c r="W2859" s="101"/>
    </row>
    <row r="2860" spans="1:23" x14ac:dyDescent="0.25">
      <c r="A2860" s="98"/>
      <c r="H2860" s="101"/>
      <c r="I2860" s="101"/>
      <c r="J2860" s="101"/>
      <c r="K2860" s="101"/>
      <c r="L2860" s="101"/>
      <c r="M2860" s="101"/>
      <c r="N2860" s="101"/>
      <c r="O2860" s="101"/>
      <c r="P2860" s="101"/>
      <c r="Q2860" s="101"/>
      <c r="R2860" s="101"/>
      <c r="S2860" s="110"/>
      <c r="T2860" s="102"/>
      <c r="U2860" s="101"/>
      <c r="V2860" s="103"/>
      <c r="W2860" s="101"/>
    </row>
    <row r="2861" spans="1:23" x14ac:dyDescent="0.25">
      <c r="A2861" s="98"/>
      <c r="H2861" s="101"/>
      <c r="I2861" s="101"/>
      <c r="J2861" s="101"/>
      <c r="K2861" s="101"/>
      <c r="L2861" s="101"/>
      <c r="M2861" s="101"/>
      <c r="N2861" s="101"/>
      <c r="O2861" s="101"/>
      <c r="P2861" s="101"/>
      <c r="Q2861" s="101"/>
      <c r="R2861" s="101"/>
      <c r="S2861" s="110"/>
      <c r="T2861" s="102"/>
      <c r="U2861" s="101"/>
      <c r="V2861" s="103"/>
      <c r="W2861" s="101"/>
    </row>
    <row r="2862" spans="1:23" x14ac:dyDescent="0.25">
      <c r="A2862" s="98"/>
      <c r="H2862" s="101"/>
      <c r="I2862" s="101"/>
      <c r="J2862" s="101"/>
      <c r="K2862" s="101"/>
      <c r="L2862" s="101"/>
      <c r="M2862" s="101"/>
      <c r="N2862" s="101"/>
      <c r="O2862" s="101"/>
      <c r="P2862" s="101"/>
      <c r="Q2862" s="101"/>
      <c r="R2862" s="101"/>
      <c r="S2862" s="110"/>
      <c r="T2862" s="102"/>
      <c r="U2862" s="101"/>
      <c r="V2862" s="103"/>
      <c r="W2862" s="101"/>
    </row>
    <row r="2863" spans="1:23" x14ac:dyDescent="0.25">
      <c r="A2863" s="98"/>
      <c r="H2863" s="101"/>
      <c r="I2863" s="101"/>
      <c r="J2863" s="101"/>
      <c r="K2863" s="101"/>
      <c r="L2863" s="101"/>
      <c r="M2863" s="101"/>
      <c r="N2863" s="101"/>
      <c r="O2863" s="101"/>
      <c r="P2863" s="101"/>
      <c r="Q2863" s="101"/>
      <c r="R2863" s="101"/>
      <c r="S2863" s="110"/>
      <c r="T2863" s="102"/>
      <c r="U2863" s="101"/>
      <c r="V2863" s="103"/>
      <c r="W2863" s="101"/>
    </row>
    <row r="2864" spans="1:23" x14ac:dyDescent="0.25">
      <c r="A2864" s="98"/>
      <c r="H2864" s="101"/>
      <c r="I2864" s="101"/>
      <c r="J2864" s="101"/>
      <c r="K2864" s="101"/>
      <c r="L2864" s="101"/>
      <c r="M2864" s="101"/>
      <c r="N2864" s="101"/>
      <c r="O2864" s="101"/>
      <c r="P2864" s="101"/>
      <c r="Q2864" s="101"/>
      <c r="R2864" s="101"/>
      <c r="S2864" s="110"/>
      <c r="T2864" s="102"/>
      <c r="U2864" s="101"/>
      <c r="V2864" s="103"/>
      <c r="W2864" s="101"/>
    </row>
    <row r="2865" spans="1:23" x14ac:dyDescent="0.25">
      <c r="A2865" s="98"/>
      <c r="H2865" s="101"/>
      <c r="I2865" s="101"/>
      <c r="J2865" s="101"/>
      <c r="K2865" s="101"/>
      <c r="L2865" s="101"/>
      <c r="M2865" s="101"/>
      <c r="N2865" s="101"/>
      <c r="O2865" s="101"/>
      <c r="P2865" s="101"/>
      <c r="Q2865" s="101"/>
      <c r="R2865" s="101"/>
      <c r="S2865" s="110"/>
      <c r="T2865" s="102"/>
      <c r="U2865" s="101"/>
      <c r="V2865" s="103"/>
      <c r="W2865" s="101"/>
    </row>
    <row r="2866" spans="1:23" x14ac:dyDescent="0.25">
      <c r="A2866" s="98"/>
      <c r="H2866" s="101"/>
      <c r="I2866" s="101"/>
      <c r="J2866" s="101"/>
      <c r="K2866" s="101"/>
      <c r="L2866" s="101"/>
      <c r="M2866" s="101"/>
      <c r="N2866" s="101"/>
      <c r="O2866" s="101"/>
      <c r="P2866" s="101"/>
      <c r="Q2866" s="101"/>
      <c r="R2866" s="101"/>
      <c r="S2866" s="110"/>
      <c r="T2866" s="102"/>
      <c r="U2866" s="101"/>
      <c r="V2866" s="103"/>
      <c r="W2866" s="101"/>
    </row>
    <row r="2867" spans="1:23" x14ac:dyDescent="0.25">
      <c r="A2867" s="98"/>
      <c r="H2867" s="101"/>
      <c r="I2867" s="101"/>
      <c r="J2867" s="101"/>
      <c r="K2867" s="101"/>
      <c r="L2867" s="101"/>
      <c r="M2867" s="101"/>
      <c r="N2867" s="101"/>
      <c r="O2867" s="101"/>
      <c r="P2867" s="101"/>
      <c r="Q2867" s="101"/>
      <c r="R2867" s="101"/>
      <c r="S2867" s="110"/>
      <c r="T2867" s="102"/>
      <c r="U2867" s="101"/>
      <c r="V2867" s="103"/>
      <c r="W2867" s="101"/>
    </row>
    <row r="2868" spans="1:23" x14ac:dyDescent="0.25">
      <c r="A2868" s="98"/>
      <c r="H2868" s="101"/>
      <c r="I2868" s="101"/>
      <c r="J2868" s="101"/>
      <c r="K2868" s="101"/>
      <c r="L2868" s="101"/>
      <c r="M2868" s="101"/>
      <c r="N2868" s="101"/>
      <c r="O2868" s="101"/>
      <c r="P2868" s="101"/>
      <c r="Q2868" s="101"/>
      <c r="R2868" s="101"/>
      <c r="S2868" s="110"/>
      <c r="T2868" s="102"/>
      <c r="U2868" s="101"/>
      <c r="V2868" s="103"/>
      <c r="W2868" s="101"/>
    </row>
    <row r="2869" spans="1:23" x14ac:dyDescent="0.25">
      <c r="A2869" s="98"/>
      <c r="H2869" s="101"/>
      <c r="I2869" s="101"/>
      <c r="J2869" s="101"/>
      <c r="K2869" s="101"/>
      <c r="L2869" s="101"/>
      <c r="M2869" s="101"/>
      <c r="N2869" s="101"/>
      <c r="O2869" s="101"/>
      <c r="P2869" s="101"/>
      <c r="Q2869" s="101"/>
      <c r="R2869" s="101"/>
      <c r="S2869" s="110"/>
      <c r="T2869" s="102"/>
      <c r="U2869" s="101"/>
      <c r="V2869" s="103"/>
      <c r="W2869" s="101"/>
    </row>
    <row r="2870" spans="1:23" x14ac:dyDescent="0.25">
      <c r="A2870" s="98"/>
      <c r="H2870" s="101"/>
      <c r="I2870" s="101"/>
      <c r="J2870" s="101"/>
      <c r="K2870" s="101"/>
      <c r="L2870" s="101"/>
      <c r="M2870" s="101"/>
      <c r="N2870" s="101"/>
      <c r="O2870" s="101"/>
      <c r="P2870" s="101"/>
      <c r="Q2870" s="101"/>
      <c r="R2870" s="101"/>
      <c r="S2870" s="110"/>
      <c r="T2870" s="102"/>
      <c r="U2870" s="101"/>
      <c r="V2870" s="103"/>
      <c r="W2870" s="101"/>
    </row>
    <row r="2871" spans="1:23" x14ac:dyDescent="0.25">
      <c r="A2871" s="98"/>
      <c r="H2871" s="101"/>
      <c r="I2871" s="101"/>
      <c r="J2871" s="101"/>
      <c r="K2871" s="101"/>
      <c r="L2871" s="101"/>
      <c r="M2871" s="101"/>
      <c r="N2871" s="101"/>
      <c r="O2871" s="101"/>
      <c r="P2871" s="101"/>
      <c r="Q2871" s="101"/>
      <c r="R2871" s="101"/>
      <c r="S2871" s="110"/>
      <c r="T2871" s="102"/>
      <c r="U2871" s="101"/>
      <c r="V2871" s="103"/>
      <c r="W2871" s="101"/>
    </row>
    <row r="2872" spans="1:23" x14ac:dyDescent="0.25">
      <c r="A2872" s="98"/>
      <c r="H2872" s="101"/>
      <c r="I2872" s="101"/>
      <c r="J2872" s="101"/>
      <c r="K2872" s="101"/>
      <c r="L2872" s="101"/>
      <c r="M2872" s="101"/>
      <c r="N2872" s="101"/>
      <c r="O2872" s="101"/>
      <c r="P2872" s="101"/>
      <c r="Q2872" s="101"/>
      <c r="R2872" s="101"/>
      <c r="S2872" s="110"/>
      <c r="T2872" s="102"/>
      <c r="U2872" s="101"/>
      <c r="V2872" s="103"/>
      <c r="W2872" s="101"/>
    </row>
    <row r="2873" spans="1:23" x14ac:dyDescent="0.25">
      <c r="A2873" s="98"/>
      <c r="H2873" s="101"/>
      <c r="I2873" s="101"/>
      <c r="J2873" s="101"/>
      <c r="K2873" s="101"/>
      <c r="L2873" s="101"/>
      <c r="M2873" s="101"/>
      <c r="N2873" s="101"/>
      <c r="O2873" s="101"/>
      <c r="P2873" s="101"/>
      <c r="Q2873" s="101"/>
      <c r="R2873" s="101"/>
      <c r="S2873" s="110"/>
      <c r="T2873" s="102"/>
      <c r="U2873" s="101"/>
      <c r="V2873" s="103"/>
      <c r="W2873" s="101"/>
    </row>
    <row r="2874" spans="1:23" x14ac:dyDescent="0.25">
      <c r="A2874" s="98"/>
      <c r="H2874" s="101"/>
      <c r="I2874" s="101"/>
      <c r="J2874" s="101"/>
      <c r="K2874" s="101"/>
      <c r="L2874" s="101"/>
      <c r="M2874" s="101"/>
      <c r="N2874" s="101"/>
      <c r="O2874" s="101"/>
      <c r="P2874" s="101"/>
      <c r="Q2874" s="101"/>
      <c r="R2874" s="101"/>
      <c r="S2874" s="110"/>
      <c r="T2874" s="102"/>
      <c r="U2874" s="101"/>
      <c r="V2874" s="103"/>
      <c r="W2874" s="101"/>
    </row>
    <row r="2875" spans="1:23" x14ac:dyDescent="0.25">
      <c r="A2875" s="98"/>
      <c r="H2875" s="101"/>
      <c r="I2875" s="101"/>
      <c r="J2875" s="101"/>
      <c r="K2875" s="101"/>
      <c r="L2875" s="101"/>
      <c r="M2875" s="101"/>
      <c r="N2875" s="101"/>
      <c r="O2875" s="101"/>
      <c r="P2875" s="101"/>
      <c r="Q2875" s="101"/>
      <c r="R2875" s="101"/>
      <c r="S2875" s="110"/>
      <c r="T2875" s="102"/>
      <c r="U2875" s="101"/>
      <c r="V2875" s="103"/>
      <c r="W2875" s="101"/>
    </row>
    <row r="2876" spans="1:23" x14ac:dyDescent="0.25">
      <c r="A2876" s="98"/>
      <c r="H2876" s="101"/>
      <c r="I2876" s="101"/>
      <c r="J2876" s="101"/>
      <c r="K2876" s="101"/>
      <c r="L2876" s="101"/>
      <c r="M2876" s="101"/>
      <c r="N2876" s="101"/>
      <c r="O2876" s="101"/>
      <c r="P2876" s="101"/>
      <c r="Q2876" s="101"/>
      <c r="R2876" s="101"/>
      <c r="S2876" s="110"/>
      <c r="T2876" s="102"/>
      <c r="U2876" s="101"/>
      <c r="V2876" s="103"/>
      <c r="W2876" s="101"/>
    </row>
    <row r="2877" spans="1:23" x14ac:dyDescent="0.25">
      <c r="A2877" s="98"/>
      <c r="H2877" s="101"/>
      <c r="I2877" s="101"/>
      <c r="J2877" s="101"/>
      <c r="K2877" s="101"/>
      <c r="L2877" s="101"/>
      <c r="M2877" s="101"/>
      <c r="N2877" s="101"/>
      <c r="O2877" s="101"/>
      <c r="P2877" s="101"/>
      <c r="Q2877" s="101"/>
      <c r="R2877" s="101"/>
      <c r="S2877" s="110"/>
      <c r="T2877" s="102"/>
      <c r="U2877" s="101"/>
      <c r="V2877" s="103"/>
      <c r="W2877" s="101"/>
    </row>
    <row r="2878" spans="1:23" x14ac:dyDescent="0.25">
      <c r="A2878" s="98"/>
      <c r="H2878" s="101"/>
      <c r="I2878" s="101"/>
      <c r="J2878" s="101"/>
      <c r="K2878" s="101"/>
      <c r="L2878" s="101"/>
      <c r="M2878" s="101"/>
      <c r="N2878" s="101"/>
      <c r="O2878" s="101"/>
      <c r="P2878" s="101"/>
      <c r="Q2878" s="101"/>
      <c r="R2878" s="101"/>
      <c r="S2878" s="110"/>
      <c r="T2878" s="102"/>
      <c r="U2878" s="101"/>
      <c r="V2878" s="103"/>
      <c r="W2878" s="101"/>
    </row>
    <row r="2879" spans="1:23" x14ac:dyDescent="0.25">
      <c r="A2879" s="98"/>
      <c r="H2879" s="101"/>
      <c r="I2879" s="101"/>
      <c r="J2879" s="101"/>
      <c r="K2879" s="101"/>
      <c r="L2879" s="101"/>
      <c r="M2879" s="101"/>
      <c r="N2879" s="101"/>
      <c r="O2879" s="101"/>
      <c r="P2879" s="101"/>
      <c r="Q2879" s="101"/>
      <c r="R2879" s="101"/>
      <c r="S2879" s="110"/>
      <c r="T2879" s="102"/>
      <c r="U2879" s="101"/>
      <c r="V2879" s="103"/>
      <c r="W2879" s="101"/>
    </row>
    <row r="2880" spans="1:23" x14ac:dyDescent="0.25">
      <c r="A2880" s="98"/>
      <c r="H2880" s="101"/>
      <c r="I2880" s="101"/>
      <c r="J2880" s="101"/>
      <c r="K2880" s="101"/>
      <c r="L2880" s="101"/>
      <c r="M2880" s="101"/>
      <c r="N2880" s="101"/>
      <c r="O2880" s="101"/>
      <c r="P2880" s="101"/>
      <c r="Q2880" s="101"/>
      <c r="R2880" s="101"/>
      <c r="S2880" s="110"/>
      <c r="T2880" s="102"/>
      <c r="U2880" s="101"/>
      <c r="V2880" s="103"/>
      <c r="W2880" s="101"/>
    </row>
    <row r="2881" spans="1:23" x14ac:dyDescent="0.25">
      <c r="A2881" s="98"/>
      <c r="H2881" s="101"/>
      <c r="I2881" s="101"/>
      <c r="J2881" s="101"/>
      <c r="K2881" s="101"/>
      <c r="L2881" s="101"/>
      <c r="M2881" s="101"/>
      <c r="N2881" s="101"/>
      <c r="O2881" s="101"/>
      <c r="P2881" s="101"/>
      <c r="Q2881" s="101"/>
      <c r="R2881" s="101"/>
      <c r="S2881" s="110"/>
      <c r="T2881" s="102"/>
      <c r="U2881" s="101"/>
      <c r="V2881" s="103"/>
      <c r="W2881" s="101"/>
    </row>
    <row r="2882" spans="1:23" x14ac:dyDescent="0.25">
      <c r="A2882" s="98"/>
      <c r="H2882" s="101"/>
      <c r="I2882" s="101"/>
      <c r="J2882" s="101"/>
      <c r="K2882" s="101"/>
      <c r="L2882" s="101"/>
      <c r="M2882" s="101"/>
      <c r="N2882" s="101"/>
      <c r="O2882" s="101"/>
      <c r="P2882" s="101"/>
      <c r="Q2882" s="101"/>
      <c r="R2882" s="101"/>
      <c r="S2882" s="110"/>
      <c r="T2882" s="102"/>
      <c r="U2882" s="101"/>
      <c r="V2882" s="103"/>
      <c r="W2882" s="101"/>
    </row>
    <row r="2883" spans="1:23" x14ac:dyDescent="0.25">
      <c r="A2883" s="98"/>
      <c r="H2883" s="101"/>
      <c r="I2883" s="101"/>
      <c r="J2883" s="101"/>
      <c r="K2883" s="101"/>
      <c r="L2883" s="101"/>
      <c r="M2883" s="101"/>
      <c r="N2883" s="101"/>
      <c r="O2883" s="101"/>
      <c r="P2883" s="101"/>
      <c r="Q2883" s="101"/>
      <c r="R2883" s="101"/>
      <c r="S2883" s="110"/>
      <c r="T2883" s="102"/>
      <c r="U2883" s="101"/>
      <c r="V2883" s="103"/>
      <c r="W2883" s="101"/>
    </row>
    <row r="2884" spans="1:23" x14ac:dyDescent="0.25">
      <c r="A2884" s="98"/>
      <c r="H2884" s="101"/>
      <c r="I2884" s="101"/>
      <c r="J2884" s="101"/>
      <c r="K2884" s="101"/>
      <c r="L2884" s="101"/>
      <c r="M2884" s="101"/>
      <c r="N2884" s="101"/>
      <c r="O2884" s="101"/>
      <c r="P2884" s="101"/>
      <c r="Q2884" s="101"/>
      <c r="R2884" s="101"/>
      <c r="S2884" s="110"/>
      <c r="T2884" s="102"/>
      <c r="U2884" s="101"/>
      <c r="V2884" s="103"/>
      <c r="W2884" s="101"/>
    </row>
    <row r="2885" spans="1:23" x14ac:dyDescent="0.25">
      <c r="A2885" s="98"/>
      <c r="H2885" s="101"/>
      <c r="I2885" s="101"/>
      <c r="J2885" s="101"/>
      <c r="K2885" s="101"/>
      <c r="L2885" s="101"/>
      <c r="M2885" s="101"/>
      <c r="N2885" s="101"/>
      <c r="O2885" s="101"/>
      <c r="P2885" s="101"/>
      <c r="Q2885" s="101"/>
      <c r="R2885" s="101"/>
      <c r="S2885" s="110"/>
      <c r="T2885" s="102"/>
      <c r="U2885" s="101"/>
      <c r="V2885" s="103"/>
      <c r="W2885" s="101"/>
    </row>
    <row r="2886" spans="1:23" x14ac:dyDescent="0.25">
      <c r="A2886" s="98"/>
      <c r="H2886" s="101"/>
      <c r="I2886" s="101"/>
      <c r="J2886" s="101"/>
      <c r="K2886" s="101"/>
      <c r="L2886" s="101"/>
      <c r="M2886" s="101"/>
      <c r="N2886" s="101"/>
      <c r="O2886" s="101"/>
      <c r="P2886" s="101"/>
      <c r="Q2886" s="101"/>
      <c r="R2886" s="101"/>
      <c r="S2886" s="110"/>
      <c r="T2886" s="102"/>
      <c r="U2886" s="101"/>
      <c r="V2886" s="103"/>
      <c r="W2886" s="101"/>
    </row>
    <row r="2887" spans="1:23" x14ac:dyDescent="0.25">
      <c r="A2887" s="98"/>
      <c r="H2887" s="101"/>
      <c r="I2887" s="101"/>
      <c r="J2887" s="101"/>
      <c r="K2887" s="101"/>
      <c r="L2887" s="101"/>
      <c r="M2887" s="101"/>
      <c r="N2887" s="101"/>
      <c r="O2887" s="101"/>
      <c r="P2887" s="101"/>
      <c r="Q2887" s="101"/>
      <c r="R2887" s="101"/>
      <c r="S2887" s="110"/>
      <c r="T2887" s="102"/>
      <c r="U2887" s="101"/>
      <c r="V2887" s="103"/>
      <c r="W2887" s="101"/>
    </row>
    <row r="2888" spans="1:23" x14ac:dyDescent="0.25">
      <c r="A2888" s="98"/>
      <c r="H2888" s="101"/>
      <c r="I2888" s="101"/>
      <c r="J2888" s="101"/>
      <c r="K2888" s="101"/>
      <c r="L2888" s="101"/>
      <c r="M2888" s="101"/>
      <c r="N2888" s="101"/>
      <c r="O2888" s="101"/>
      <c r="P2888" s="101"/>
      <c r="Q2888" s="101"/>
      <c r="R2888" s="101"/>
      <c r="S2888" s="110"/>
      <c r="T2888" s="102"/>
      <c r="U2888" s="101"/>
      <c r="V2888" s="103"/>
      <c r="W2888" s="101"/>
    </row>
    <row r="2889" spans="1:23" x14ac:dyDescent="0.25">
      <c r="A2889" s="98"/>
      <c r="H2889" s="101"/>
      <c r="I2889" s="101"/>
      <c r="J2889" s="101"/>
      <c r="K2889" s="101"/>
      <c r="L2889" s="101"/>
      <c r="M2889" s="101"/>
      <c r="N2889" s="101"/>
      <c r="O2889" s="101"/>
      <c r="P2889" s="101"/>
      <c r="Q2889" s="101"/>
      <c r="R2889" s="101"/>
      <c r="S2889" s="110"/>
      <c r="T2889" s="102"/>
      <c r="U2889" s="101"/>
      <c r="V2889" s="103"/>
      <c r="W2889" s="101"/>
    </row>
    <row r="2890" spans="1:23" x14ac:dyDescent="0.25">
      <c r="A2890" s="98"/>
      <c r="H2890" s="101"/>
      <c r="I2890" s="101"/>
      <c r="J2890" s="101"/>
      <c r="K2890" s="101"/>
      <c r="L2890" s="101"/>
      <c r="M2890" s="101"/>
      <c r="N2890" s="101"/>
      <c r="O2890" s="101"/>
      <c r="P2890" s="101"/>
      <c r="Q2890" s="101"/>
      <c r="R2890" s="101"/>
      <c r="S2890" s="110"/>
      <c r="T2890" s="102"/>
      <c r="U2890" s="101"/>
      <c r="V2890" s="103"/>
      <c r="W2890" s="101"/>
    </row>
    <row r="2891" spans="1:23" x14ac:dyDescent="0.25">
      <c r="A2891" s="98"/>
      <c r="H2891" s="101"/>
      <c r="I2891" s="101"/>
      <c r="J2891" s="101"/>
      <c r="K2891" s="101"/>
      <c r="L2891" s="101"/>
      <c r="M2891" s="101"/>
      <c r="N2891" s="101"/>
      <c r="O2891" s="101"/>
      <c r="P2891" s="101"/>
      <c r="Q2891" s="101"/>
      <c r="R2891" s="101"/>
      <c r="S2891" s="110"/>
      <c r="T2891" s="102"/>
      <c r="U2891" s="101"/>
      <c r="V2891" s="103"/>
      <c r="W2891" s="101"/>
    </row>
    <row r="2892" spans="1:23" x14ac:dyDescent="0.25">
      <c r="A2892" s="98"/>
      <c r="H2892" s="101"/>
      <c r="I2892" s="101"/>
      <c r="J2892" s="101"/>
      <c r="K2892" s="101"/>
      <c r="L2892" s="101"/>
      <c r="M2892" s="101"/>
      <c r="N2892" s="101"/>
      <c r="O2892" s="101"/>
      <c r="P2892" s="101"/>
      <c r="Q2892" s="101"/>
      <c r="R2892" s="101"/>
      <c r="S2892" s="110"/>
      <c r="T2892" s="102"/>
      <c r="U2892" s="101"/>
      <c r="V2892" s="103"/>
      <c r="W2892" s="101"/>
    </row>
    <row r="2893" spans="1:23" x14ac:dyDescent="0.25">
      <c r="A2893" s="98"/>
      <c r="H2893" s="101"/>
      <c r="I2893" s="101"/>
      <c r="J2893" s="101"/>
      <c r="K2893" s="101"/>
      <c r="L2893" s="101"/>
      <c r="M2893" s="101"/>
      <c r="N2893" s="101"/>
      <c r="O2893" s="101"/>
      <c r="P2893" s="101"/>
      <c r="Q2893" s="101"/>
      <c r="R2893" s="101"/>
      <c r="S2893" s="110"/>
      <c r="T2893" s="102"/>
      <c r="U2893" s="101"/>
      <c r="V2893" s="103"/>
      <c r="W2893" s="101"/>
    </row>
    <row r="2894" spans="1:23" x14ac:dyDescent="0.25">
      <c r="A2894" s="98"/>
      <c r="H2894" s="101"/>
      <c r="I2894" s="101"/>
      <c r="J2894" s="101"/>
      <c r="K2894" s="101"/>
      <c r="L2894" s="101"/>
      <c r="M2894" s="101"/>
      <c r="N2894" s="101"/>
      <c r="O2894" s="101"/>
      <c r="P2894" s="101"/>
      <c r="Q2894" s="101"/>
      <c r="R2894" s="101"/>
      <c r="S2894" s="110"/>
      <c r="T2894" s="102"/>
      <c r="U2894" s="101"/>
      <c r="V2894" s="103"/>
      <c r="W2894" s="101"/>
    </row>
    <row r="2895" spans="1:23" x14ac:dyDescent="0.25">
      <c r="A2895" s="98"/>
      <c r="H2895" s="101"/>
      <c r="I2895" s="101"/>
      <c r="J2895" s="101"/>
      <c r="K2895" s="101"/>
      <c r="L2895" s="101"/>
      <c r="M2895" s="101"/>
      <c r="N2895" s="101"/>
      <c r="O2895" s="101"/>
      <c r="P2895" s="101"/>
      <c r="Q2895" s="101"/>
      <c r="R2895" s="101"/>
      <c r="S2895" s="110"/>
      <c r="T2895" s="102"/>
      <c r="U2895" s="101"/>
      <c r="V2895" s="103"/>
      <c r="W2895" s="101"/>
    </row>
    <row r="2896" spans="1:23" x14ac:dyDescent="0.25">
      <c r="A2896" s="98"/>
      <c r="H2896" s="101"/>
      <c r="I2896" s="101"/>
      <c r="J2896" s="101"/>
      <c r="K2896" s="101"/>
      <c r="L2896" s="101"/>
      <c r="M2896" s="101"/>
      <c r="N2896" s="101"/>
      <c r="O2896" s="101"/>
      <c r="P2896" s="101"/>
      <c r="Q2896" s="101"/>
      <c r="R2896" s="101"/>
      <c r="S2896" s="110"/>
      <c r="T2896" s="102"/>
      <c r="U2896" s="101"/>
      <c r="V2896" s="103"/>
      <c r="W2896" s="101"/>
    </row>
    <row r="2897" spans="1:23" x14ac:dyDescent="0.25">
      <c r="A2897" s="98"/>
      <c r="H2897" s="101"/>
      <c r="I2897" s="101"/>
      <c r="J2897" s="101"/>
      <c r="K2897" s="101"/>
      <c r="L2897" s="101"/>
      <c r="M2897" s="101"/>
      <c r="N2897" s="101"/>
      <c r="O2897" s="101"/>
      <c r="P2897" s="101"/>
      <c r="Q2897" s="101"/>
      <c r="R2897" s="101"/>
      <c r="S2897" s="110"/>
      <c r="T2897" s="102"/>
      <c r="U2897" s="101"/>
      <c r="V2897" s="103"/>
      <c r="W2897" s="101"/>
    </row>
    <row r="2898" spans="1:23" x14ac:dyDescent="0.25">
      <c r="A2898" s="98"/>
      <c r="H2898" s="101"/>
      <c r="I2898" s="101"/>
      <c r="J2898" s="101"/>
      <c r="K2898" s="101"/>
      <c r="L2898" s="101"/>
      <c r="M2898" s="101"/>
      <c r="N2898" s="101"/>
      <c r="O2898" s="101"/>
      <c r="P2898" s="101"/>
      <c r="Q2898" s="101"/>
      <c r="R2898" s="101"/>
      <c r="S2898" s="110"/>
      <c r="T2898" s="102"/>
      <c r="U2898" s="101"/>
      <c r="V2898" s="103"/>
      <c r="W2898" s="101"/>
    </row>
    <row r="2899" spans="1:23" x14ac:dyDescent="0.25">
      <c r="A2899" s="98"/>
      <c r="H2899" s="101"/>
      <c r="I2899" s="101"/>
      <c r="J2899" s="101"/>
      <c r="K2899" s="101"/>
      <c r="L2899" s="101"/>
      <c r="M2899" s="101"/>
      <c r="N2899" s="101"/>
      <c r="O2899" s="101"/>
      <c r="P2899" s="101"/>
      <c r="Q2899" s="101"/>
      <c r="R2899" s="101"/>
      <c r="S2899" s="110"/>
      <c r="T2899" s="102"/>
      <c r="U2899" s="101"/>
      <c r="V2899" s="103"/>
      <c r="W2899" s="101"/>
    </row>
    <row r="2900" spans="1:23" x14ac:dyDescent="0.25">
      <c r="A2900" s="98"/>
      <c r="H2900" s="101"/>
      <c r="I2900" s="101"/>
      <c r="J2900" s="101"/>
      <c r="K2900" s="101"/>
      <c r="L2900" s="101"/>
      <c r="M2900" s="101"/>
      <c r="N2900" s="101"/>
      <c r="O2900" s="101"/>
      <c r="P2900" s="101"/>
      <c r="Q2900" s="101"/>
      <c r="R2900" s="101"/>
      <c r="S2900" s="110"/>
      <c r="T2900" s="102"/>
      <c r="U2900" s="101"/>
      <c r="V2900" s="103"/>
      <c r="W2900" s="101"/>
    </row>
    <row r="2901" spans="1:23" x14ac:dyDescent="0.25">
      <c r="A2901" s="98"/>
      <c r="H2901" s="101"/>
      <c r="I2901" s="101"/>
      <c r="J2901" s="101"/>
      <c r="K2901" s="101"/>
      <c r="L2901" s="101"/>
      <c r="M2901" s="101"/>
      <c r="N2901" s="101"/>
      <c r="O2901" s="101"/>
      <c r="P2901" s="101"/>
      <c r="Q2901" s="101"/>
      <c r="R2901" s="101"/>
      <c r="S2901" s="110"/>
      <c r="T2901" s="102"/>
      <c r="U2901" s="101"/>
      <c r="V2901" s="103"/>
      <c r="W2901" s="101"/>
    </row>
    <row r="2902" spans="1:23" x14ac:dyDescent="0.25">
      <c r="A2902" s="98"/>
      <c r="H2902" s="101"/>
      <c r="I2902" s="101"/>
      <c r="J2902" s="101"/>
      <c r="K2902" s="101"/>
      <c r="L2902" s="101"/>
      <c r="M2902" s="101"/>
      <c r="N2902" s="101"/>
      <c r="O2902" s="101"/>
      <c r="P2902" s="101"/>
      <c r="Q2902" s="101"/>
      <c r="R2902" s="101"/>
      <c r="S2902" s="110"/>
      <c r="T2902" s="102"/>
      <c r="U2902" s="101"/>
      <c r="V2902" s="103"/>
      <c r="W2902" s="101"/>
    </row>
    <row r="2903" spans="1:23" x14ac:dyDescent="0.25">
      <c r="A2903" s="98"/>
      <c r="H2903" s="101"/>
      <c r="I2903" s="101"/>
      <c r="J2903" s="101"/>
      <c r="K2903" s="101"/>
      <c r="L2903" s="101"/>
      <c r="M2903" s="101"/>
      <c r="N2903" s="101"/>
      <c r="O2903" s="101"/>
      <c r="P2903" s="101"/>
      <c r="Q2903" s="101"/>
      <c r="R2903" s="101"/>
      <c r="S2903" s="110"/>
      <c r="T2903" s="102"/>
      <c r="U2903" s="101"/>
      <c r="V2903" s="103"/>
      <c r="W2903" s="101"/>
    </row>
    <row r="2904" spans="1:23" x14ac:dyDescent="0.25">
      <c r="A2904" s="98"/>
      <c r="H2904" s="101"/>
      <c r="I2904" s="101"/>
      <c r="J2904" s="101"/>
      <c r="K2904" s="101"/>
      <c r="L2904" s="101"/>
      <c r="M2904" s="101"/>
      <c r="N2904" s="101"/>
      <c r="O2904" s="101"/>
      <c r="P2904" s="101"/>
      <c r="Q2904" s="101"/>
      <c r="R2904" s="101"/>
      <c r="S2904" s="110"/>
      <c r="T2904" s="102"/>
      <c r="U2904" s="101"/>
      <c r="V2904" s="103"/>
      <c r="W2904" s="101"/>
    </row>
    <row r="2905" spans="1:23" x14ac:dyDescent="0.25">
      <c r="A2905" s="98"/>
      <c r="H2905" s="101"/>
      <c r="I2905" s="101"/>
      <c r="J2905" s="101"/>
      <c r="K2905" s="101"/>
      <c r="L2905" s="101"/>
      <c r="M2905" s="101"/>
      <c r="N2905" s="101"/>
      <c r="O2905" s="101"/>
      <c r="P2905" s="101"/>
      <c r="Q2905" s="101"/>
      <c r="R2905" s="101"/>
      <c r="S2905" s="110"/>
      <c r="T2905" s="102"/>
      <c r="U2905" s="101"/>
      <c r="V2905" s="103"/>
      <c r="W2905" s="101"/>
    </row>
    <row r="2906" spans="1:23" x14ac:dyDescent="0.25">
      <c r="A2906" s="98"/>
      <c r="H2906" s="101"/>
      <c r="I2906" s="101"/>
      <c r="J2906" s="101"/>
      <c r="K2906" s="101"/>
      <c r="L2906" s="101"/>
      <c r="M2906" s="101"/>
      <c r="N2906" s="101"/>
      <c r="O2906" s="101"/>
      <c r="P2906" s="101"/>
      <c r="Q2906" s="101"/>
      <c r="R2906" s="101"/>
      <c r="S2906" s="110"/>
      <c r="T2906" s="102"/>
      <c r="U2906" s="101"/>
      <c r="V2906" s="103"/>
      <c r="W2906" s="101"/>
    </row>
    <row r="2907" spans="1:23" x14ac:dyDescent="0.25">
      <c r="A2907" s="98"/>
      <c r="H2907" s="101"/>
      <c r="I2907" s="101"/>
      <c r="J2907" s="101"/>
      <c r="K2907" s="101"/>
      <c r="L2907" s="101"/>
      <c r="M2907" s="101"/>
      <c r="N2907" s="101"/>
      <c r="O2907" s="101"/>
      <c r="P2907" s="101"/>
      <c r="Q2907" s="101"/>
      <c r="R2907" s="101"/>
      <c r="S2907" s="110"/>
      <c r="T2907" s="102"/>
      <c r="U2907" s="101"/>
      <c r="V2907" s="103"/>
      <c r="W2907" s="101"/>
    </row>
    <row r="2908" spans="1:23" x14ac:dyDescent="0.25">
      <c r="A2908" s="98"/>
      <c r="H2908" s="101"/>
      <c r="I2908" s="101"/>
      <c r="J2908" s="101"/>
      <c r="K2908" s="101"/>
      <c r="L2908" s="101"/>
      <c r="M2908" s="101"/>
      <c r="N2908" s="101"/>
      <c r="O2908" s="101"/>
      <c r="P2908" s="101"/>
      <c r="Q2908" s="101"/>
      <c r="R2908" s="101"/>
      <c r="S2908" s="110"/>
      <c r="T2908" s="102"/>
      <c r="U2908" s="101"/>
      <c r="V2908" s="103"/>
      <c r="W2908" s="101"/>
    </row>
    <row r="2909" spans="1:23" x14ac:dyDescent="0.25">
      <c r="A2909" s="98"/>
      <c r="H2909" s="101"/>
      <c r="I2909" s="101"/>
      <c r="J2909" s="101"/>
      <c r="K2909" s="101"/>
      <c r="L2909" s="101"/>
      <c r="M2909" s="101"/>
      <c r="N2909" s="101"/>
      <c r="O2909" s="101"/>
      <c r="P2909" s="101"/>
      <c r="Q2909" s="101"/>
      <c r="R2909" s="101"/>
      <c r="S2909" s="110"/>
      <c r="T2909" s="102"/>
      <c r="U2909" s="101"/>
      <c r="V2909" s="103"/>
      <c r="W2909" s="101"/>
    </row>
    <row r="2910" spans="1:23" x14ac:dyDescent="0.25">
      <c r="A2910" s="98"/>
      <c r="H2910" s="101"/>
      <c r="I2910" s="101"/>
      <c r="J2910" s="101"/>
      <c r="K2910" s="101"/>
      <c r="L2910" s="101"/>
      <c r="M2910" s="101"/>
      <c r="N2910" s="101"/>
      <c r="O2910" s="101"/>
      <c r="P2910" s="101"/>
      <c r="Q2910" s="101"/>
      <c r="R2910" s="101"/>
      <c r="S2910" s="110"/>
      <c r="T2910" s="102"/>
      <c r="U2910" s="101"/>
      <c r="V2910" s="103"/>
      <c r="W2910" s="101"/>
    </row>
    <row r="2911" spans="1:23" x14ac:dyDescent="0.25">
      <c r="A2911" s="98"/>
      <c r="H2911" s="101"/>
      <c r="I2911" s="101"/>
      <c r="J2911" s="101"/>
      <c r="K2911" s="101"/>
      <c r="L2911" s="101"/>
      <c r="M2911" s="101"/>
      <c r="N2911" s="101"/>
      <c r="O2911" s="101"/>
      <c r="P2911" s="101"/>
      <c r="Q2911" s="101"/>
      <c r="R2911" s="101"/>
      <c r="S2911" s="110"/>
      <c r="T2911" s="102"/>
      <c r="U2911" s="101"/>
      <c r="V2911" s="103"/>
      <c r="W2911" s="101"/>
    </row>
    <row r="2912" spans="1:23" x14ac:dyDescent="0.25">
      <c r="A2912" s="98"/>
      <c r="H2912" s="101"/>
      <c r="I2912" s="101"/>
      <c r="J2912" s="101"/>
      <c r="K2912" s="101"/>
      <c r="L2912" s="101"/>
      <c r="M2912" s="101"/>
      <c r="N2912" s="101"/>
      <c r="O2912" s="101"/>
      <c r="P2912" s="101"/>
      <c r="Q2912" s="101"/>
      <c r="R2912" s="101"/>
      <c r="S2912" s="110"/>
      <c r="T2912" s="102"/>
      <c r="U2912" s="101"/>
      <c r="V2912" s="103"/>
      <c r="W2912" s="101"/>
    </row>
    <row r="2913" spans="1:23" x14ac:dyDescent="0.25">
      <c r="A2913" s="98"/>
      <c r="H2913" s="101"/>
      <c r="I2913" s="101"/>
      <c r="J2913" s="101"/>
      <c r="K2913" s="101"/>
      <c r="L2913" s="101"/>
      <c r="M2913" s="101"/>
      <c r="N2913" s="101"/>
      <c r="O2913" s="101"/>
      <c r="P2913" s="101"/>
      <c r="Q2913" s="101"/>
      <c r="R2913" s="101"/>
      <c r="S2913" s="110"/>
      <c r="T2913" s="102"/>
      <c r="U2913" s="101"/>
      <c r="V2913" s="103"/>
      <c r="W2913" s="101"/>
    </row>
    <row r="2914" spans="1:23" x14ac:dyDescent="0.25">
      <c r="A2914" s="98"/>
      <c r="H2914" s="101"/>
      <c r="I2914" s="101"/>
      <c r="J2914" s="101"/>
      <c r="K2914" s="101"/>
      <c r="L2914" s="101"/>
      <c r="M2914" s="101"/>
      <c r="N2914" s="101"/>
      <c r="O2914" s="101"/>
      <c r="P2914" s="101"/>
      <c r="Q2914" s="101"/>
      <c r="R2914" s="101"/>
      <c r="S2914" s="110"/>
      <c r="T2914" s="102"/>
      <c r="U2914" s="101"/>
      <c r="V2914" s="103"/>
      <c r="W2914" s="101"/>
    </row>
    <row r="2915" spans="1:23" x14ac:dyDescent="0.25">
      <c r="A2915" s="98"/>
      <c r="H2915" s="101"/>
      <c r="I2915" s="101"/>
      <c r="J2915" s="101"/>
      <c r="K2915" s="101"/>
      <c r="L2915" s="101"/>
      <c r="M2915" s="101"/>
      <c r="N2915" s="101"/>
      <c r="O2915" s="101"/>
      <c r="P2915" s="101"/>
      <c r="Q2915" s="101"/>
      <c r="R2915" s="101"/>
      <c r="S2915" s="110"/>
      <c r="T2915" s="102"/>
      <c r="U2915" s="101"/>
      <c r="V2915" s="103"/>
      <c r="W2915" s="101"/>
    </row>
    <row r="2916" spans="1:23" x14ac:dyDescent="0.25">
      <c r="A2916" s="98"/>
      <c r="H2916" s="101"/>
      <c r="I2916" s="101"/>
      <c r="J2916" s="101"/>
      <c r="K2916" s="101"/>
      <c r="L2916" s="101"/>
      <c r="M2916" s="101"/>
      <c r="N2916" s="101"/>
      <c r="O2916" s="101"/>
      <c r="P2916" s="101"/>
      <c r="Q2916" s="101"/>
      <c r="R2916" s="101"/>
      <c r="S2916" s="110"/>
      <c r="T2916" s="102"/>
      <c r="U2916" s="101"/>
      <c r="V2916" s="103"/>
      <c r="W2916" s="101"/>
    </row>
    <row r="2917" spans="1:23" x14ac:dyDescent="0.25">
      <c r="A2917" s="98"/>
      <c r="H2917" s="101"/>
      <c r="I2917" s="101"/>
      <c r="J2917" s="101"/>
      <c r="K2917" s="101"/>
      <c r="L2917" s="101"/>
      <c r="M2917" s="101"/>
      <c r="N2917" s="101"/>
      <c r="O2917" s="101"/>
      <c r="P2917" s="101"/>
      <c r="Q2917" s="101"/>
      <c r="R2917" s="101"/>
      <c r="S2917" s="110"/>
      <c r="T2917" s="102"/>
      <c r="U2917" s="101"/>
      <c r="V2917" s="103"/>
      <c r="W2917" s="101"/>
    </row>
    <row r="2918" spans="1:23" x14ac:dyDescent="0.25">
      <c r="A2918" s="98"/>
      <c r="H2918" s="101"/>
      <c r="I2918" s="101"/>
      <c r="J2918" s="101"/>
      <c r="K2918" s="101"/>
      <c r="L2918" s="101"/>
      <c r="M2918" s="101"/>
      <c r="N2918" s="101"/>
      <c r="O2918" s="101"/>
      <c r="P2918" s="101"/>
      <c r="Q2918" s="101"/>
      <c r="R2918" s="101"/>
      <c r="S2918" s="110"/>
      <c r="T2918" s="102"/>
      <c r="U2918" s="101"/>
      <c r="V2918" s="103"/>
      <c r="W2918" s="101"/>
    </row>
    <row r="2919" spans="1:23" x14ac:dyDescent="0.25">
      <c r="A2919" s="98"/>
      <c r="H2919" s="101"/>
      <c r="I2919" s="101"/>
      <c r="J2919" s="101"/>
      <c r="K2919" s="101"/>
      <c r="L2919" s="101"/>
      <c r="M2919" s="101"/>
      <c r="N2919" s="101"/>
      <c r="O2919" s="101"/>
      <c r="P2919" s="101"/>
      <c r="Q2919" s="101"/>
      <c r="R2919" s="101"/>
      <c r="S2919" s="110"/>
      <c r="T2919" s="102"/>
      <c r="U2919" s="101"/>
      <c r="V2919" s="103"/>
      <c r="W2919" s="101"/>
    </row>
    <row r="2920" spans="1:23" x14ac:dyDescent="0.25">
      <c r="A2920" s="98"/>
      <c r="H2920" s="101"/>
      <c r="I2920" s="101"/>
      <c r="J2920" s="101"/>
      <c r="K2920" s="101"/>
      <c r="L2920" s="101"/>
      <c r="M2920" s="101"/>
      <c r="N2920" s="101"/>
      <c r="O2920" s="101"/>
      <c r="P2920" s="101"/>
      <c r="Q2920" s="101"/>
      <c r="R2920" s="101"/>
      <c r="S2920" s="110"/>
      <c r="T2920" s="102"/>
      <c r="U2920" s="101"/>
      <c r="V2920" s="103"/>
      <c r="W2920" s="101"/>
    </row>
    <row r="2921" spans="1:23" x14ac:dyDescent="0.25">
      <c r="A2921" s="98"/>
      <c r="H2921" s="101"/>
      <c r="I2921" s="101"/>
      <c r="J2921" s="101"/>
      <c r="K2921" s="101"/>
      <c r="L2921" s="101"/>
      <c r="M2921" s="101"/>
      <c r="N2921" s="101"/>
      <c r="O2921" s="101"/>
      <c r="P2921" s="101"/>
      <c r="Q2921" s="101"/>
      <c r="R2921" s="101"/>
      <c r="S2921" s="110"/>
      <c r="T2921" s="102"/>
      <c r="U2921" s="101"/>
      <c r="V2921" s="103"/>
      <c r="W2921" s="101"/>
    </row>
    <row r="2922" spans="1:23" x14ac:dyDescent="0.25">
      <c r="A2922" s="98"/>
      <c r="H2922" s="101"/>
      <c r="I2922" s="101"/>
      <c r="J2922" s="101"/>
      <c r="K2922" s="101"/>
      <c r="L2922" s="101"/>
      <c r="M2922" s="101"/>
      <c r="N2922" s="101"/>
      <c r="O2922" s="101"/>
      <c r="P2922" s="101"/>
      <c r="Q2922" s="101"/>
      <c r="R2922" s="101"/>
      <c r="S2922" s="110"/>
      <c r="T2922" s="102"/>
      <c r="U2922" s="101"/>
      <c r="V2922" s="103"/>
      <c r="W2922" s="101"/>
    </row>
    <row r="2923" spans="1:23" x14ac:dyDescent="0.25">
      <c r="A2923" s="98"/>
      <c r="H2923" s="101"/>
      <c r="I2923" s="101"/>
      <c r="J2923" s="101"/>
      <c r="K2923" s="101"/>
      <c r="L2923" s="101"/>
      <c r="M2923" s="101"/>
      <c r="N2923" s="101"/>
      <c r="O2923" s="101"/>
      <c r="P2923" s="101"/>
      <c r="Q2923" s="101"/>
      <c r="R2923" s="101"/>
      <c r="S2923" s="110"/>
      <c r="T2923" s="102"/>
      <c r="U2923" s="101"/>
      <c r="V2923" s="103"/>
      <c r="W2923" s="101"/>
    </row>
    <row r="2924" spans="1:23" x14ac:dyDescent="0.25">
      <c r="A2924" s="98"/>
      <c r="H2924" s="101"/>
      <c r="I2924" s="101"/>
      <c r="J2924" s="101"/>
      <c r="K2924" s="101"/>
      <c r="L2924" s="101"/>
      <c r="M2924" s="101"/>
      <c r="N2924" s="101"/>
      <c r="O2924" s="101"/>
      <c r="P2924" s="101"/>
      <c r="Q2924" s="101"/>
      <c r="R2924" s="101"/>
      <c r="S2924" s="110"/>
      <c r="T2924" s="102"/>
      <c r="U2924" s="101"/>
      <c r="V2924" s="103"/>
      <c r="W2924" s="101"/>
    </row>
    <row r="2925" spans="1:23" x14ac:dyDescent="0.25">
      <c r="A2925" s="98"/>
      <c r="H2925" s="101"/>
      <c r="I2925" s="101"/>
      <c r="J2925" s="101"/>
      <c r="K2925" s="101"/>
      <c r="L2925" s="101"/>
      <c r="M2925" s="101"/>
      <c r="N2925" s="101"/>
      <c r="O2925" s="101"/>
      <c r="P2925" s="101"/>
      <c r="Q2925" s="101"/>
      <c r="R2925" s="101"/>
      <c r="S2925" s="110"/>
      <c r="T2925" s="102"/>
      <c r="U2925" s="101"/>
      <c r="V2925" s="103"/>
      <c r="W2925" s="101"/>
    </row>
    <row r="2926" spans="1:23" x14ac:dyDescent="0.25">
      <c r="A2926" s="98"/>
      <c r="H2926" s="101"/>
      <c r="I2926" s="101"/>
      <c r="J2926" s="101"/>
      <c r="K2926" s="101"/>
      <c r="L2926" s="101"/>
      <c r="M2926" s="101"/>
      <c r="N2926" s="101"/>
      <c r="O2926" s="101"/>
      <c r="P2926" s="101"/>
      <c r="Q2926" s="101"/>
      <c r="R2926" s="101"/>
      <c r="S2926" s="110"/>
      <c r="T2926" s="102"/>
      <c r="U2926" s="101"/>
      <c r="V2926" s="103"/>
      <c r="W2926" s="101"/>
    </row>
    <row r="2927" spans="1:23" x14ac:dyDescent="0.25">
      <c r="A2927" s="98"/>
      <c r="H2927" s="101"/>
      <c r="I2927" s="101"/>
      <c r="J2927" s="101"/>
      <c r="K2927" s="101"/>
      <c r="L2927" s="101"/>
      <c r="M2927" s="101"/>
      <c r="N2927" s="101"/>
      <c r="O2927" s="101"/>
      <c r="P2927" s="101"/>
      <c r="Q2927" s="101"/>
      <c r="R2927" s="101"/>
      <c r="S2927" s="110"/>
      <c r="T2927" s="102"/>
      <c r="U2927" s="101"/>
      <c r="V2927" s="103"/>
      <c r="W2927" s="101"/>
    </row>
    <row r="2928" spans="1:23" x14ac:dyDescent="0.25">
      <c r="A2928" s="98"/>
      <c r="H2928" s="101"/>
      <c r="I2928" s="101"/>
      <c r="J2928" s="101"/>
      <c r="K2928" s="101"/>
      <c r="L2928" s="101"/>
      <c r="M2928" s="101"/>
      <c r="N2928" s="101"/>
      <c r="O2928" s="101"/>
      <c r="P2928" s="101"/>
      <c r="Q2928" s="101"/>
      <c r="R2928" s="101"/>
      <c r="S2928" s="110"/>
      <c r="T2928" s="102"/>
      <c r="U2928" s="101"/>
      <c r="V2928" s="103"/>
      <c r="W2928" s="101"/>
    </row>
    <row r="2929" spans="1:23" x14ac:dyDescent="0.25">
      <c r="A2929" s="98"/>
      <c r="H2929" s="101"/>
      <c r="I2929" s="101"/>
      <c r="J2929" s="101"/>
      <c r="K2929" s="101"/>
      <c r="L2929" s="101"/>
      <c r="M2929" s="101"/>
      <c r="N2929" s="101"/>
      <c r="O2929" s="101"/>
      <c r="P2929" s="101"/>
      <c r="Q2929" s="101"/>
      <c r="R2929" s="101"/>
      <c r="S2929" s="110"/>
      <c r="T2929" s="102"/>
      <c r="U2929" s="101"/>
      <c r="V2929" s="103"/>
      <c r="W2929" s="101"/>
    </row>
    <row r="2930" spans="1:23" x14ac:dyDescent="0.25">
      <c r="A2930" s="98"/>
      <c r="H2930" s="101"/>
      <c r="I2930" s="101"/>
      <c r="J2930" s="101"/>
      <c r="K2930" s="101"/>
      <c r="L2930" s="101"/>
      <c r="M2930" s="101"/>
      <c r="N2930" s="101"/>
      <c r="O2930" s="101"/>
      <c r="P2930" s="101"/>
      <c r="Q2930" s="101"/>
      <c r="R2930" s="101"/>
      <c r="S2930" s="110"/>
      <c r="T2930" s="102"/>
      <c r="U2930" s="101"/>
      <c r="V2930" s="103"/>
      <c r="W2930" s="101"/>
    </row>
    <row r="2931" spans="1:23" x14ac:dyDescent="0.25">
      <c r="A2931" s="98"/>
      <c r="H2931" s="101"/>
      <c r="I2931" s="101"/>
      <c r="J2931" s="101"/>
      <c r="K2931" s="101"/>
      <c r="L2931" s="101"/>
      <c r="M2931" s="101"/>
      <c r="N2931" s="101"/>
      <c r="O2931" s="101"/>
      <c r="P2931" s="101"/>
      <c r="Q2931" s="101"/>
      <c r="R2931" s="101"/>
      <c r="S2931" s="110"/>
      <c r="T2931" s="102"/>
      <c r="U2931" s="101"/>
      <c r="V2931" s="103"/>
      <c r="W2931" s="101"/>
    </row>
    <row r="2932" spans="1:23" x14ac:dyDescent="0.25">
      <c r="A2932" s="98"/>
      <c r="H2932" s="101"/>
      <c r="I2932" s="101"/>
      <c r="J2932" s="101"/>
      <c r="K2932" s="101"/>
      <c r="L2932" s="101"/>
      <c r="M2932" s="101"/>
      <c r="N2932" s="101"/>
      <c r="O2932" s="101"/>
      <c r="P2932" s="101"/>
      <c r="Q2932" s="101"/>
      <c r="R2932" s="101"/>
      <c r="S2932" s="110"/>
      <c r="T2932" s="102"/>
      <c r="U2932" s="101"/>
      <c r="V2932" s="103"/>
      <c r="W2932" s="101"/>
    </row>
    <row r="2933" spans="1:23" x14ac:dyDescent="0.25">
      <c r="A2933" s="98"/>
      <c r="H2933" s="101"/>
      <c r="I2933" s="101"/>
      <c r="J2933" s="101"/>
      <c r="K2933" s="101"/>
      <c r="L2933" s="101"/>
      <c r="M2933" s="101"/>
      <c r="N2933" s="101"/>
      <c r="O2933" s="101"/>
      <c r="P2933" s="101"/>
      <c r="Q2933" s="101"/>
      <c r="R2933" s="101"/>
      <c r="S2933" s="110"/>
      <c r="T2933" s="102"/>
      <c r="U2933" s="101"/>
      <c r="V2933" s="103"/>
      <c r="W2933" s="101"/>
    </row>
    <row r="2934" spans="1:23" x14ac:dyDescent="0.25">
      <c r="A2934" s="98"/>
      <c r="H2934" s="101"/>
      <c r="I2934" s="101"/>
      <c r="J2934" s="101"/>
      <c r="K2934" s="101"/>
      <c r="L2934" s="101"/>
      <c r="M2934" s="101"/>
      <c r="N2934" s="101"/>
      <c r="O2934" s="101"/>
      <c r="P2934" s="101"/>
      <c r="Q2934" s="101"/>
      <c r="R2934" s="101"/>
      <c r="S2934" s="110"/>
      <c r="T2934" s="102"/>
      <c r="U2934" s="101"/>
      <c r="V2934" s="103"/>
      <c r="W2934" s="101"/>
    </row>
    <row r="2935" spans="1:23" x14ac:dyDescent="0.25">
      <c r="A2935" s="98"/>
      <c r="H2935" s="101"/>
      <c r="I2935" s="101"/>
      <c r="J2935" s="101"/>
      <c r="K2935" s="101"/>
      <c r="L2935" s="101"/>
      <c r="M2935" s="101"/>
      <c r="N2935" s="101"/>
      <c r="O2935" s="101"/>
      <c r="P2935" s="101"/>
      <c r="Q2935" s="101"/>
      <c r="R2935" s="101"/>
      <c r="S2935" s="110"/>
      <c r="T2935" s="102"/>
      <c r="U2935" s="101"/>
      <c r="V2935" s="103"/>
      <c r="W2935" s="101"/>
    </row>
    <row r="2936" spans="1:23" x14ac:dyDescent="0.25">
      <c r="A2936" s="98"/>
      <c r="H2936" s="101"/>
      <c r="I2936" s="101"/>
      <c r="J2936" s="101"/>
      <c r="K2936" s="101"/>
      <c r="L2936" s="101"/>
      <c r="M2936" s="101"/>
      <c r="N2936" s="101"/>
      <c r="O2936" s="101"/>
      <c r="P2936" s="101"/>
      <c r="Q2936" s="101"/>
      <c r="R2936" s="101"/>
      <c r="S2936" s="110"/>
      <c r="T2936" s="102"/>
      <c r="U2936" s="101"/>
      <c r="V2936" s="103"/>
      <c r="W2936" s="101"/>
    </row>
    <row r="2937" spans="1:23" x14ac:dyDescent="0.25">
      <c r="A2937" s="98"/>
      <c r="H2937" s="101"/>
      <c r="I2937" s="101"/>
      <c r="J2937" s="101"/>
      <c r="K2937" s="101"/>
      <c r="L2937" s="101"/>
      <c r="M2937" s="101"/>
      <c r="N2937" s="101"/>
      <c r="O2937" s="101"/>
      <c r="P2937" s="101"/>
      <c r="Q2937" s="101"/>
      <c r="R2937" s="101"/>
      <c r="S2937" s="110"/>
      <c r="T2937" s="102"/>
      <c r="U2937" s="101"/>
      <c r="V2937" s="103"/>
      <c r="W2937" s="101"/>
    </row>
    <row r="2938" spans="1:23" x14ac:dyDescent="0.25">
      <c r="A2938" s="98"/>
      <c r="H2938" s="101"/>
      <c r="I2938" s="101"/>
      <c r="J2938" s="101"/>
      <c r="K2938" s="101"/>
      <c r="L2938" s="101"/>
      <c r="M2938" s="101"/>
      <c r="N2938" s="101"/>
      <c r="O2938" s="101"/>
      <c r="P2938" s="101"/>
      <c r="Q2938" s="101"/>
      <c r="R2938" s="101"/>
      <c r="S2938" s="110"/>
      <c r="T2938" s="102"/>
      <c r="U2938" s="101"/>
      <c r="V2938" s="103"/>
      <c r="W2938" s="101"/>
    </row>
    <row r="2939" spans="1:23" x14ac:dyDescent="0.25">
      <c r="A2939" s="98"/>
      <c r="H2939" s="101"/>
      <c r="I2939" s="101"/>
      <c r="J2939" s="101"/>
      <c r="K2939" s="101"/>
      <c r="L2939" s="101"/>
      <c r="M2939" s="101"/>
      <c r="N2939" s="101"/>
      <c r="O2939" s="101"/>
      <c r="P2939" s="101"/>
      <c r="Q2939" s="101"/>
      <c r="R2939" s="101"/>
      <c r="S2939" s="110"/>
      <c r="T2939" s="102"/>
      <c r="U2939" s="101"/>
      <c r="V2939" s="103"/>
      <c r="W2939" s="101"/>
    </row>
    <row r="2940" spans="1:23" x14ac:dyDescent="0.25">
      <c r="A2940" s="98"/>
      <c r="H2940" s="101"/>
      <c r="I2940" s="101"/>
      <c r="J2940" s="101"/>
      <c r="K2940" s="101"/>
      <c r="L2940" s="101"/>
      <c r="M2940" s="101"/>
      <c r="N2940" s="101"/>
      <c r="O2940" s="101"/>
      <c r="P2940" s="101"/>
      <c r="Q2940" s="101"/>
      <c r="R2940" s="101"/>
      <c r="S2940" s="110"/>
      <c r="T2940" s="102"/>
      <c r="U2940" s="101"/>
      <c r="V2940" s="103"/>
      <c r="W2940" s="101"/>
    </row>
    <row r="2941" spans="1:23" x14ac:dyDescent="0.25">
      <c r="A2941" s="98"/>
      <c r="H2941" s="101"/>
      <c r="I2941" s="101"/>
      <c r="J2941" s="101"/>
      <c r="K2941" s="101"/>
      <c r="L2941" s="101"/>
      <c r="M2941" s="101"/>
      <c r="N2941" s="101"/>
      <c r="O2941" s="101"/>
      <c r="P2941" s="101"/>
      <c r="Q2941" s="101"/>
      <c r="R2941" s="101"/>
      <c r="S2941" s="110"/>
      <c r="T2941" s="102"/>
      <c r="U2941" s="101"/>
      <c r="V2941" s="103"/>
      <c r="W2941" s="101"/>
    </row>
    <row r="2942" spans="1:23" x14ac:dyDescent="0.25">
      <c r="A2942" s="98"/>
      <c r="H2942" s="101"/>
      <c r="I2942" s="101"/>
      <c r="J2942" s="101"/>
      <c r="K2942" s="101"/>
      <c r="L2942" s="101"/>
      <c r="M2942" s="101"/>
      <c r="N2942" s="101"/>
      <c r="O2942" s="101"/>
      <c r="P2942" s="101"/>
      <c r="Q2942" s="101"/>
      <c r="R2942" s="101"/>
      <c r="S2942" s="110"/>
      <c r="T2942" s="102"/>
      <c r="U2942" s="101"/>
      <c r="V2942" s="103"/>
      <c r="W2942" s="101"/>
    </row>
    <row r="2943" spans="1:23" x14ac:dyDescent="0.25">
      <c r="A2943" s="98"/>
      <c r="H2943" s="101"/>
      <c r="I2943" s="101"/>
      <c r="J2943" s="101"/>
      <c r="K2943" s="101"/>
      <c r="L2943" s="101"/>
      <c r="M2943" s="101"/>
      <c r="N2943" s="101"/>
      <c r="O2943" s="101"/>
      <c r="P2943" s="101"/>
      <c r="Q2943" s="101"/>
      <c r="R2943" s="101"/>
      <c r="S2943" s="110"/>
      <c r="T2943" s="102"/>
      <c r="U2943" s="101"/>
      <c r="V2943" s="103"/>
      <c r="W2943" s="101"/>
    </row>
    <row r="2944" spans="1:23" x14ac:dyDescent="0.25">
      <c r="A2944" s="98"/>
      <c r="H2944" s="101"/>
      <c r="I2944" s="101"/>
      <c r="J2944" s="101"/>
      <c r="K2944" s="101"/>
      <c r="L2944" s="101"/>
      <c r="M2944" s="101"/>
      <c r="N2944" s="101"/>
      <c r="O2944" s="101"/>
      <c r="P2944" s="101"/>
      <c r="Q2944" s="101"/>
      <c r="R2944" s="101"/>
      <c r="S2944" s="110"/>
      <c r="T2944" s="102"/>
      <c r="U2944" s="101"/>
      <c r="V2944" s="103"/>
      <c r="W2944" s="101"/>
    </row>
    <row r="2945" spans="1:23" x14ac:dyDescent="0.25">
      <c r="A2945" s="98"/>
      <c r="H2945" s="101"/>
      <c r="I2945" s="101"/>
      <c r="J2945" s="101"/>
      <c r="K2945" s="101"/>
      <c r="L2945" s="101"/>
      <c r="M2945" s="101"/>
      <c r="N2945" s="101"/>
      <c r="O2945" s="101"/>
      <c r="P2945" s="101"/>
      <c r="Q2945" s="101"/>
      <c r="R2945" s="101"/>
      <c r="S2945" s="110"/>
      <c r="T2945" s="102"/>
      <c r="U2945" s="101"/>
      <c r="V2945" s="103"/>
      <c r="W2945" s="101"/>
    </row>
    <row r="2946" spans="1:23" x14ac:dyDescent="0.25">
      <c r="A2946" s="98"/>
      <c r="H2946" s="101"/>
      <c r="I2946" s="101"/>
      <c r="J2946" s="101"/>
      <c r="K2946" s="101"/>
      <c r="L2946" s="101"/>
      <c r="M2946" s="101"/>
      <c r="N2946" s="101"/>
      <c r="O2946" s="101"/>
      <c r="P2946" s="101"/>
      <c r="Q2946" s="101"/>
      <c r="R2946" s="101"/>
      <c r="S2946" s="110"/>
      <c r="T2946" s="102"/>
      <c r="U2946" s="101"/>
      <c r="V2946" s="103"/>
      <c r="W2946" s="101"/>
    </row>
    <row r="2947" spans="1:23" x14ac:dyDescent="0.25">
      <c r="A2947" s="98"/>
      <c r="H2947" s="101"/>
      <c r="I2947" s="101"/>
      <c r="J2947" s="101"/>
      <c r="K2947" s="101"/>
      <c r="L2947" s="101"/>
      <c r="M2947" s="101"/>
      <c r="N2947" s="101"/>
      <c r="O2947" s="101"/>
      <c r="P2947" s="101"/>
      <c r="Q2947" s="101"/>
      <c r="R2947" s="101"/>
      <c r="S2947" s="110"/>
      <c r="T2947" s="102"/>
      <c r="U2947" s="101"/>
      <c r="V2947" s="103"/>
      <c r="W2947" s="101"/>
    </row>
    <row r="2948" spans="1:23" x14ac:dyDescent="0.25">
      <c r="A2948" s="98"/>
      <c r="H2948" s="101"/>
      <c r="I2948" s="101"/>
      <c r="J2948" s="101"/>
      <c r="K2948" s="101"/>
      <c r="L2948" s="101"/>
      <c r="M2948" s="101"/>
      <c r="N2948" s="101"/>
      <c r="O2948" s="101"/>
      <c r="P2948" s="101"/>
      <c r="Q2948" s="101"/>
      <c r="R2948" s="101"/>
      <c r="S2948" s="110"/>
      <c r="T2948" s="102"/>
      <c r="U2948" s="101"/>
      <c r="V2948" s="103"/>
      <c r="W2948" s="101"/>
    </row>
    <row r="2949" spans="1:23" x14ac:dyDescent="0.25">
      <c r="A2949" s="98"/>
      <c r="H2949" s="101"/>
      <c r="I2949" s="101"/>
      <c r="J2949" s="101"/>
      <c r="K2949" s="101"/>
      <c r="L2949" s="101"/>
      <c r="M2949" s="101"/>
      <c r="N2949" s="101"/>
      <c r="O2949" s="101"/>
      <c r="P2949" s="101"/>
      <c r="Q2949" s="101"/>
      <c r="R2949" s="101"/>
      <c r="S2949" s="110"/>
      <c r="T2949" s="102"/>
      <c r="U2949" s="101"/>
      <c r="V2949" s="103"/>
      <c r="W2949" s="101"/>
    </row>
    <row r="2950" spans="1:23" x14ac:dyDescent="0.25">
      <c r="A2950" s="98"/>
      <c r="H2950" s="101"/>
      <c r="I2950" s="101"/>
      <c r="J2950" s="101"/>
      <c r="K2950" s="101"/>
      <c r="L2950" s="101"/>
      <c r="M2950" s="101"/>
      <c r="N2950" s="101"/>
      <c r="O2950" s="101"/>
      <c r="P2950" s="101"/>
      <c r="Q2950" s="101"/>
      <c r="R2950" s="101"/>
      <c r="S2950" s="110"/>
      <c r="T2950" s="102"/>
      <c r="U2950" s="101"/>
      <c r="V2950" s="103"/>
      <c r="W2950" s="101"/>
    </row>
    <row r="2951" spans="1:23" x14ac:dyDescent="0.25">
      <c r="A2951" s="98"/>
      <c r="H2951" s="101"/>
      <c r="I2951" s="101"/>
      <c r="J2951" s="101"/>
      <c r="K2951" s="101"/>
      <c r="L2951" s="101"/>
      <c r="M2951" s="101"/>
      <c r="N2951" s="101"/>
      <c r="O2951" s="101"/>
      <c r="P2951" s="101"/>
      <c r="Q2951" s="101"/>
      <c r="R2951" s="101"/>
      <c r="S2951" s="110"/>
      <c r="T2951" s="102"/>
      <c r="U2951" s="101"/>
      <c r="V2951" s="103"/>
      <c r="W2951" s="101"/>
    </row>
    <row r="2952" spans="1:23" x14ac:dyDescent="0.25">
      <c r="A2952" s="98"/>
      <c r="H2952" s="101"/>
      <c r="I2952" s="101"/>
      <c r="J2952" s="101"/>
      <c r="K2952" s="101"/>
      <c r="L2952" s="101"/>
      <c r="M2952" s="101"/>
      <c r="N2952" s="101"/>
      <c r="O2952" s="101"/>
      <c r="P2952" s="101"/>
      <c r="Q2952" s="101"/>
      <c r="R2952" s="101"/>
      <c r="S2952" s="110"/>
      <c r="T2952" s="102"/>
      <c r="U2952" s="101"/>
      <c r="V2952" s="103"/>
      <c r="W2952" s="101"/>
    </row>
    <row r="2953" spans="1:23" x14ac:dyDescent="0.25">
      <c r="A2953" s="98"/>
      <c r="H2953" s="101"/>
      <c r="I2953" s="101"/>
      <c r="J2953" s="101"/>
      <c r="K2953" s="101"/>
      <c r="L2953" s="101"/>
      <c r="M2953" s="101"/>
      <c r="N2953" s="101"/>
      <c r="O2953" s="101"/>
      <c r="P2953" s="101"/>
      <c r="Q2953" s="101"/>
      <c r="R2953" s="101"/>
      <c r="S2953" s="110"/>
      <c r="T2953" s="102"/>
      <c r="U2953" s="101"/>
      <c r="V2953" s="103"/>
      <c r="W2953" s="101"/>
    </row>
    <row r="2954" spans="1:23" x14ac:dyDescent="0.25">
      <c r="A2954" s="98"/>
      <c r="H2954" s="101"/>
      <c r="I2954" s="101"/>
      <c r="J2954" s="101"/>
      <c r="K2954" s="101"/>
      <c r="L2954" s="101"/>
      <c r="M2954" s="101"/>
      <c r="N2954" s="101"/>
      <c r="O2954" s="101"/>
      <c r="P2954" s="101"/>
      <c r="Q2954" s="101"/>
      <c r="R2954" s="101"/>
      <c r="S2954" s="110"/>
      <c r="T2954" s="102"/>
      <c r="U2954" s="101"/>
      <c r="V2954" s="103"/>
      <c r="W2954" s="101"/>
    </row>
    <row r="2955" spans="1:23" x14ac:dyDescent="0.25">
      <c r="A2955" s="98"/>
      <c r="H2955" s="101"/>
      <c r="I2955" s="101"/>
      <c r="J2955" s="101"/>
      <c r="K2955" s="101"/>
      <c r="L2955" s="101"/>
      <c r="M2955" s="101"/>
      <c r="N2955" s="101"/>
      <c r="O2955" s="101"/>
      <c r="P2955" s="101"/>
      <c r="Q2955" s="101"/>
      <c r="R2955" s="101"/>
      <c r="S2955" s="110"/>
      <c r="T2955" s="102"/>
      <c r="U2955" s="101"/>
      <c r="V2955" s="103"/>
      <c r="W2955" s="101"/>
    </row>
    <row r="2956" spans="1:23" x14ac:dyDescent="0.25">
      <c r="A2956" s="98"/>
      <c r="H2956" s="101"/>
      <c r="I2956" s="101"/>
      <c r="J2956" s="101"/>
      <c r="K2956" s="101"/>
      <c r="L2956" s="101"/>
      <c r="M2956" s="101"/>
      <c r="N2956" s="101"/>
      <c r="O2956" s="101"/>
      <c r="P2956" s="101"/>
      <c r="Q2956" s="101"/>
      <c r="R2956" s="101"/>
      <c r="S2956" s="110"/>
      <c r="T2956" s="102"/>
      <c r="U2956" s="101"/>
      <c r="V2956" s="103"/>
      <c r="W2956" s="101"/>
    </row>
    <row r="2957" spans="1:23" x14ac:dyDescent="0.25">
      <c r="A2957" s="98"/>
      <c r="H2957" s="101"/>
      <c r="I2957" s="101"/>
      <c r="J2957" s="101"/>
      <c r="K2957" s="101"/>
      <c r="L2957" s="101"/>
      <c r="M2957" s="101"/>
      <c r="N2957" s="101"/>
      <c r="O2957" s="101"/>
      <c r="P2957" s="101"/>
      <c r="Q2957" s="101"/>
      <c r="R2957" s="101"/>
      <c r="S2957" s="110"/>
      <c r="T2957" s="102"/>
      <c r="U2957" s="101"/>
      <c r="V2957" s="103"/>
      <c r="W2957" s="101"/>
    </row>
    <row r="2958" spans="1:23" x14ac:dyDescent="0.25">
      <c r="A2958" s="98"/>
      <c r="H2958" s="101"/>
      <c r="I2958" s="101"/>
      <c r="J2958" s="101"/>
      <c r="K2958" s="101"/>
      <c r="L2958" s="101"/>
      <c r="M2958" s="101"/>
      <c r="N2958" s="101"/>
      <c r="O2958" s="101"/>
      <c r="P2958" s="101"/>
      <c r="Q2958" s="101"/>
      <c r="R2958" s="101"/>
      <c r="S2958" s="110"/>
      <c r="T2958" s="102"/>
      <c r="U2958" s="101"/>
      <c r="V2958" s="103"/>
      <c r="W2958" s="101"/>
    </row>
    <row r="2959" spans="1:23" x14ac:dyDescent="0.25">
      <c r="A2959" s="98"/>
      <c r="H2959" s="101"/>
      <c r="I2959" s="101"/>
      <c r="J2959" s="101"/>
      <c r="K2959" s="101"/>
      <c r="L2959" s="101"/>
      <c r="M2959" s="101"/>
      <c r="N2959" s="101"/>
      <c r="O2959" s="101"/>
      <c r="P2959" s="101"/>
      <c r="Q2959" s="101"/>
      <c r="R2959" s="101"/>
      <c r="S2959" s="110"/>
      <c r="T2959" s="102"/>
      <c r="U2959" s="101"/>
      <c r="V2959" s="103"/>
      <c r="W2959" s="101"/>
    </row>
    <row r="2960" spans="1:23" x14ac:dyDescent="0.25">
      <c r="A2960" s="98"/>
      <c r="H2960" s="101"/>
      <c r="I2960" s="101"/>
      <c r="J2960" s="101"/>
      <c r="K2960" s="101"/>
      <c r="L2960" s="101"/>
      <c r="M2960" s="101"/>
      <c r="N2960" s="101"/>
      <c r="O2960" s="101"/>
      <c r="P2960" s="101"/>
      <c r="Q2960" s="101"/>
      <c r="R2960" s="101"/>
      <c r="S2960" s="110"/>
      <c r="T2960" s="102"/>
      <c r="U2960" s="101"/>
      <c r="V2960" s="103"/>
      <c r="W2960" s="101"/>
    </row>
    <row r="2961" spans="1:23" x14ac:dyDescent="0.25">
      <c r="A2961" s="98"/>
      <c r="H2961" s="101"/>
      <c r="I2961" s="101"/>
      <c r="J2961" s="101"/>
      <c r="K2961" s="101"/>
      <c r="L2961" s="101"/>
      <c r="M2961" s="101"/>
      <c r="N2961" s="101"/>
      <c r="O2961" s="101"/>
      <c r="P2961" s="101"/>
      <c r="Q2961" s="101"/>
      <c r="R2961" s="101"/>
      <c r="S2961" s="110"/>
      <c r="T2961" s="102"/>
      <c r="U2961" s="101"/>
      <c r="V2961" s="103"/>
      <c r="W2961" s="101"/>
    </row>
    <row r="2962" spans="1:23" x14ac:dyDescent="0.25">
      <c r="A2962" s="98"/>
      <c r="H2962" s="101"/>
      <c r="I2962" s="101"/>
      <c r="J2962" s="101"/>
      <c r="K2962" s="101"/>
      <c r="L2962" s="101"/>
      <c r="M2962" s="101"/>
      <c r="N2962" s="101"/>
      <c r="O2962" s="101"/>
      <c r="P2962" s="101"/>
      <c r="Q2962" s="101"/>
      <c r="R2962" s="101"/>
      <c r="S2962" s="110"/>
      <c r="T2962" s="102"/>
      <c r="U2962" s="101"/>
      <c r="V2962" s="103"/>
      <c r="W2962" s="101"/>
    </row>
    <row r="2963" spans="1:23" x14ac:dyDescent="0.25">
      <c r="A2963" s="98"/>
      <c r="H2963" s="101"/>
      <c r="I2963" s="101"/>
      <c r="J2963" s="101"/>
      <c r="K2963" s="101"/>
      <c r="L2963" s="101"/>
      <c r="M2963" s="101"/>
      <c r="N2963" s="101"/>
      <c r="O2963" s="101"/>
      <c r="P2963" s="101"/>
      <c r="Q2963" s="101"/>
      <c r="R2963" s="101"/>
      <c r="S2963" s="110"/>
      <c r="T2963" s="102"/>
      <c r="U2963" s="101"/>
      <c r="V2963" s="103"/>
      <c r="W2963" s="101"/>
    </row>
    <row r="2964" spans="1:23" x14ac:dyDescent="0.25">
      <c r="A2964" s="98"/>
      <c r="H2964" s="101"/>
      <c r="I2964" s="101"/>
      <c r="J2964" s="101"/>
      <c r="K2964" s="101"/>
      <c r="L2964" s="101"/>
      <c r="M2964" s="101"/>
      <c r="N2964" s="101"/>
      <c r="O2964" s="101"/>
      <c r="P2964" s="101"/>
      <c r="Q2964" s="101"/>
      <c r="R2964" s="101"/>
      <c r="S2964" s="110"/>
      <c r="T2964" s="102"/>
      <c r="U2964" s="101"/>
      <c r="V2964" s="103"/>
      <c r="W2964" s="101"/>
    </row>
    <row r="2965" spans="1:23" x14ac:dyDescent="0.25">
      <c r="A2965" s="98"/>
      <c r="H2965" s="101"/>
      <c r="I2965" s="101"/>
      <c r="J2965" s="101"/>
      <c r="K2965" s="101"/>
      <c r="L2965" s="101"/>
      <c r="M2965" s="101"/>
      <c r="N2965" s="101"/>
      <c r="O2965" s="101"/>
      <c r="P2965" s="101"/>
      <c r="Q2965" s="101"/>
      <c r="R2965" s="101"/>
      <c r="S2965" s="110"/>
      <c r="T2965" s="102"/>
      <c r="U2965" s="101"/>
      <c r="V2965" s="103"/>
      <c r="W2965" s="101"/>
    </row>
    <row r="2966" spans="1:23" x14ac:dyDescent="0.25">
      <c r="A2966" s="98"/>
      <c r="H2966" s="101"/>
      <c r="I2966" s="101"/>
      <c r="J2966" s="101"/>
      <c r="K2966" s="101"/>
      <c r="L2966" s="101"/>
      <c r="M2966" s="101"/>
      <c r="N2966" s="101"/>
      <c r="O2966" s="101"/>
      <c r="P2966" s="101"/>
      <c r="Q2966" s="101"/>
      <c r="R2966" s="101"/>
      <c r="S2966" s="110"/>
      <c r="T2966" s="102"/>
      <c r="U2966" s="101"/>
      <c r="V2966" s="103"/>
      <c r="W2966" s="101"/>
    </row>
    <row r="2967" spans="1:23" x14ac:dyDescent="0.25">
      <c r="A2967" s="98"/>
      <c r="H2967" s="101"/>
      <c r="I2967" s="101"/>
      <c r="J2967" s="101"/>
      <c r="K2967" s="101"/>
      <c r="L2967" s="101"/>
      <c r="M2967" s="101"/>
      <c r="N2967" s="101"/>
      <c r="O2967" s="101"/>
      <c r="P2967" s="101"/>
      <c r="Q2967" s="101"/>
      <c r="R2967" s="101"/>
      <c r="S2967" s="110"/>
      <c r="T2967" s="102"/>
      <c r="U2967" s="101"/>
      <c r="V2967" s="103"/>
      <c r="W2967" s="101"/>
    </row>
    <row r="2968" spans="1:23" x14ac:dyDescent="0.25">
      <c r="A2968" s="98"/>
      <c r="H2968" s="101"/>
      <c r="I2968" s="101"/>
      <c r="J2968" s="101"/>
      <c r="K2968" s="101"/>
      <c r="L2968" s="101"/>
      <c r="M2968" s="101"/>
      <c r="N2968" s="101"/>
      <c r="O2968" s="101"/>
      <c r="P2968" s="101"/>
      <c r="Q2968" s="101"/>
      <c r="R2968" s="101"/>
      <c r="S2968" s="110"/>
      <c r="T2968" s="102"/>
      <c r="U2968" s="101"/>
      <c r="V2968" s="103"/>
      <c r="W2968" s="101"/>
    </row>
    <row r="2969" spans="1:23" x14ac:dyDescent="0.25">
      <c r="A2969" s="98"/>
      <c r="H2969" s="101"/>
      <c r="I2969" s="101"/>
      <c r="J2969" s="101"/>
      <c r="K2969" s="101"/>
      <c r="L2969" s="101"/>
      <c r="M2969" s="101"/>
      <c r="N2969" s="101"/>
      <c r="O2969" s="101"/>
      <c r="P2969" s="101"/>
      <c r="Q2969" s="101"/>
      <c r="R2969" s="101"/>
      <c r="S2969" s="110"/>
      <c r="T2969" s="102"/>
      <c r="U2969" s="101"/>
      <c r="V2969" s="103"/>
      <c r="W2969" s="101"/>
    </row>
    <row r="2970" spans="1:23" x14ac:dyDescent="0.25">
      <c r="A2970" s="98"/>
      <c r="H2970" s="101"/>
      <c r="I2970" s="101"/>
      <c r="J2970" s="101"/>
      <c r="K2970" s="101"/>
      <c r="L2970" s="101"/>
      <c r="M2970" s="101"/>
      <c r="N2970" s="101"/>
      <c r="O2970" s="101"/>
      <c r="P2970" s="101"/>
      <c r="Q2970" s="101"/>
      <c r="R2970" s="101"/>
      <c r="S2970" s="110"/>
      <c r="T2970" s="102"/>
      <c r="U2970" s="101"/>
      <c r="V2970" s="103"/>
      <c r="W2970" s="101"/>
    </row>
    <row r="2971" spans="1:23" x14ac:dyDescent="0.25">
      <c r="A2971" s="98"/>
      <c r="H2971" s="101"/>
      <c r="I2971" s="101"/>
      <c r="J2971" s="101"/>
      <c r="K2971" s="101"/>
      <c r="L2971" s="101"/>
      <c r="M2971" s="101"/>
      <c r="N2971" s="101"/>
      <c r="O2971" s="101"/>
      <c r="P2971" s="101"/>
      <c r="Q2971" s="101"/>
      <c r="R2971" s="101"/>
      <c r="S2971" s="110"/>
      <c r="T2971" s="102"/>
      <c r="U2971" s="101"/>
      <c r="V2971" s="103"/>
      <c r="W2971" s="101"/>
    </row>
    <row r="2972" spans="1:23" x14ac:dyDescent="0.25">
      <c r="A2972" s="98"/>
      <c r="H2972" s="101"/>
      <c r="I2972" s="101"/>
      <c r="J2972" s="101"/>
      <c r="K2972" s="101"/>
      <c r="L2972" s="101"/>
      <c r="M2972" s="101"/>
      <c r="N2972" s="101"/>
      <c r="O2972" s="101"/>
      <c r="P2972" s="101"/>
      <c r="Q2972" s="101"/>
      <c r="R2972" s="101"/>
      <c r="S2972" s="110"/>
      <c r="T2972" s="102"/>
      <c r="U2972" s="101"/>
      <c r="V2972" s="103"/>
      <c r="W2972" s="101"/>
    </row>
    <row r="2973" spans="1:23" x14ac:dyDescent="0.25">
      <c r="A2973" s="98"/>
      <c r="H2973" s="101"/>
      <c r="I2973" s="101"/>
      <c r="J2973" s="101"/>
      <c r="K2973" s="101"/>
      <c r="L2973" s="101"/>
      <c r="M2973" s="101"/>
      <c r="N2973" s="101"/>
      <c r="O2973" s="101"/>
      <c r="P2973" s="101"/>
      <c r="Q2973" s="101"/>
      <c r="R2973" s="101"/>
      <c r="S2973" s="110"/>
      <c r="T2973" s="102"/>
      <c r="U2973" s="101"/>
      <c r="V2973" s="103"/>
      <c r="W2973" s="101"/>
    </row>
    <row r="2974" spans="1:23" x14ac:dyDescent="0.25">
      <c r="A2974" s="98"/>
      <c r="H2974" s="101"/>
      <c r="I2974" s="101"/>
      <c r="J2974" s="101"/>
      <c r="K2974" s="101"/>
      <c r="L2974" s="101"/>
      <c r="M2974" s="101"/>
      <c r="N2974" s="101"/>
      <c r="O2974" s="101"/>
      <c r="P2974" s="101"/>
      <c r="Q2974" s="101"/>
      <c r="R2974" s="101"/>
      <c r="S2974" s="110"/>
      <c r="T2974" s="102"/>
      <c r="U2974" s="101"/>
      <c r="V2974" s="103"/>
      <c r="W2974" s="101"/>
    </row>
    <row r="2975" spans="1:23" x14ac:dyDescent="0.25">
      <c r="A2975" s="98"/>
      <c r="H2975" s="101"/>
      <c r="I2975" s="101"/>
      <c r="J2975" s="101"/>
      <c r="K2975" s="101"/>
      <c r="L2975" s="101"/>
      <c r="M2975" s="101"/>
      <c r="N2975" s="101"/>
      <c r="O2975" s="101"/>
      <c r="P2975" s="101"/>
      <c r="Q2975" s="101"/>
      <c r="R2975" s="101"/>
      <c r="S2975" s="110"/>
      <c r="T2975" s="102"/>
      <c r="U2975" s="101"/>
      <c r="V2975" s="103"/>
      <c r="W2975" s="101"/>
    </row>
    <row r="2976" spans="1:23" x14ac:dyDescent="0.25">
      <c r="A2976" s="98"/>
      <c r="H2976" s="101"/>
      <c r="I2976" s="101"/>
      <c r="J2976" s="101"/>
      <c r="K2976" s="101"/>
      <c r="L2976" s="101"/>
      <c r="M2976" s="101"/>
      <c r="N2976" s="101"/>
      <c r="O2976" s="101"/>
      <c r="P2976" s="101"/>
      <c r="Q2976" s="101"/>
      <c r="R2976" s="101"/>
      <c r="S2976" s="110"/>
      <c r="T2976" s="102"/>
      <c r="U2976" s="101"/>
      <c r="V2976" s="103"/>
      <c r="W2976" s="101"/>
    </row>
    <row r="2977" spans="1:23" x14ac:dyDescent="0.25">
      <c r="A2977" s="98"/>
      <c r="H2977" s="101"/>
      <c r="I2977" s="101"/>
      <c r="J2977" s="101"/>
      <c r="K2977" s="101"/>
      <c r="L2977" s="101"/>
      <c r="M2977" s="101"/>
      <c r="N2977" s="101"/>
      <c r="O2977" s="101"/>
      <c r="P2977" s="101"/>
      <c r="Q2977" s="101"/>
      <c r="R2977" s="101"/>
      <c r="S2977" s="110"/>
      <c r="T2977" s="102"/>
      <c r="U2977" s="101"/>
      <c r="V2977" s="103"/>
      <c r="W2977" s="101"/>
    </row>
    <row r="2978" spans="1:23" x14ac:dyDescent="0.25">
      <c r="A2978" s="98"/>
      <c r="H2978" s="101"/>
      <c r="I2978" s="101"/>
      <c r="J2978" s="101"/>
      <c r="K2978" s="101"/>
      <c r="L2978" s="101"/>
      <c r="M2978" s="101"/>
      <c r="N2978" s="101"/>
      <c r="O2978" s="101"/>
      <c r="P2978" s="101"/>
      <c r="Q2978" s="101"/>
      <c r="R2978" s="101"/>
      <c r="S2978" s="110"/>
      <c r="T2978" s="102"/>
      <c r="U2978" s="101"/>
      <c r="V2978" s="103"/>
      <c r="W2978" s="101"/>
    </row>
    <row r="2979" spans="1:23" x14ac:dyDescent="0.25">
      <c r="A2979" s="98"/>
      <c r="H2979" s="101"/>
      <c r="I2979" s="101"/>
      <c r="J2979" s="101"/>
      <c r="K2979" s="101"/>
      <c r="L2979" s="101"/>
      <c r="M2979" s="101"/>
      <c r="N2979" s="101"/>
      <c r="O2979" s="101"/>
      <c r="P2979" s="101"/>
      <c r="Q2979" s="101"/>
      <c r="R2979" s="101"/>
      <c r="S2979" s="110"/>
      <c r="T2979" s="102"/>
      <c r="U2979" s="101"/>
      <c r="V2979" s="103"/>
      <c r="W2979" s="101"/>
    </row>
    <row r="2980" spans="1:23" x14ac:dyDescent="0.25">
      <c r="A2980" s="98"/>
      <c r="H2980" s="101"/>
      <c r="I2980" s="101"/>
      <c r="J2980" s="101"/>
      <c r="K2980" s="101"/>
      <c r="L2980" s="101"/>
      <c r="M2980" s="101"/>
      <c r="N2980" s="101"/>
      <c r="O2980" s="101"/>
      <c r="P2980" s="101"/>
      <c r="Q2980" s="101"/>
      <c r="R2980" s="101"/>
      <c r="S2980" s="110"/>
      <c r="T2980" s="102"/>
      <c r="U2980" s="101"/>
      <c r="V2980" s="103"/>
      <c r="W2980" s="101"/>
    </row>
    <row r="2981" spans="1:23" x14ac:dyDescent="0.25">
      <c r="A2981" s="98"/>
      <c r="H2981" s="101"/>
      <c r="I2981" s="101"/>
      <c r="J2981" s="101"/>
      <c r="K2981" s="101"/>
      <c r="L2981" s="101"/>
      <c r="M2981" s="101"/>
      <c r="N2981" s="101"/>
      <c r="O2981" s="101"/>
      <c r="P2981" s="101"/>
      <c r="Q2981" s="101"/>
      <c r="R2981" s="101"/>
      <c r="S2981" s="110"/>
      <c r="T2981" s="102"/>
      <c r="U2981" s="101"/>
      <c r="V2981" s="103"/>
      <c r="W2981" s="101"/>
    </row>
    <row r="2982" spans="1:23" x14ac:dyDescent="0.25">
      <c r="A2982" s="98"/>
      <c r="H2982" s="101"/>
      <c r="I2982" s="101"/>
      <c r="J2982" s="101"/>
      <c r="K2982" s="101"/>
      <c r="L2982" s="101"/>
      <c r="M2982" s="101"/>
      <c r="N2982" s="101"/>
      <c r="O2982" s="101"/>
      <c r="P2982" s="101"/>
      <c r="Q2982" s="101"/>
      <c r="R2982" s="101"/>
      <c r="S2982" s="110"/>
      <c r="T2982" s="102"/>
      <c r="U2982" s="101"/>
      <c r="V2982" s="103"/>
      <c r="W2982" s="101"/>
    </row>
    <row r="2983" spans="1:23" x14ac:dyDescent="0.25">
      <c r="A2983" s="98"/>
      <c r="H2983" s="101"/>
      <c r="I2983" s="101"/>
      <c r="J2983" s="101"/>
      <c r="K2983" s="101"/>
      <c r="L2983" s="101"/>
      <c r="M2983" s="101"/>
      <c r="N2983" s="101"/>
      <c r="O2983" s="101"/>
      <c r="P2983" s="101"/>
      <c r="Q2983" s="101"/>
      <c r="R2983" s="101"/>
      <c r="S2983" s="110"/>
      <c r="T2983" s="102"/>
      <c r="U2983" s="101"/>
      <c r="V2983" s="103"/>
      <c r="W2983" s="101"/>
    </row>
    <row r="2984" spans="1:23" x14ac:dyDescent="0.25">
      <c r="A2984" s="98"/>
      <c r="H2984" s="101"/>
      <c r="I2984" s="101"/>
      <c r="J2984" s="101"/>
      <c r="K2984" s="101"/>
      <c r="L2984" s="101"/>
      <c r="M2984" s="101"/>
      <c r="N2984" s="101"/>
      <c r="O2984" s="101"/>
      <c r="P2984" s="101"/>
      <c r="Q2984" s="101"/>
      <c r="R2984" s="101"/>
      <c r="S2984" s="110"/>
      <c r="T2984" s="102"/>
      <c r="U2984" s="101"/>
      <c r="V2984" s="103"/>
      <c r="W2984" s="101"/>
    </row>
    <row r="2985" spans="1:23" x14ac:dyDescent="0.25">
      <c r="A2985" s="98"/>
      <c r="H2985" s="101"/>
      <c r="I2985" s="101"/>
      <c r="J2985" s="101"/>
      <c r="K2985" s="101"/>
      <c r="L2985" s="101"/>
      <c r="M2985" s="101"/>
      <c r="N2985" s="101"/>
      <c r="O2985" s="101"/>
      <c r="P2985" s="101"/>
      <c r="Q2985" s="101"/>
      <c r="R2985" s="101"/>
      <c r="S2985" s="110"/>
      <c r="T2985" s="102"/>
      <c r="U2985" s="101"/>
      <c r="V2985" s="103"/>
      <c r="W2985" s="101"/>
    </row>
    <row r="2986" spans="1:23" x14ac:dyDescent="0.25">
      <c r="A2986" s="98"/>
      <c r="H2986" s="101"/>
      <c r="I2986" s="101"/>
      <c r="J2986" s="101"/>
      <c r="K2986" s="101"/>
      <c r="L2986" s="101"/>
      <c r="M2986" s="101"/>
      <c r="N2986" s="101"/>
      <c r="O2986" s="101"/>
      <c r="P2986" s="101"/>
      <c r="Q2986" s="101"/>
      <c r="R2986" s="101"/>
      <c r="S2986" s="110"/>
      <c r="T2986" s="102"/>
      <c r="U2986" s="101"/>
      <c r="V2986" s="103"/>
      <c r="W2986" s="101"/>
    </row>
    <row r="2987" spans="1:23" x14ac:dyDescent="0.25">
      <c r="A2987" s="98"/>
      <c r="H2987" s="101"/>
      <c r="I2987" s="101"/>
      <c r="J2987" s="101"/>
      <c r="K2987" s="101"/>
      <c r="L2987" s="101"/>
      <c r="M2987" s="101"/>
      <c r="N2987" s="101"/>
      <c r="O2987" s="101"/>
      <c r="P2987" s="101"/>
      <c r="Q2987" s="101"/>
      <c r="R2987" s="101"/>
      <c r="S2987" s="110"/>
      <c r="T2987" s="102"/>
      <c r="U2987" s="101"/>
      <c r="V2987" s="103"/>
      <c r="W2987" s="101"/>
    </row>
    <row r="2988" spans="1:23" x14ac:dyDescent="0.25">
      <c r="A2988" s="98"/>
      <c r="H2988" s="101"/>
      <c r="I2988" s="101"/>
      <c r="J2988" s="101"/>
      <c r="K2988" s="101"/>
      <c r="L2988" s="101"/>
      <c r="M2988" s="101"/>
      <c r="N2988" s="101"/>
      <c r="O2988" s="101"/>
      <c r="P2988" s="101"/>
      <c r="Q2988" s="101"/>
      <c r="R2988" s="101"/>
      <c r="S2988" s="110"/>
      <c r="T2988" s="102"/>
      <c r="U2988" s="101"/>
      <c r="V2988" s="103"/>
      <c r="W2988" s="101"/>
    </row>
    <row r="2989" spans="1:23" x14ac:dyDescent="0.25">
      <c r="A2989" s="98"/>
      <c r="H2989" s="101"/>
      <c r="I2989" s="101"/>
      <c r="J2989" s="101"/>
      <c r="K2989" s="101"/>
      <c r="L2989" s="101"/>
      <c r="M2989" s="101"/>
      <c r="N2989" s="101"/>
      <c r="O2989" s="101"/>
      <c r="P2989" s="101"/>
      <c r="Q2989" s="101"/>
      <c r="R2989" s="101"/>
      <c r="S2989" s="110"/>
      <c r="T2989" s="102"/>
      <c r="U2989" s="101"/>
      <c r="V2989" s="103"/>
      <c r="W2989" s="101"/>
    </row>
    <row r="2990" spans="1:23" x14ac:dyDescent="0.25">
      <c r="A2990" s="98"/>
      <c r="H2990" s="101"/>
      <c r="I2990" s="101"/>
      <c r="J2990" s="101"/>
      <c r="K2990" s="101"/>
      <c r="L2990" s="101"/>
      <c r="M2990" s="101"/>
      <c r="N2990" s="101"/>
      <c r="O2990" s="101"/>
      <c r="P2990" s="101"/>
      <c r="Q2990" s="101"/>
      <c r="R2990" s="101"/>
      <c r="S2990" s="110"/>
      <c r="T2990" s="102"/>
      <c r="U2990" s="101"/>
      <c r="V2990" s="103"/>
      <c r="W2990" s="101"/>
    </row>
    <row r="2991" spans="1:23" x14ac:dyDescent="0.25">
      <c r="A2991" s="98"/>
      <c r="H2991" s="101"/>
      <c r="I2991" s="101"/>
      <c r="J2991" s="101"/>
      <c r="K2991" s="101"/>
      <c r="L2991" s="101"/>
      <c r="M2991" s="101"/>
      <c r="N2991" s="101"/>
      <c r="O2991" s="101"/>
      <c r="P2991" s="101"/>
      <c r="Q2991" s="101"/>
      <c r="R2991" s="101"/>
      <c r="S2991" s="110"/>
      <c r="T2991" s="102"/>
      <c r="U2991" s="101"/>
      <c r="V2991" s="103"/>
      <c r="W2991" s="101"/>
    </row>
    <row r="2992" spans="1:23" x14ac:dyDescent="0.25">
      <c r="A2992" s="98"/>
      <c r="H2992" s="101"/>
      <c r="I2992" s="101"/>
      <c r="J2992" s="101"/>
      <c r="K2992" s="101"/>
      <c r="L2992" s="101"/>
      <c r="M2992" s="101"/>
      <c r="N2992" s="101"/>
      <c r="O2992" s="101"/>
      <c r="P2992" s="101"/>
      <c r="Q2992" s="101"/>
      <c r="R2992" s="101"/>
      <c r="S2992" s="110"/>
      <c r="T2992" s="102"/>
      <c r="U2992" s="101"/>
      <c r="V2992" s="103"/>
      <c r="W2992" s="101"/>
    </row>
    <row r="2993" spans="1:23" x14ac:dyDescent="0.25">
      <c r="A2993" s="98"/>
      <c r="H2993" s="101"/>
      <c r="I2993" s="101"/>
      <c r="J2993" s="101"/>
      <c r="K2993" s="101"/>
      <c r="L2993" s="101"/>
      <c r="M2993" s="101"/>
      <c r="N2993" s="101"/>
      <c r="O2993" s="101"/>
      <c r="P2993" s="101"/>
      <c r="Q2993" s="101"/>
      <c r="R2993" s="101"/>
      <c r="S2993" s="110"/>
      <c r="T2993" s="102"/>
      <c r="U2993" s="101"/>
      <c r="V2993" s="103"/>
      <c r="W2993" s="101"/>
    </row>
    <row r="2994" spans="1:23" x14ac:dyDescent="0.25">
      <c r="A2994" s="98"/>
      <c r="H2994" s="101"/>
      <c r="I2994" s="101"/>
      <c r="J2994" s="101"/>
      <c r="K2994" s="101"/>
      <c r="L2994" s="101"/>
      <c r="M2994" s="101"/>
      <c r="N2994" s="101"/>
      <c r="O2994" s="101"/>
      <c r="P2994" s="101"/>
      <c r="Q2994" s="101"/>
      <c r="R2994" s="101"/>
      <c r="S2994" s="110"/>
      <c r="T2994" s="102"/>
      <c r="U2994" s="101"/>
      <c r="V2994" s="103"/>
      <c r="W2994" s="101"/>
    </row>
    <row r="2995" spans="1:23" x14ac:dyDescent="0.25">
      <c r="A2995" s="98"/>
      <c r="H2995" s="101"/>
      <c r="I2995" s="101"/>
      <c r="J2995" s="101"/>
      <c r="K2995" s="101"/>
      <c r="L2995" s="101"/>
      <c r="M2995" s="101"/>
      <c r="N2995" s="101"/>
      <c r="O2995" s="101"/>
      <c r="P2995" s="101"/>
      <c r="Q2995" s="101"/>
      <c r="R2995" s="101"/>
      <c r="S2995" s="110"/>
      <c r="T2995" s="102"/>
      <c r="U2995" s="101"/>
      <c r="V2995" s="103"/>
      <c r="W2995" s="101"/>
    </row>
    <row r="2996" spans="1:23" x14ac:dyDescent="0.25">
      <c r="A2996" s="98"/>
      <c r="H2996" s="101"/>
      <c r="I2996" s="101"/>
      <c r="J2996" s="101"/>
      <c r="K2996" s="101"/>
      <c r="L2996" s="101"/>
      <c r="M2996" s="101"/>
      <c r="N2996" s="101"/>
      <c r="O2996" s="101"/>
      <c r="P2996" s="101"/>
      <c r="Q2996" s="101"/>
      <c r="R2996" s="101"/>
      <c r="S2996" s="110"/>
      <c r="T2996" s="102"/>
      <c r="U2996" s="101"/>
      <c r="V2996" s="103"/>
      <c r="W2996" s="101"/>
    </row>
    <row r="2997" spans="1:23" x14ac:dyDescent="0.25">
      <c r="A2997" s="98"/>
      <c r="H2997" s="101"/>
      <c r="I2997" s="101"/>
      <c r="J2997" s="101"/>
      <c r="K2997" s="101"/>
      <c r="L2997" s="101"/>
      <c r="M2997" s="101"/>
      <c r="N2997" s="101"/>
      <c r="O2997" s="101"/>
      <c r="P2997" s="101"/>
      <c r="Q2997" s="101"/>
      <c r="R2997" s="101"/>
      <c r="S2997" s="110"/>
      <c r="T2997" s="102"/>
      <c r="U2997" s="101"/>
      <c r="V2997" s="103"/>
      <c r="W2997" s="101"/>
    </row>
    <row r="2998" spans="1:23" x14ac:dyDescent="0.25">
      <c r="A2998" s="98"/>
      <c r="H2998" s="101"/>
      <c r="I2998" s="101"/>
      <c r="J2998" s="101"/>
      <c r="K2998" s="101"/>
      <c r="L2998" s="101"/>
      <c r="M2998" s="101"/>
      <c r="N2998" s="101"/>
      <c r="O2998" s="101"/>
      <c r="P2998" s="101"/>
      <c r="Q2998" s="101"/>
      <c r="R2998" s="101"/>
      <c r="S2998" s="110"/>
      <c r="T2998" s="102"/>
      <c r="U2998" s="101"/>
      <c r="V2998" s="103"/>
      <c r="W2998" s="101"/>
    </row>
    <row r="2999" spans="1:23" x14ac:dyDescent="0.25">
      <c r="A2999" s="98"/>
      <c r="H2999" s="101"/>
      <c r="I2999" s="101"/>
      <c r="J2999" s="101"/>
      <c r="K2999" s="101"/>
      <c r="L2999" s="101"/>
      <c r="M2999" s="101"/>
      <c r="N2999" s="101"/>
      <c r="O2999" s="101"/>
      <c r="P2999" s="101"/>
      <c r="Q2999" s="101"/>
      <c r="R2999" s="101"/>
      <c r="S2999" s="110"/>
      <c r="T2999" s="102"/>
      <c r="U2999" s="101"/>
      <c r="V2999" s="103"/>
      <c r="W2999" s="101"/>
    </row>
    <row r="3000" spans="1:23" x14ac:dyDescent="0.25">
      <c r="A3000" s="98"/>
      <c r="H3000" s="101"/>
      <c r="I3000" s="101"/>
      <c r="J3000" s="101"/>
      <c r="K3000" s="101"/>
      <c r="L3000" s="101"/>
      <c r="M3000" s="101"/>
      <c r="N3000" s="101"/>
      <c r="O3000" s="101"/>
      <c r="P3000" s="101"/>
      <c r="Q3000" s="101"/>
      <c r="R3000" s="101"/>
      <c r="S3000" s="110"/>
      <c r="T3000" s="102"/>
      <c r="U3000" s="101"/>
      <c r="V3000" s="103"/>
      <c r="W3000" s="101"/>
    </row>
    <row r="3001" spans="1:23" x14ac:dyDescent="0.25">
      <c r="A3001" s="98"/>
      <c r="H3001" s="101"/>
      <c r="I3001" s="101"/>
      <c r="J3001" s="101"/>
      <c r="K3001" s="101"/>
      <c r="L3001" s="101"/>
      <c r="M3001" s="101"/>
      <c r="N3001" s="101"/>
      <c r="O3001" s="101"/>
      <c r="P3001" s="101"/>
      <c r="Q3001" s="101"/>
      <c r="R3001" s="101"/>
      <c r="S3001" s="110"/>
      <c r="T3001" s="102"/>
      <c r="U3001" s="101"/>
      <c r="V3001" s="103"/>
      <c r="W3001" s="101"/>
    </row>
    <row r="3002" spans="1:23" x14ac:dyDescent="0.25">
      <c r="A3002" s="98"/>
      <c r="H3002" s="101"/>
      <c r="I3002" s="101"/>
      <c r="J3002" s="101"/>
      <c r="K3002" s="101"/>
      <c r="L3002" s="101"/>
      <c r="M3002" s="101"/>
      <c r="N3002" s="101"/>
      <c r="O3002" s="101"/>
      <c r="P3002" s="101"/>
      <c r="Q3002" s="101"/>
      <c r="R3002" s="101"/>
      <c r="S3002" s="110"/>
      <c r="T3002" s="102"/>
      <c r="U3002" s="101"/>
      <c r="V3002" s="103"/>
      <c r="W3002" s="101"/>
    </row>
    <row r="3003" spans="1:23" x14ac:dyDescent="0.25">
      <c r="A3003" s="98"/>
      <c r="H3003" s="101"/>
      <c r="I3003" s="101"/>
      <c r="J3003" s="101"/>
      <c r="K3003" s="101"/>
      <c r="L3003" s="101"/>
      <c r="M3003" s="101"/>
      <c r="N3003" s="101"/>
      <c r="O3003" s="101"/>
      <c r="P3003" s="101"/>
      <c r="Q3003" s="101"/>
      <c r="R3003" s="101"/>
      <c r="S3003" s="110"/>
      <c r="T3003" s="102"/>
      <c r="U3003" s="101"/>
      <c r="V3003" s="103"/>
      <c r="W3003" s="101"/>
    </row>
    <row r="3004" spans="1:23" x14ac:dyDescent="0.25">
      <c r="A3004" s="98"/>
      <c r="H3004" s="101"/>
      <c r="I3004" s="101"/>
      <c r="J3004" s="101"/>
      <c r="K3004" s="101"/>
      <c r="L3004" s="101"/>
      <c r="M3004" s="101"/>
      <c r="N3004" s="101"/>
      <c r="O3004" s="101"/>
      <c r="P3004" s="101"/>
      <c r="Q3004" s="101"/>
      <c r="R3004" s="101"/>
      <c r="S3004" s="110"/>
      <c r="T3004" s="102"/>
      <c r="U3004" s="101"/>
      <c r="V3004" s="103"/>
      <c r="W3004" s="101"/>
    </row>
    <row r="3005" spans="1:23" x14ac:dyDescent="0.25">
      <c r="A3005" s="98"/>
      <c r="H3005" s="101"/>
      <c r="I3005" s="101"/>
      <c r="J3005" s="101"/>
      <c r="K3005" s="101"/>
      <c r="L3005" s="101"/>
      <c r="M3005" s="101"/>
      <c r="N3005" s="101"/>
      <c r="O3005" s="101"/>
      <c r="P3005" s="101"/>
      <c r="Q3005" s="101"/>
      <c r="R3005" s="101"/>
      <c r="S3005" s="110"/>
      <c r="T3005" s="102"/>
      <c r="U3005" s="101"/>
      <c r="V3005" s="103"/>
      <c r="W3005" s="101"/>
    </row>
    <row r="3006" spans="1:23" x14ac:dyDescent="0.25">
      <c r="A3006" s="98"/>
      <c r="H3006" s="101"/>
      <c r="I3006" s="101"/>
      <c r="J3006" s="101"/>
      <c r="K3006" s="101"/>
      <c r="L3006" s="101"/>
      <c r="M3006" s="101"/>
      <c r="N3006" s="101"/>
      <c r="O3006" s="101"/>
      <c r="P3006" s="101"/>
      <c r="Q3006" s="101"/>
      <c r="R3006" s="101"/>
      <c r="S3006" s="110"/>
      <c r="T3006" s="102"/>
      <c r="U3006" s="101"/>
      <c r="V3006" s="103"/>
      <c r="W3006" s="101"/>
    </row>
    <row r="3007" spans="1:23" x14ac:dyDescent="0.25">
      <c r="A3007" s="98"/>
      <c r="H3007" s="101"/>
      <c r="I3007" s="101"/>
      <c r="J3007" s="101"/>
      <c r="K3007" s="101"/>
      <c r="L3007" s="101"/>
      <c r="M3007" s="101"/>
      <c r="N3007" s="101"/>
      <c r="O3007" s="101"/>
      <c r="P3007" s="101"/>
      <c r="Q3007" s="101"/>
      <c r="R3007" s="101"/>
      <c r="S3007" s="110"/>
      <c r="T3007" s="102"/>
      <c r="U3007" s="101"/>
      <c r="V3007" s="103"/>
      <c r="W3007" s="101"/>
    </row>
    <row r="3008" spans="1:23" x14ac:dyDescent="0.25">
      <c r="A3008" s="98"/>
      <c r="H3008" s="101"/>
      <c r="I3008" s="101"/>
      <c r="J3008" s="101"/>
      <c r="K3008" s="101"/>
      <c r="L3008" s="101"/>
      <c r="M3008" s="101"/>
      <c r="N3008" s="101"/>
      <c r="O3008" s="101"/>
      <c r="P3008" s="101"/>
      <c r="Q3008" s="101"/>
      <c r="R3008" s="101"/>
      <c r="S3008" s="110"/>
      <c r="T3008" s="102"/>
      <c r="U3008" s="101"/>
      <c r="V3008" s="103"/>
      <c r="W3008" s="101"/>
    </row>
    <row r="3009" spans="1:23" x14ac:dyDescent="0.25">
      <c r="A3009" s="98"/>
      <c r="H3009" s="101"/>
      <c r="I3009" s="101"/>
      <c r="J3009" s="101"/>
      <c r="K3009" s="101"/>
      <c r="L3009" s="101"/>
      <c r="M3009" s="101"/>
      <c r="N3009" s="101"/>
      <c r="O3009" s="101"/>
      <c r="P3009" s="101"/>
      <c r="Q3009" s="101"/>
      <c r="R3009" s="101"/>
      <c r="S3009" s="110"/>
      <c r="T3009" s="102"/>
      <c r="U3009" s="101"/>
      <c r="V3009" s="103"/>
      <c r="W3009" s="101"/>
    </row>
    <row r="3010" spans="1:23" x14ac:dyDescent="0.25">
      <c r="A3010" s="98"/>
      <c r="H3010" s="101"/>
      <c r="I3010" s="101"/>
      <c r="J3010" s="101"/>
      <c r="K3010" s="101"/>
      <c r="L3010" s="101"/>
      <c r="M3010" s="101"/>
      <c r="N3010" s="101"/>
      <c r="O3010" s="101"/>
      <c r="P3010" s="101"/>
      <c r="Q3010" s="101"/>
      <c r="R3010" s="101"/>
      <c r="S3010" s="110"/>
      <c r="T3010" s="102"/>
      <c r="U3010" s="101"/>
      <c r="V3010" s="103"/>
      <c r="W3010" s="101"/>
    </row>
    <row r="3011" spans="1:23" x14ac:dyDescent="0.25">
      <c r="A3011" s="98"/>
      <c r="H3011" s="101"/>
      <c r="I3011" s="101"/>
      <c r="J3011" s="101"/>
      <c r="K3011" s="101"/>
      <c r="L3011" s="101"/>
      <c r="M3011" s="101"/>
      <c r="N3011" s="101"/>
      <c r="O3011" s="101"/>
      <c r="P3011" s="101"/>
      <c r="Q3011" s="101"/>
      <c r="R3011" s="101"/>
      <c r="S3011" s="110"/>
      <c r="T3011" s="102"/>
      <c r="U3011" s="101"/>
      <c r="V3011" s="103"/>
      <c r="W3011" s="101"/>
    </row>
    <row r="3012" spans="1:23" x14ac:dyDescent="0.25">
      <c r="A3012" s="98"/>
      <c r="H3012" s="101"/>
      <c r="I3012" s="101"/>
      <c r="J3012" s="101"/>
      <c r="K3012" s="101"/>
      <c r="L3012" s="101"/>
      <c r="M3012" s="101"/>
      <c r="N3012" s="101"/>
      <c r="O3012" s="101"/>
      <c r="P3012" s="101"/>
      <c r="Q3012" s="101"/>
      <c r="R3012" s="101"/>
      <c r="S3012" s="110"/>
      <c r="T3012" s="102"/>
      <c r="U3012" s="101"/>
      <c r="V3012" s="103"/>
      <c r="W3012" s="101"/>
    </row>
    <row r="3013" spans="1:23" x14ac:dyDescent="0.25">
      <c r="A3013" s="98"/>
      <c r="H3013" s="101"/>
      <c r="I3013" s="101"/>
      <c r="J3013" s="101"/>
      <c r="K3013" s="101"/>
      <c r="L3013" s="101"/>
      <c r="M3013" s="101"/>
      <c r="N3013" s="101"/>
      <c r="O3013" s="101"/>
      <c r="P3013" s="101"/>
      <c r="Q3013" s="101"/>
      <c r="R3013" s="101"/>
      <c r="S3013" s="110"/>
      <c r="T3013" s="102"/>
      <c r="U3013" s="101"/>
      <c r="V3013" s="103"/>
      <c r="W3013" s="101"/>
    </row>
    <row r="3014" spans="1:23" x14ac:dyDescent="0.25">
      <c r="A3014" s="98"/>
      <c r="H3014" s="101"/>
      <c r="I3014" s="101"/>
      <c r="J3014" s="101"/>
      <c r="K3014" s="101"/>
      <c r="L3014" s="101"/>
      <c r="M3014" s="101"/>
      <c r="N3014" s="101"/>
      <c r="O3014" s="101"/>
      <c r="P3014" s="101"/>
      <c r="Q3014" s="101"/>
      <c r="R3014" s="101"/>
      <c r="S3014" s="110"/>
      <c r="T3014" s="102"/>
      <c r="U3014" s="101"/>
      <c r="V3014" s="103"/>
      <c r="W3014" s="101"/>
    </row>
    <row r="3015" spans="1:23" x14ac:dyDescent="0.25">
      <c r="A3015" s="98"/>
      <c r="H3015" s="101"/>
      <c r="I3015" s="101"/>
      <c r="J3015" s="101"/>
      <c r="K3015" s="101"/>
      <c r="L3015" s="101"/>
      <c r="M3015" s="101"/>
      <c r="N3015" s="101"/>
      <c r="O3015" s="101"/>
      <c r="P3015" s="101"/>
      <c r="Q3015" s="101"/>
      <c r="R3015" s="101"/>
      <c r="S3015" s="110"/>
      <c r="T3015" s="102"/>
      <c r="U3015" s="101"/>
      <c r="V3015" s="103"/>
      <c r="W3015" s="101"/>
    </row>
    <row r="3016" spans="1:23" x14ac:dyDescent="0.25">
      <c r="A3016" s="98"/>
      <c r="H3016" s="101"/>
      <c r="I3016" s="101"/>
      <c r="J3016" s="101"/>
      <c r="K3016" s="101"/>
      <c r="L3016" s="101"/>
      <c r="M3016" s="101"/>
      <c r="N3016" s="101"/>
      <c r="O3016" s="101"/>
      <c r="P3016" s="101"/>
      <c r="Q3016" s="101"/>
      <c r="R3016" s="101"/>
      <c r="S3016" s="110"/>
      <c r="T3016" s="102"/>
      <c r="U3016" s="101"/>
      <c r="V3016" s="103"/>
      <c r="W3016" s="101"/>
    </row>
    <row r="3017" spans="1:23" x14ac:dyDescent="0.25">
      <c r="A3017" s="98"/>
      <c r="H3017" s="101"/>
      <c r="I3017" s="101"/>
      <c r="J3017" s="101"/>
      <c r="K3017" s="101"/>
      <c r="L3017" s="101"/>
      <c r="M3017" s="101"/>
      <c r="N3017" s="101"/>
      <c r="O3017" s="101"/>
      <c r="P3017" s="101"/>
      <c r="Q3017" s="101"/>
      <c r="R3017" s="101"/>
      <c r="S3017" s="110"/>
      <c r="T3017" s="102"/>
      <c r="U3017" s="101"/>
      <c r="V3017" s="103"/>
      <c r="W3017" s="101"/>
    </row>
    <row r="3018" spans="1:23" x14ac:dyDescent="0.25">
      <c r="A3018" s="98"/>
      <c r="H3018" s="101"/>
      <c r="I3018" s="101"/>
      <c r="J3018" s="101"/>
      <c r="K3018" s="101"/>
      <c r="L3018" s="101"/>
      <c r="M3018" s="101"/>
      <c r="N3018" s="101"/>
      <c r="O3018" s="101"/>
      <c r="P3018" s="101"/>
      <c r="Q3018" s="101"/>
      <c r="R3018" s="101"/>
      <c r="S3018" s="110"/>
      <c r="T3018" s="102"/>
      <c r="U3018" s="101"/>
      <c r="V3018" s="103"/>
      <c r="W3018" s="101"/>
    </row>
    <row r="3019" spans="1:23" x14ac:dyDescent="0.25">
      <c r="A3019" s="98"/>
      <c r="H3019" s="101"/>
      <c r="I3019" s="101"/>
      <c r="J3019" s="101"/>
      <c r="K3019" s="101"/>
      <c r="L3019" s="101"/>
      <c r="M3019" s="101"/>
      <c r="N3019" s="101"/>
      <c r="O3019" s="101"/>
      <c r="P3019" s="101"/>
      <c r="Q3019" s="101"/>
      <c r="R3019" s="101"/>
      <c r="S3019" s="110"/>
      <c r="T3019" s="102"/>
      <c r="U3019" s="101"/>
      <c r="V3019" s="103"/>
      <c r="W3019" s="101"/>
    </row>
    <row r="3020" spans="1:23" x14ac:dyDescent="0.25">
      <c r="A3020" s="98"/>
      <c r="H3020" s="101"/>
      <c r="I3020" s="101"/>
      <c r="J3020" s="101"/>
      <c r="K3020" s="101"/>
      <c r="L3020" s="101"/>
      <c r="M3020" s="101"/>
      <c r="N3020" s="101"/>
      <c r="O3020" s="101"/>
      <c r="P3020" s="101"/>
      <c r="Q3020" s="101"/>
      <c r="R3020" s="101"/>
      <c r="S3020" s="110"/>
      <c r="T3020" s="102"/>
      <c r="U3020" s="101"/>
      <c r="V3020" s="103"/>
      <c r="W3020" s="101"/>
    </row>
    <row r="3021" spans="1:23" x14ac:dyDescent="0.25">
      <c r="A3021" s="98"/>
      <c r="H3021" s="101"/>
      <c r="I3021" s="101"/>
      <c r="J3021" s="101"/>
      <c r="K3021" s="101"/>
      <c r="L3021" s="101"/>
      <c r="M3021" s="101"/>
      <c r="N3021" s="101"/>
      <c r="O3021" s="101"/>
      <c r="P3021" s="101"/>
      <c r="Q3021" s="101"/>
      <c r="R3021" s="101"/>
      <c r="S3021" s="110"/>
      <c r="T3021" s="102"/>
      <c r="U3021" s="101"/>
      <c r="V3021" s="103"/>
      <c r="W3021" s="101"/>
    </row>
    <row r="3022" spans="1:23" x14ac:dyDescent="0.25">
      <c r="A3022" s="98"/>
      <c r="H3022" s="101"/>
      <c r="I3022" s="101"/>
      <c r="J3022" s="101"/>
      <c r="K3022" s="101"/>
      <c r="L3022" s="101"/>
      <c r="M3022" s="101"/>
      <c r="N3022" s="101"/>
      <c r="O3022" s="101"/>
      <c r="P3022" s="101"/>
      <c r="Q3022" s="101"/>
      <c r="R3022" s="101"/>
      <c r="S3022" s="110"/>
      <c r="T3022" s="102"/>
      <c r="U3022" s="101"/>
      <c r="V3022" s="103"/>
      <c r="W3022" s="101"/>
    </row>
    <row r="3023" spans="1:23" x14ac:dyDescent="0.25">
      <c r="A3023" s="98"/>
      <c r="H3023" s="101"/>
      <c r="I3023" s="101"/>
      <c r="J3023" s="101"/>
      <c r="K3023" s="101"/>
      <c r="L3023" s="101"/>
      <c r="M3023" s="101"/>
      <c r="N3023" s="101"/>
      <c r="O3023" s="101"/>
      <c r="P3023" s="101"/>
      <c r="Q3023" s="101"/>
      <c r="R3023" s="101"/>
      <c r="S3023" s="110"/>
      <c r="T3023" s="102"/>
      <c r="U3023" s="101"/>
      <c r="V3023" s="103"/>
      <c r="W3023" s="101"/>
    </row>
    <row r="3024" spans="1:23" x14ac:dyDescent="0.25">
      <c r="A3024" s="98"/>
      <c r="H3024" s="101"/>
      <c r="I3024" s="101"/>
      <c r="J3024" s="101"/>
      <c r="K3024" s="101"/>
      <c r="L3024" s="101"/>
      <c r="M3024" s="101"/>
      <c r="N3024" s="101"/>
      <c r="O3024" s="101"/>
      <c r="P3024" s="101"/>
      <c r="Q3024" s="101"/>
      <c r="R3024" s="101"/>
      <c r="S3024" s="110"/>
      <c r="T3024" s="102"/>
      <c r="U3024" s="101"/>
      <c r="V3024" s="103"/>
      <c r="W3024" s="101"/>
    </row>
    <row r="3025" spans="1:23" x14ac:dyDescent="0.25">
      <c r="A3025" s="98"/>
      <c r="H3025" s="101"/>
      <c r="I3025" s="101"/>
      <c r="J3025" s="101"/>
      <c r="K3025" s="101"/>
      <c r="L3025" s="101"/>
      <c r="M3025" s="101"/>
      <c r="N3025" s="101"/>
      <c r="O3025" s="101"/>
      <c r="P3025" s="101"/>
      <c r="Q3025" s="101"/>
      <c r="R3025" s="101"/>
      <c r="S3025" s="110"/>
      <c r="T3025" s="102"/>
      <c r="U3025" s="101"/>
      <c r="V3025" s="103"/>
      <c r="W3025" s="101"/>
    </row>
    <row r="3026" spans="1:23" x14ac:dyDescent="0.25">
      <c r="A3026" s="98"/>
      <c r="H3026" s="101"/>
      <c r="I3026" s="101"/>
      <c r="J3026" s="101"/>
      <c r="K3026" s="101"/>
      <c r="L3026" s="101"/>
      <c r="M3026" s="101"/>
      <c r="N3026" s="101"/>
      <c r="O3026" s="101"/>
      <c r="P3026" s="101"/>
      <c r="Q3026" s="101"/>
      <c r="R3026" s="101"/>
      <c r="S3026" s="110"/>
      <c r="T3026" s="102"/>
      <c r="U3026" s="101"/>
      <c r="V3026" s="103"/>
      <c r="W3026" s="101"/>
    </row>
    <row r="3027" spans="1:23" x14ac:dyDescent="0.25">
      <c r="A3027" s="98"/>
      <c r="H3027" s="101"/>
      <c r="I3027" s="101"/>
      <c r="J3027" s="101"/>
      <c r="K3027" s="101"/>
      <c r="L3027" s="101"/>
      <c r="M3027" s="101"/>
      <c r="N3027" s="101"/>
      <c r="O3027" s="101"/>
      <c r="P3027" s="101"/>
      <c r="Q3027" s="101"/>
      <c r="R3027" s="101"/>
      <c r="S3027" s="110"/>
      <c r="T3027" s="102"/>
      <c r="U3027" s="101"/>
      <c r="V3027" s="103"/>
      <c r="W3027" s="101"/>
    </row>
    <row r="3028" spans="1:23" x14ac:dyDescent="0.25">
      <c r="A3028" s="98"/>
      <c r="H3028" s="101"/>
      <c r="I3028" s="101"/>
      <c r="J3028" s="101"/>
      <c r="K3028" s="101"/>
      <c r="L3028" s="101"/>
      <c r="M3028" s="101"/>
      <c r="N3028" s="101"/>
      <c r="O3028" s="101"/>
      <c r="P3028" s="101"/>
      <c r="Q3028" s="101"/>
      <c r="R3028" s="101"/>
      <c r="S3028" s="110"/>
      <c r="T3028" s="102"/>
      <c r="U3028" s="101"/>
      <c r="V3028" s="103"/>
      <c r="W3028" s="101"/>
    </row>
    <row r="3029" spans="1:23" x14ac:dyDescent="0.25">
      <c r="A3029" s="98"/>
      <c r="H3029" s="101"/>
      <c r="I3029" s="101"/>
      <c r="J3029" s="101"/>
      <c r="K3029" s="101"/>
      <c r="L3029" s="101"/>
      <c r="M3029" s="101"/>
      <c r="N3029" s="101"/>
      <c r="O3029" s="101"/>
      <c r="P3029" s="101"/>
      <c r="Q3029" s="101"/>
      <c r="R3029" s="101"/>
      <c r="S3029" s="110"/>
      <c r="T3029" s="102"/>
      <c r="U3029" s="101"/>
      <c r="V3029" s="103"/>
      <c r="W3029" s="101"/>
    </row>
    <row r="3030" spans="1:23" x14ac:dyDescent="0.25">
      <c r="A3030" s="98"/>
      <c r="H3030" s="101"/>
      <c r="I3030" s="101"/>
      <c r="J3030" s="101"/>
      <c r="K3030" s="101"/>
      <c r="L3030" s="101"/>
      <c r="M3030" s="101"/>
      <c r="N3030" s="101"/>
      <c r="O3030" s="101"/>
      <c r="P3030" s="101"/>
      <c r="Q3030" s="101"/>
      <c r="R3030" s="101"/>
      <c r="S3030" s="110"/>
      <c r="T3030" s="102"/>
      <c r="U3030" s="101"/>
      <c r="V3030" s="103"/>
      <c r="W3030" s="101"/>
    </row>
    <row r="3031" spans="1:23" x14ac:dyDescent="0.25">
      <c r="A3031" s="98"/>
      <c r="H3031" s="101"/>
      <c r="I3031" s="101"/>
      <c r="J3031" s="101"/>
      <c r="K3031" s="101"/>
      <c r="L3031" s="101"/>
      <c r="M3031" s="101"/>
      <c r="N3031" s="101"/>
      <c r="O3031" s="101"/>
      <c r="P3031" s="101"/>
      <c r="Q3031" s="101"/>
      <c r="R3031" s="101"/>
      <c r="S3031" s="110"/>
      <c r="T3031" s="102"/>
      <c r="U3031" s="101"/>
      <c r="V3031" s="103"/>
      <c r="W3031" s="101"/>
    </row>
    <row r="3032" spans="1:23" x14ac:dyDescent="0.25">
      <c r="A3032" s="98"/>
      <c r="H3032" s="101"/>
      <c r="I3032" s="101"/>
      <c r="J3032" s="101"/>
      <c r="K3032" s="101"/>
      <c r="L3032" s="101"/>
      <c r="M3032" s="101"/>
      <c r="N3032" s="101"/>
      <c r="O3032" s="101"/>
      <c r="P3032" s="101"/>
      <c r="Q3032" s="101"/>
      <c r="R3032" s="101"/>
      <c r="S3032" s="110"/>
      <c r="T3032" s="102"/>
      <c r="U3032" s="101"/>
      <c r="V3032" s="103"/>
      <c r="W3032" s="101"/>
    </row>
    <row r="3033" spans="1:23" x14ac:dyDescent="0.25">
      <c r="A3033" s="98"/>
      <c r="H3033" s="101"/>
      <c r="I3033" s="101"/>
      <c r="J3033" s="101"/>
      <c r="K3033" s="101"/>
      <c r="L3033" s="101"/>
      <c r="M3033" s="101"/>
      <c r="N3033" s="101"/>
      <c r="O3033" s="101"/>
      <c r="P3033" s="101"/>
      <c r="Q3033" s="101"/>
      <c r="R3033" s="101"/>
      <c r="S3033" s="110"/>
      <c r="T3033" s="102"/>
      <c r="U3033" s="101"/>
      <c r="V3033" s="103"/>
      <c r="W3033" s="101"/>
    </row>
    <row r="3034" spans="1:23" x14ac:dyDescent="0.25">
      <c r="A3034" s="98"/>
      <c r="H3034" s="101"/>
      <c r="I3034" s="101"/>
      <c r="J3034" s="101"/>
      <c r="K3034" s="101"/>
      <c r="L3034" s="101"/>
      <c r="M3034" s="101"/>
      <c r="N3034" s="101"/>
      <c r="O3034" s="101"/>
      <c r="P3034" s="101"/>
      <c r="Q3034" s="101"/>
      <c r="R3034" s="101"/>
      <c r="S3034" s="110"/>
      <c r="T3034" s="102"/>
      <c r="U3034" s="101"/>
      <c r="V3034" s="103"/>
      <c r="W3034" s="101"/>
    </row>
    <row r="3035" spans="1:23" x14ac:dyDescent="0.25">
      <c r="A3035" s="98"/>
      <c r="H3035" s="101"/>
      <c r="I3035" s="101"/>
      <c r="J3035" s="101"/>
      <c r="K3035" s="101"/>
      <c r="L3035" s="101"/>
      <c r="M3035" s="101"/>
      <c r="N3035" s="101"/>
      <c r="O3035" s="101"/>
      <c r="P3035" s="101"/>
      <c r="Q3035" s="101"/>
      <c r="R3035" s="101"/>
      <c r="S3035" s="110"/>
      <c r="T3035" s="102"/>
      <c r="U3035" s="101"/>
      <c r="V3035" s="103"/>
      <c r="W3035" s="101"/>
    </row>
    <row r="3036" spans="1:23" x14ac:dyDescent="0.25">
      <c r="A3036" s="98"/>
      <c r="H3036" s="101"/>
      <c r="I3036" s="101"/>
      <c r="J3036" s="101"/>
      <c r="K3036" s="101"/>
      <c r="L3036" s="101"/>
      <c r="M3036" s="101"/>
      <c r="N3036" s="101"/>
      <c r="O3036" s="101"/>
      <c r="P3036" s="101"/>
      <c r="Q3036" s="101"/>
      <c r="R3036" s="101"/>
      <c r="S3036" s="110"/>
      <c r="T3036" s="102"/>
      <c r="U3036" s="101"/>
      <c r="V3036" s="103"/>
      <c r="W3036" s="101"/>
    </row>
    <row r="3037" spans="1:23" x14ac:dyDescent="0.25">
      <c r="A3037" s="98"/>
      <c r="H3037" s="101"/>
      <c r="I3037" s="101"/>
      <c r="J3037" s="101"/>
      <c r="K3037" s="101"/>
      <c r="L3037" s="101"/>
      <c r="M3037" s="101"/>
      <c r="N3037" s="101"/>
      <c r="O3037" s="101"/>
      <c r="P3037" s="101"/>
      <c r="Q3037" s="101"/>
      <c r="R3037" s="101"/>
      <c r="S3037" s="110"/>
      <c r="T3037" s="102"/>
      <c r="U3037" s="101"/>
      <c r="V3037" s="103"/>
      <c r="W3037" s="101"/>
    </row>
    <row r="3038" spans="1:23" x14ac:dyDescent="0.25">
      <c r="A3038" s="98"/>
      <c r="H3038" s="101"/>
      <c r="I3038" s="101"/>
      <c r="J3038" s="101"/>
      <c r="K3038" s="101"/>
      <c r="L3038" s="101"/>
      <c r="M3038" s="101"/>
      <c r="N3038" s="101"/>
      <c r="O3038" s="101"/>
      <c r="P3038" s="101"/>
      <c r="Q3038" s="101"/>
      <c r="R3038" s="101"/>
      <c r="S3038" s="110"/>
      <c r="T3038" s="102"/>
      <c r="U3038" s="101"/>
      <c r="V3038" s="103"/>
      <c r="W3038" s="101"/>
    </row>
    <row r="3039" spans="1:23" x14ac:dyDescent="0.25">
      <c r="A3039" s="98"/>
      <c r="H3039" s="101"/>
      <c r="I3039" s="101"/>
      <c r="J3039" s="101"/>
      <c r="K3039" s="101"/>
      <c r="L3039" s="101"/>
      <c r="M3039" s="101"/>
      <c r="N3039" s="101"/>
      <c r="O3039" s="101"/>
      <c r="P3039" s="101"/>
      <c r="Q3039" s="101"/>
      <c r="R3039" s="101"/>
      <c r="S3039" s="110"/>
      <c r="T3039" s="102"/>
      <c r="U3039" s="101"/>
      <c r="V3039" s="103"/>
      <c r="W3039" s="101"/>
    </row>
    <row r="3040" spans="1:23" x14ac:dyDescent="0.25">
      <c r="A3040" s="98"/>
      <c r="H3040" s="101"/>
      <c r="I3040" s="101"/>
      <c r="J3040" s="101"/>
      <c r="K3040" s="101"/>
      <c r="L3040" s="101"/>
      <c r="M3040" s="101"/>
      <c r="N3040" s="101"/>
      <c r="O3040" s="101"/>
      <c r="P3040" s="101"/>
      <c r="Q3040" s="101"/>
      <c r="R3040" s="101"/>
      <c r="S3040" s="110"/>
      <c r="T3040" s="102"/>
      <c r="U3040" s="101"/>
      <c r="V3040" s="103"/>
      <c r="W3040" s="101"/>
    </row>
    <row r="3041" spans="1:23" x14ac:dyDescent="0.25">
      <c r="A3041" s="98"/>
      <c r="H3041" s="101"/>
      <c r="I3041" s="101"/>
      <c r="J3041" s="101"/>
      <c r="K3041" s="101"/>
      <c r="L3041" s="101"/>
      <c r="M3041" s="101"/>
      <c r="N3041" s="101"/>
      <c r="O3041" s="101"/>
      <c r="P3041" s="101"/>
      <c r="Q3041" s="101"/>
      <c r="R3041" s="101"/>
      <c r="S3041" s="110"/>
      <c r="T3041" s="102"/>
      <c r="U3041" s="101"/>
      <c r="V3041" s="103"/>
      <c r="W3041" s="101"/>
    </row>
    <row r="3042" spans="1:23" x14ac:dyDescent="0.25">
      <c r="A3042" s="98"/>
      <c r="H3042" s="101"/>
      <c r="I3042" s="101"/>
      <c r="J3042" s="101"/>
      <c r="K3042" s="101"/>
      <c r="L3042" s="101"/>
      <c r="M3042" s="101"/>
      <c r="N3042" s="101"/>
      <c r="O3042" s="101"/>
      <c r="P3042" s="101"/>
      <c r="Q3042" s="101"/>
      <c r="R3042" s="101"/>
      <c r="S3042" s="110"/>
      <c r="T3042" s="102"/>
      <c r="U3042" s="101"/>
      <c r="V3042" s="103"/>
      <c r="W3042" s="101"/>
    </row>
    <row r="3043" spans="1:23" x14ac:dyDescent="0.25">
      <c r="A3043" s="98"/>
      <c r="H3043" s="101"/>
      <c r="I3043" s="101"/>
      <c r="J3043" s="101"/>
      <c r="K3043" s="101"/>
      <c r="L3043" s="101"/>
      <c r="M3043" s="101"/>
      <c r="N3043" s="101"/>
      <c r="O3043" s="101"/>
      <c r="P3043" s="101"/>
      <c r="Q3043" s="101"/>
      <c r="R3043" s="101"/>
      <c r="S3043" s="110"/>
      <c r="T3043" s="102"/>
      <c r="U3043" s="101"/>
      <c r="V3043" s="103"/>
      <c r="W3043" s="101"/>
    </row>
    <row r="3044" spans="1:23" x14ac:dyDescent="0.25">
      <c r="A3044" s="98"/>
      <c r="H3044" s="101"/>
      <c r="I3044" s="101"/>
      <c r="J3044" s="101"/>
      <c r="K3044" s="101"/>
      <c r="L3044" s="101"/>
      <c r="M3044" s="101"/>
      <c r="N3044" s="101"/>
      <c r="O3044" s="101"/>
      <c r="P3044" s="101"/>
      <c r="Q3044" s="101"/>
      <c r="R3044" s="101"/>
      <c r="S3044" s="110"/>
      <c r="T3044" s="102"/>
      <c r="U3044" s="101"/>
      <c r="V3044" s="103"/>
      <c r="W3044" s="101"/>
    </row>
    <row r="3045" spans="1:23" x14ac:dyDescent="0.25">
      <c r="A3045" s="98"/>
      <c r="H3045" s="101"/>
      <c r="I3045" s="101"/>
      <c r="J3045" s="101"/>
      <c r="K3045" s="101"/>
      <c r="L3045" s="101"/>
      <c r="M3045" s="101"/>
      <c r="N3045" s="101"/>
      <c r="O3045" s="101"/>
      <c r="P3045" s="101"/>
      <c r="Q3045" s="101"/>
      <c r="R3045" s="101"/>
      <c r="S3045" s="110"/>
      <c r="T3045" s="102"/>
      <c r="U3045" s="101"/>
      <c r="V3045" s="103"/>
      <c r="W3045" s="101"/>
    </row>
    <row r="3046" spans="1:23" x14ac:dyDescent="0.25">
      <c r="A3046" s="98"/>
      <c r="H3046" s="101"/>
      <c r="I3046" s="101"/>
      <c r="J3046" s="101"/>
      <c r="K3046" s="101"/>
      <c r="L3046" s="101"/>
      <c r="M3046" s="101"/>
      <c r="N3046" s="101"/>
      <c r="O3046" s="101"/>
      <c r="P3046" s="101"/>
      <c r="Q3046" s="101"/>
      <c r="R3046" s="101"/>
      <c r="S3046" s="110"/>
      <c r="T3046" s="102"/>
      <c r="U3046" s="101"/>
      <c r="V3046" s="103"/>
      <c r="W3046" s="101"/>
    </row>
    <row r="3047" spans="1:23" x14ac:dyDescent="0.25">
      <c r="A3047" s="98"/>
      <c r="H3047" s="101"/>
      <c r="I3047" s="101"/>
      <c r="J3047" s="101"/>
      <c r="K3047" s="101"/>
      <c r="L3047" s="101"/>
      <c r="M3047" s="101"/>
      <c r="N3047" s="101"/>
      <c r="O3047" s="101"/>
      <c r="P3047" s="101"/>
      <c r="Q3047" s="101"/>
      <c r="R3047" s="101"/>
      <c r="S3047" s="110"/>
      <c r="T3047" s="102"/>
      <c r="U3047" s="101"/>
      <c r="V3047" s="103"/>
      <c r="W3047" s="101"/>
    </row>
    <row r="3048" spans="1:23" x14ac:dyDescent="0.25">
      <c r="A3048" s="98"/>
      <c r="H3048" s="101"/>
      <c r="I3048" s="101"/>
      <c r="J3048" s="101"/>
      <c r="K3048" s="101"/>
      <c r="L3048" s="101"/>
      <c r="M3048" s="101"/>
      <c r="N3048" s="101"/>
      <c r="O3048" s="101"/>
      <c r="P3048" s="101"/>
      <c r="Q3048" s="101"/>
      <c r="R3048" s="101"/>
      <c r="S3048" s="110"/>
      <c r="T3048" s="102"/>
      <c r="U3048" s="101"/>
      <c r="V3048" s="103"/>
      <c r="W3048" s="101"/>
    </row>
    <row r="3049" spans="1:23" x14ac:dyDescent="0.25">
      <c r="A3049" s="98"/>
      <c r="H3049" s="101"/>
      <c r="I3049" s="101"/>
      <c r="J3049" s="101"/>
      <c r="K3049" s="101"/>
      <c r="L3049" s="101"/>
      <c r="M3049" s="101"/>
      <c r="N3049" s="101"/>
      <c r="O3049" s="101"/>
      <c r="P3049" s="101"/>
      <c r="Q3049" s="101"/>
      <c r="R3049" s="101"/>
      <c r="S3049" s="110"/>
      <c r="T3049" s="102"/>
      <c r="U3049" s="101"/>
      <c r="V3049" s="103"/>
      <c r="W3049" s="101"/>
    </row>
    <row r="3050" spans="1:23" x14ac:dyDescent="0.25">
      <c r="A3050" s="98"/>
      <c r="H3050" s="101"/>
      <c r="I3050" s="101"/>
      <c r="J3050" s="101"/>
      <c r="K3050" s="101"/>
      <c r="L3050" s="101"/>
      <c r="M3050" s="101"/>
      <c r="N3050" s="101"/>
      <c r="O3050" s="101"/>
      <c r="P3050" s="101"/>
      <c r="Q3050" s="101"/>
      <c r="R3050" s="101"/>
      <c r="S3050" s="110"/>
      <c r="T3050" s="102"/>
      <c r="U3050" s="101"/>
      <c r="V3050" s="103"/>
      <c r="W3050" s="101"/>
    </row>
    <row r="3051" spans="1:23" x14ac:dyDescent="0.25">
      <c r="A3051" s="98"/>
      <c r="H3051" s="101"/>
      <c r="I3051" s="101"/>
      <c r="J3051" s="101"/>
      <c r="K3051" s="101"/>
      <c r="L3051" s="101"/>
      <c r="M3051" s="101"/>
      <c r="N3051" s="101"/>
      <c r="O3051" s="101"/>
      <c r="P3051" s="101"/>
      <c r="Q3051" s="101"/>
      <c r="R3051" s="101"/>
      <c r="S3051" s="110"/>
      <c r="T3051" s="102"/>
      <c r="U3051" s="101"/>
      <c r="V3051" s="103"/>
      <c r="W3051" s="101"/>
    </row>
    <row r="3052" spans="1:23" x14ac:dyDescent="0.25">
      <c r="A3052" s="98"/>
      <c r="H3052" s="101"/>
      <c r="I3052" s="101"/>
      <c r="J3052" s="101"/>
      <c r="K3052" s="101"/>
      <c r="L3052" s="101"/>
      <c r="M3052" s="101"/>
      <c r="N3052" s="101"/>
      <c r="O3052" s="101"/>
      <c r="P3052" s="101"/>
      <c r="Q3052" s="101"/>
      <c r="R3052" s="101"/>
      <c r="S3052" s="110"/>
      <c r="T3052" s="102"/>
      <c r="U3052" s="101"/>
      <c r="V3052" s="103"/>
      <c r="W3052" s="101"/>
    </row>
    <row r="3053" spans="1:23" x14ac:dyDescent="0.25">
      <c r="A3053" s="98"/>
      <c r="H3053" s="101"/>
      <c r="I3053" s="101"/>
      <c r="J3053" s="101"/>
      <c r="K3053" s="101"/>
      <c r="L3053" s="101"/>
      <c r="M3053" s="101"/>
      <c r="N3053" s="101"/>
      <c r="O3053" s="101"/>
      <c r="P3053" s="101"/>
      <c r="Q3053" s="101"/>
      <c r="R3053" s="101"/>
      <c r="S3053" s="110"/>
      <c r="T3053" s="102"/>
      <c r="U3053" s="101"/>
      <c r="V3053" s="103"/>
      <c r="W3053" s="101"/>
    </row>
    <row r="3054" spans="1:23" x14ac:dyDescent="0.25">
      <c r="A3054" s="98"/>
      <c r="H3054" s="101"/>
      <c r="I3054" s="101"/>
      <c r="J3054" s="101"/>
      <c r="K3054" s="101"/>
      <c r="L3054" s="101"/>
      <c r="M3054" s="101"/>
      <c r="N3054" s="101"/>
      <c r="O3054" s="101"/>
      <c r="P3054" s="101"/>
      <c r="Q3054" s="101"/>
      <c r="R3054" s="101"/>
      <c r="S3054" s="110"/>
      <c r="T3054" s="102"/>
      <c r="U3054" s="101"/>
      <c r="V3054" s="103"/>
      <c r="W3054" s="101"/>
    </row>
    <row r="3055" spans="1:23" x14ac:dyDescent="0.25">
      <c r="A3055" s="98"/>
      <c r="H3055" s="101"/>
      <c r="I3055" s="101"/>
      <c r="J3055" s="101"/>
      <c r="K3055" s="101"/>
      <c r="L3055" s="101"/>
      <c r="M3055" s="101"/>
      <c r="N3055" s="101"/>
      <c r="O3055" s="101"/>
      <c r="P3055" s="101"/>
      <c r="Q3055" s="101"/>
      <c r="R3055" s="101"/>
      <c r="S3055" s="110"/>
      <c r="T3055" s="102"/>
      <c r="U3055" s="101"/>
      <c r="V3055" s="103"/>
      <c r="W3055" s="101"/>
    </row>
    <row r="3056" spans="1:23" x14ac:dyDescent="0.25">
      <c r="A3056" s="98"/>
      <c r="H3056" s="101"/>
      <c r="I3056" s="101"/>
      <c r="J3056" s="101"/>
      <c r="K3056" s="101"/>
      <c r="L3056" s="101"/>
      <c r="M3056" s="101"/>
      <c r="N3056" s="101"/>
      <c r="O3056" s="101"/>
      <c r="P3056" s="101"/>
      <c r="Q3056" s="101"/>
      <c r="R3056" s="101"/>
      <c r="S3056" s="110"/>
      <c r="T3056" s="102"/>
      <c r="U3056" s="101"/>
      <c r="V3056" s="103"/>
      <c r="W3056" s="101"/>
    </row>
    <row r="3057" spans="1:23" x14ac:dyDescent="0.25">
      <c r="A3057" s="98"/>
      <c r="H3057" s="101"/>
      <c r="I3057" s="101"/>
      <c r="J3057" s="101"/>
      <c r="K3057" s="101"/>
      <c r="L3057" s="101"/>
      <c r="M3057" s="101"/>
      <c r="N3057" s="101"/>
      <c r="O3057" s="101"/>
      <c r="P3057" s="101"/>
      <c r="Q3057" s="101"/>
      <c r="R3057" s="101"/>
      <c r="S3057" s="110"/>
      <c r="T3057" s="102"/>
      <c r="U3057" s="101"/>
      <c r="V3057" s="103"/>
      <c r="W3057" s="101"/>
    </row>
    <row r="3058" spans="1:23" x14ac:dyDescent="0.25">
      <c r="A3058" s="98"/>
      <c r="H3058" s="101"/>
      <c r="I3058" s="101"/>
      <c r="J3058" s="101"/>
      <c r="K3058" s="101"/>
      <c r="L3058" s="101"/>
      <c r="M3058" s="101"/>
      <c r="N3058" s="101"/>
      <c r="O3058" s="101"/>
      <c r="P3058" s="101"/>
      <c r="Q3058" s="101"/>
      <c r="R3058" s="101"/>
      <c r="S3058" s="110"/>
      <c r="T3058" s="102"/>
      <c r="U3058" s="101"/>
      <c r="V3058" s="103"/>
      <c r="W3058" s="101"/>
    </row>
    <row r="3059" spans="1:23" x14ac:dyDescent="0.25">
      <c r="A3059" s="98"/>
      <c r="H3059" s="101"/>
      <c r="I3059" s="101"/>
      <c r="J3059" s="101"/>
      <c r="K3059" s="101"/>
      <c r="L3059" s="101"/>
      <c r="M3059" s="101"/>
      <c r="N3059" s="101"/>
      <c r="O3059" s="101"/>
      <c r="P3059" s="101"/>
      <c r="Q3059" s="101"/>
      <c r="R3059" s="101"/>
      <c r="S3059" s="110"/>
      <c r="T3059" s="102"/>
      <c r="U3059" s="101"/>
      <c r="V3059" s="103"/>
      <c r="W3059" s="101"/>
    </row>
    <row r="3060" spans="1:23" x14ac:dyDescent="0.25">
      <c r="A3060" s="98"/>
      <c r="H3060" s="101"/>
      <c r="I3060" s="101"/>
      <c r="J3060" s="101"/>
      <c r="K3060" s="101"/>
      <c r="L3060" s="101"/>
      <c r="M3060" s="101"/>
      <c r="N3060" s="101"/>
      <c r="O3060" s="101"/>
      <c r="P3060" s="101"/>
      <c r="Q3060" s="101"/>
      <c r="R3060" s="101"/>
      <c r="S3060" s="110"/>
      <c r="T3060" s="102"/>
      <c r="U3060" s="101"/>
      <c r="V3060" s="103"/>
      <c r="W3060" s="101"/>
    </row>
    <row r="3061" spans="1:23" x14ac:dyDescent="0.25">
      <c r="A3061" s="98"/>
      <c r="H3061" s="101"/>
      <c r="I3061" s="101"/>
      <c r="J3061" s="101"/>
      <c r="K3061" s="101"/>
      <c r="L3061" s="101"/>
      <c r="M3061" s="101"/>
      <c r="N3061" s="101"/>
      <c r="O3061" s="101"/>
      <c r="P3061" s="101"/>
      <c r="Q3061" s="101"/>
      <c r="R3061" s="101"/>
      <c r="S3061" s="110"/>
      <c r="T3061" s="102"/>
      <c r="U3061" s="101"/>
      <c r="V3061" s="103"/>
      <c r="W3061" s="101"/>
    </row>
    <row r="3062" spans="1:23" x14ac:dyDescent="0.25">
      <c r="A3062" s="98"/>
      <c r="H3062" s="101"/>
      <c r="I3062" s="101"/>
      <c r="J3062" s="101"/>
      <c r="K3062" s="101"/>
      <c r="L3062" s="101"/>
      <c r="M3062" s="101"/>
      <c r="N3062" s="101"/>
      <c r="O3062" s="101"/>
      <c r="P3062" s="101"/>
      <c r="Q3062" s="101"/>
      <c r="R3062" s="101"/>
      <c r="S3062" s="110"/>
      <c r="T3062" s="102"/>
      <c r="U3062" s="101"/>
      <c r="V3062" s="103"/>
      <c r="W3062" s="101"/>
    </row>
    <row r="3063" spans="1:23" x14ac:dyDescent="0.25">
      <c r="A3063" s="98"/>
      <c r="H3063" s="101"/>
      <c r="I3063" s="101"/>
      <c r="J3063" s="101"/>
      <c r="K3063" s="101"/>
      <c r="L3063" s="101"/>
      <c r="M3063" s="101"/>
      <c r="N3063" s="101"/>
      <c r="O3063" s="101"/>
      <c r="P3063" s="101"/>
      <c r="Q3063" s="101"/>
      <c r="R3063" s="101"/>
      <c r="S3063" s="110"/>
      <c r="T3063" s="102"/>
      <c r="U3063" s="101"/>
      <c r="V3063" s="103"/>
      <c r="W3063" s="101"/>
    </row>
    <row r="3064" spans="1:23" x14ac:dyDescent="0.25">
      <c r="A3064" s="98"/>
      <c r="H3064" s="101"/>
      <c r="I3064" s="101"/>
      <c r="J3064" s="101"/>
      <c r="K3064" s="101"/>
      <c r="L3064" s="101"/>
      <c r="M3064" s="101"/>
      <c r="N3064" s="101"/>
      <c r="O3064" s="101"/>
      <c r="P3064" s="101"/>
      <c r="Q3064" s="101"/>
      <c r="R3064" s="101"/>
      <c r="S3064" s="110"/>
      <c r="T3064" s="102"/>
      <c r="U3064" s="101"/>
      <c r="V3064" s="103"/>
      <c r="W3064" s="101"/>
    </row>
    <row r="3065" spans="1:23" x14ac:dyDescent="0.25">
      <c r="A3065" s="98"/>
      <c r="H3065" s="101"/>
      <c r="I3065" s="101"/>
      <c r="J3065" s="101"/>
      <c r="K3065" s="101"/>
      <c r="L3065" s="101"/>
      <c r="M3065" s="101"/>
      <c r="N3065" s="101"/>
      <c r="O3065" s="101"/>
      <c r="P3065" s="101"/>
      <c r="Q3065" s="101"/>
      <c r="R3065" s="101"/>
      <c r="S3065" s="110"/>
      <c r="T3065" s="102"/>
      <c r="U3065" s="101"/>
      <c r="V3065" s="103"/>
      <c r="W3065" s="101"/>
    </row>
    <row r="3066" spans="1:23" x14ac:dyDescent="0.25">
      <c r="A3066" s="98"/>
      <c r="H3066" s="101"/>
      <c r="I3066" s="101"/>
      <c r="J3066" s="101"/>
      <c r="K3066" s="101"/>
      <c r="L3066" s="101"/>
      <c r="M3066" s="101"/>
      <c r="N3066" s="101"/>
      <c r="O3066" s="101"/>
      <c r="P3066" s="101"/>
      <c r="Q3066" s="101"/>
      <c r="R3066" s="101"/>
      <c r="S3066" s="110"/>
      <c r="T3066" s="102"/>
      <c r="U3066" s="101"/>
      <c r="V3066" s="103"/>
      <c r="W3066" s="101"/>
    </row>
    <row r="3067" spans="1:23" x14ac:dyDescent="0.25">
      <c r="A3067" s="98"/>
      <c r="H3067" s="101"/>
      <c r="I3067" s="101"/>
      <c r="J3067" s="101"/>
      <c r="K3067" s="101"/>
      <c r="L3067" s="101"/>
      <c r="M3067" s="101"/>
      <c r="N3067" s="101"/>
      <c r="O3067" s="101"/>
      <c r="P3067" s="101"/>
      <c r="Q3067" s="101"/>
      <c r="R3067" s="101"/>
      <c r="S3067" s="110"/>
      <c r="T3067" s="102"/>
      <c r="U3067" s="101"/>
      <c r="V3067" s="103"/>
      <c r="W3067" s="101"/>
    </row>
    <row r="3068" spans="1:23" x14ac:dyDescent="0.25">
      <c r="A3068" s="98"/>
      <c r="H3068" s="101"/>
      <c r="I3068" s="101"/>
      <c r="J3068" s="101"/>
      <c r="K3068" s="101"/>
      <c r="L3068" s="101"/>
      <c r="M3068" s="101"/>
      <c r="N3068" s="101"/>
      <c r="O3068" s="101"/>
      <c r="P3068" s="101"/>
      <c r="Q3068" s="101"/>
      <c r="R3068" s="101"/>
      <c r="S3068" s="110"/>
      <c r="T3068" s="102"/>
      <c r="U3068" s="101"/>
      <c r="V3068" s="103"/>
      <c r="W3068" s="101"/>
    </row>
    <row r="3069" spans="1:23" x14ac:dyDescent="0.25">
      <c r="A3069" s="98"/>
      <c r="H3069" s="101"/>
      <c r="I3069" s="101"/>
      <c r="J3069" s="101"/>
      <c r="K3069" s="101"/>
      <c r="L3069" s="101"/>
      <c r="M3069" s="101"/>
      <c r="N3069" s="101"/>
      <c r="O3069" s="101"/>
      <c r="P3069" s="101"/>
      <c r="Q3069" s="101"/>
      <c r="R3069" s="101"/>
      <c r="S3069" s="110"/>
      <c r="T3069" s="102"/>
      <c r="U3069" s="101"/>
      <c r="V3069" s="103"/>
      <c r="W3069" s="101"/>
    </row>
    <row r="3070" spans="1:23" x14ac:dyDescent="0.25">
      <c r="A3070" s="98"/>
      <c r="H3070" s="101"/>
      <c r="I3070" s="101"/>
      <c r="J3070" s="101"/>
      <c r="K3070" s="101"/>
      <c r="L3070" s="101"/>
      <c r="M3070" s="101"/>
      <c r="N3070" s="101"/>
      <c r="O3070" s="101"/>
      <c r="P3070" s="101"/>
      <c r="Q3070" s="101"/>
      <c r="R3070" s="101"/>
      <c r="S3070" s="110"/>
      <c r="T3070" s="102"/>
      <c r="U3070" s="101"/>
      <c r="V3070" s="103"/>
      <c r="W3070" s="101"/>
    </row>
    <row r="3071" spans="1:23" x14ac:dyDescent="0.25">
      <c r="A3071" s="98"/>
      <c r="H3071" s="101"/>
      <c r="I3071" s="101"/>
      <c r="J3071" s="101"/>
      <c r="K3071" s="101"/>
      <c r="L3071" s="101"/>
      <c r="M3071" s="101"/>
      <c r="N3071" s="101"/>
      <c r="O3071" s="101"/>
      <c r="P3071" s="101"/>
      <c r="Q3071" s="101"/>
      <c r="R3071" s="101"/>
      <c r="S3071" s="110"/>
      <c r="T3071" s="102"/>
      <c r="U3071" s="101"/>
      <c r="V3071" s="103"/>
      <c r="W3071" s="101"/>
    </row>
    <row r="3072" spans="1:23" x14ac:dyDescent="0.25">
      <c r="A3072" s="98"/>
      <c r="H3072" s="101"/>
      <c r="I3072" s="101"/>
      <c r="J3072" s="101"/>
      <c r="K3072" s="101"/>
      <c r="L3072" s="101"/>
      <c r="M3072" s="101"/>
      <c r="N3072" s="101"/>
      <c r="O3072" s="101"/>
      <c r="P3072" s="101"/>
      <c r="Q3072" s="101"/>
      <c r="R3072" s="101"/>
      <c r="S3072" s="110"/>
      <c r="T3072" s="102"/>
      <c r="U3072" s="101"/>
      <c r="V3072" s="103"/>
      <c r="W3072" s="101"/>
    </row>
    <row r="3073" spans="1:23" x14ac:dyDescent="0.25">
      <c r="A3073" s="98"/>
      <c r="H3073" s="101"/>
      <c r="I3073" s="101"/>
      <c r="J3073" s="101"/>
      <c r="K3073" s="101"/>
      <c r="L3073" s="101"/>
      <c r="M3073" s="101"/>
      <c r="N3073" s="101"/>
      <c r="O3073" s="101"/>
      <c r="P3073" s="101"/>
      <c r="Q3073" s="101"/>
      <c r="R3073" s="101"/>
      <c r="S3073" s="110"/>
      <c r="T3073" s="102"/>
      <c r="U3073" s="101"/>
      <c r="V3073" s="103"/>
      <c r="W3073" s="101"/>
    </row>
    <row r="3074" spans="1:23" x14ac:dyDescent="0.25">
      <c r="A3074" s="98"/>
      <c r="H3074" s="101"/>
      <c r="I3074" s="101"/>
      <c r="J3074" s="101"/>
      <c r="K3074" s="101"/>
      <c r="L3074" s="101"/>
      <c r="M3074" s="101"/>
      <c r="N3074" s="101"/>
      <c r="O3074" s="101"/>
      <c r="P3074" s="101"/>
      <c r="Q3074" s="101"/>
      <c r="R3074" s="101"/>
      <c r="S3074" s="110"/>
      <c r="T3074" s="102"/>
      <c r="U3074" s="101"/>
      <c r="V3074" s="103"/>
      <c r="W3074" s="101"/>
    </row>
    <row r="3075" spans="1:23" x14ac:dyDescent="0.25">
      <c r="A3075" s="98"/>
      <c r="H3075" s="101"/>
      <c r="I3075" s="101"/>
      <c r="J3075" s="101"/>
      <c r="K3075" s="101"/>
      <c r="L3075" s="101"/>
      <c r="M3075" s="101"/>
      <c r="N3075" s="101"/>
      <c r="O3075" s="101"/>
      <c r="P3075" s="101"/>
      <c r="Q3075" s="101"/>
      <c r="R3075" s="101"/>
      <c r="S3075" s="110"/>
      <c r="T3075" s="102"/>
      <c r="U3075" s="101"/>
      <c r="V3075" s="103"/>
      <c r="W3075" s="101"/>
    </row>
    <row r="3076" spans="1:23" x14ac:dyDescent="0.25">
      <c r="A3076" s="98"/>
      <c r="H3076" s="101"/>
      <c r="I3076" s="101"/>
      <c r="J3076" s="101"/>
      <c r="K3076" s="101"/>
      <c r="L3076" s="101"/>
      <c r="M3076" s="101"/>
      <c r="N3076" s="101"/>
      <c r="O3076" s="101"/>
      <c r="P3076" s="101"/>
      <c r="Q3076" s="101"/>
      <c r="R3076" s="101"/>
      <c r="S3076" s="110"/>
      <c r="T3076" s="102"/>
      <c r="U3076" s="101"/>
      <c r="V3076" s="103"/>
      <c r="W3076" s="101"/>
    </row>
    <row r="3077" spans="1:23" x14ac:dyDescent="0.25">
      <c r="A3077" s="98"/>
      <c r="H3077" s="101"/>
      <c r="I3077" s="101"/>
      <c r="J3077" s="101"/>
      <c r="K3077" s="101"/>
      <c r="L3077" s="101"/>
      <c r="M3077" s="101"/>
      <c r="N3077" s="101"/>
      <c r="O3077" s="101"/>
      <c r="P3077" s="101"/>
      <c r="Q3077" s="101"/>
      <c r="R3077" s="101"/>
      <c r="S3077" s="110"/>
      <c r="T3077" s="102"/>
      <c r="U3077" s="101"/>
      <c r="V3077" s="103"/>
      <c r="W3077" s="101"/>
    </row>
    <row r="3078" spans="1:23" x14ac:dyDescent="0.25">
      <c r="A3078" s="98"/>
      <c r="H3078" s="101"/>
      <c r="I3078" s="101"/>
      <c r="J3078" s="101"/>
      <c r="K3078" s="101"/>
      <c r="L3078" s="101"/>
      <c r="M3078" s="101"/>
      <c r="N3078" s="101"/>
      <c r="O3078" s="101"/>
      <c r="P3078" s="101"/>
      <c r="Q3078" s="101"/>
      <c r="R3078" s="101"/>
      <c r="S3078" s="110"/>
      <c r="T3078" s="102"/>
      <c r="U3078" s="101"/>
      <c r="V3078" s="103"/>
      <c r="W3078" s="101"/>
    </row>
    <row r="3079" spans="1:23" x14ac:dyDescent="0.25">
      <c r="A3079" s="98"/>
      <c r="H3079" s="101"/>
      <c r="I3079" s="101"/>
      <c r="J3079" s="101"/>
      <c r="K3079" s="101"/>
      <c r="L3079" s="101"/>
      <c r="M3079" s="101"/>
      <c r="N3079" s="101"/>
      <c r="O3079" s="101"/>
      <c r="P3079" s="101"/>
      <c r="Q3079" s="101"/>
      <c r="R3079" s="101"/>
      <c r="S3079" s="110"/>
      <c r="T3079" s="102"/>
      <c r="U3079" s="101"/>
      <c r="V3079" s="103"/>
      <c r="W3079" s="101"/>
    </row>
    <row r="3080" spans="1:23" x14ac:dyDescent="0.25">
      <c r="A3080" s="98"/>
      <c r="H3080" s="101"/>
      <c r="I3080" s="101"/>
      <c r="J3080" s="101"/>
      <c r="K3080" s="101"/>
      <c r="L3080" s="101"/>
      <c r="M3080" s="101"/>
      <c r="N3080" s="101"/>
      <c r="O3080" s="101"/>
      <c r="P3080" s="101"/>
      <c r="Q3080" s="101"/>
      <c r="R3080" s="101"/>
      <c r="S3080" s="110"/>
      <c r="T3080" s="102"/>
      <c r="U3080" s="101"/>
      <c r="V3080" s="103"/>
      <c r="W3080" s="101"/>
    </row>
    <row r="3081" spans="1:23" x14ac:dyDescent="0.25">
      <c r="A3081" s="98"/>
      <c r="H3081" s="101"/>
      <c r="I3081" s="101"/>
      <c r="J3081" s="101"/>
      <c r="K3081" s="101"/>
      <c r="L3081" s="101"/>
      <c r="M3081" s="101"/>
      <c r="N3081" s="101"/>
      <c r="O3081" s="101"/>
      <c r="P3081" s="101"/>
      <c r="Q3081" s="101"/>
      <c r="R3081" s="101"/>
      <c r="S3081" s="110"/>
      <c r="T3081" s="102"/>
      <c r="U3081" s="101"/>
      <c r="V3081" s="103"/>
      <c r="W3081" s="101"/>
    </row>
    <row r="3082" spans="1:23" x14ac:dyDescent="0.25">
      <c r="A3082" s="98"/>
      <c r="H3082" s="101"/>
      <c r="I3082" s="101"/>
      <c r="J3082" s="101"/>
      <c r="K3082" s="101"/>
      <c r="L3082" s="101"/>
      <c r="M3082" s="101"/>
      <c r="N3082" s="101"/>
      <c r="O3082" s="101"/>
      <c r="P3082" s="101"/>
      <c r="Q3082" s="101"/>
      <c r="R3082" s="101"/>
      <c r="S3082" s="110"/>
      <c r="T3082" s="102"/>
      <c r="U3082" s="101"/>
      <c r="V3082" s="103"/>
      <c r="W3082" s="101"/>
    </row>
    <row r="3083" spans="1:23" x14ac:dyDescent="0.25">
      <c r="A3083" s="98"/>
      <c r="H3083" s="101"/>
      <c r="I3083" s="101"/>
      <c r="J3083" s="101"/>
      <c r="K3083" s="101"/>
      <c r="L3083" s="101"/>
      <c r="M3083" s="101"/>
      <c r="N3083" s="101"/>
      <c r="O3083" s="101"/>
      <c r="P3083" s="101"/>
      <c r="Q3083" s="101"/>
      <c r="R3083" s="101"/>
      <c r="S3083" s="110"/>
      <c r="T3083" s="102"/>
      <c r="U3083" s="101"/>
      <c r="V3083" s="103"/>
      <c r="W3083" s="101"/>
    </row>
    <row r="3084" spans="1:23" x14ac:dyDescent="0.25">
      <c r="A3084" s="98"/>
      <c r="H3084" s="101"/>
      <c r="I3084" s="101"/>
      <c r="J3084" s="101"/>
      <c r="K3084" s="101"/>
      <c r="L3084" s="101"/>
      <c r="M3084" s="101"/>
      <c r="N3084" s="101"/>
      <c r="O3084" s="101"/>
      <c r="P3084" s="101"/>
      <c r="Q3084" s="101"/>
      <c r="R3084" s="101"/>
      <c r="S3084" s="110"/>
      <c r="T3084" s="102"/>
      <c r="U3084" s="101"/>
      <c r="V3084" s="103"/>
      <c r="W3084" s="101"/>
    </row>
    <row r="3085" spans="1:23" x14ac:dyDescent="0.25">
      <c r="A3085" s="98"/>
      <c r="H3085" s="101"/>
      <c r="I3085" s="101"/>
      <c r="J3085" s="101"/>
      <c r="K3085" s="101"/>
      <c r="L3085" s="101"/>
      <c r="M3085" s="101"/>
      <c r="N3085" s="101"/>
      <c r="O3085" s="101"/>
      <c r="P3085" s="101"/>
      <c r="Q3085" s="101"/>
      <c r="R3085" s="101"/>
      <c r="S3085" s="110"/>
      <c r="T3085" s="102"/>
      <c r="U3085" s="101"/>
      <c r="V3085" s="103"/>
      <c r="W3085" s="101"/>
    </row>
    <row r="3086" spans="1:23" x14ac:dyDescent="0.25">
      <c r="A3086" s="98"/>
      <c r="H3086" s="101"/>
      <c r="I3086" s="101"/>
      <c r="J3086" s="101"/>
      <c r="K3086" s="101"/>
      <c r="L3086" s="101"/>
      <c r="M3086" s="101"/>
      <c r="N3086" s="101"/>
      <c r="O3086" s="101"/>
      <c r="P3086" s="101"/>
      <c r="Q3086" s="101"/>
      <c r="R3086" s="101"/>
      <c r="S3086" s="110"/>
      <c r="T3086" s="102"/>
      <c r="U3086" s="101"/>
      <c r="V3086" s="103"/>
      <c r="W3086" s="101"/>
    </row>
    <row r="3087" spans="1:23" x14ac:dyDescent="0.25">
      <c r="A3087" s="98"/>
      <c r="H3087" s="101"/>
      <c r="I3087" s="101"/>
      <c r="J3087" s="101"/>
      <c r="K3087" s="101"/>
      <c r="L3087" s="101"/>
      <c r="M3087" s="101"/>
      <c r="N3087" s="101"/>
      <c r="O3087" s="101"/>
      <c r="P3087" s="101"/>
      <c r="Q3087" s="101"/>
      <c r="R3087" s="101"/>
      <c r="S3087" s="110"/>
      <c r="T3087" s="102"/>
      <c r="U3087" s="101"/>
      <c r="V3087" s="103"/>
      <c r="W3087" s="101"/>
    </row>
    <row r="3088" spans="1:23" x14ac:dyDescent="0.25">
      <c r="A3088" s="98"/>
      <c r="H3088" s="101"/>
      <c r="I3088" s="101"/>
      <c r="J3088" s="101"/>
      <c r="K3088" s="101"/>
      <c r="L3088" s="101"/>
      <c r="M3088" s="101"/>
      <c r="N3088" s="101"/>
      <c r="O3088" s="101"/>
      <c r="P3088" s="101"/>
      <c r="Q3088" s="101"/>
      <c r="R3088" s="101"/>
      <c r="S3088" s="110"/>
      <c r="T3088" s="102"/>
      <c r="U3088" s="101"/>
      <c r="V3088" s="103"/>
      <c r="W3088" s="101"/>
    </row>
    <row r="3089" spans="1:23" x14ac:dyDescent="0.25">
      <c r="A3089" s="98"/>
      <c r="H3089" s="101"/>
      <c r="I3089" s="101"/>
      <c r="J3089" s="101"/>
      <c r="K3089" s="101"/>
      <c r="L3089" s="101"/>
      <c r="M3089" s="101"/>
      <c r="N3089" s="101"/>
      <c r="O3089" s="101"/>
      <c r="P3089" s="101"/>
      <c r="Q3089" s="101"/>
      <c r="R3089" s="101"/>
      <c r="S3089" s="110"/>
      <c r="T3089" s="102"/>
      <c r="U3089" s="101"/>
      <c r="V3089" s="103"/>
      <c r="W3089" s="101"/>
    </row>
    <row r="3090" spans="1:23" x14ac:dyDescent="0.25">
      <c r="A3090" s="98"/>
      <c r="H3090" s="101"/>
      <c r="I3090" s="101"/>
      <c r="J3090" s="101"/>
      <c r="K3090" s="101"/>
      <c r="L3090" s="101"/>
      <c r="M3090" s="101"/>
      <c r="N3090" s="101"/>
      <c r="O3090" s="101"/>
      <c r="P3090" s="101"/>
      <c r="Q3090" s="101"/>
      <c r="R3090" s="101"/>
      <c r="S3090" s="110"/>
      <c r="T3090" s="102"/>
      <c r="U3090" s="101"/>
      <c r="V3090" s="103"/>
      <c r="W3090" s="101"/>
    </row>
    <row r="3091" spans="1:23" x14ac:dyDescent="0.25">
      <c r="A3091" s="98"/>
      <c r="H3091" s="101"/>
      <c r="I3091" s="101"/>
      <c r="J3091" s="101"/>
      <c r="K3091" s="101"/>
      <c r="L3091" s="101"/>
      <c r="M3091" s="101"/>
      <c r="N3091" s="101"/>
      <c r="O3091" s="101"/>
      <c r="P3091" s="101"/>
      <c r="Q3091" s="101"/>
      <c r="R3091" s="101"/>
      <c r="S3091" s="110"/>
      <c r="T3091" s="102"/>
      <c r="U3091" s="101"/>
      <c r="V3091" s="103"/>
      <c r="W3091" s="101"/>
    </row>
    <row r="3092" spans="1:23" x14ac:dyDescent="0.25">
      <c r="A3092" s="98"/>
      <c r="H3092" s="101"/>
      <c r="I3092" s="101"/>
      <c r="J3092" s="101"/>
      <c r="K3092" s="101"/>
      <c r="L3092" s="101"/>
      <c r="M3092" s="101"/>
      <c r="N3092" s="101"/>
      <c r="O3092" s="101"/>
      <c r="P3092" s="101"/>
      <c r="Q3092" s="101"/>
      <c r="R3092" s="101"/>
      <c r="S3092" s="110"/>
      <c r="T3092" s="102"/>
      <c r="U3092" s="101"/>
      <c r="V3092" s="103"/>
      <c r="W3092" s="101"/>
    </row>
    <row r="3093" spans="1:23" x14ac:dyDescent="0.25">
      <c r="A3093" s="98"/>
      <c r="H3093" s="101"/>
      <c r="I3093" s="101"/>
      <c r="J3093" s="101"/>
      <c r="K3093" s="101"/>
      <c r="L3093" s="101"/>
      <c r="M3093" s="101"/>
      <c r="N3093" s="101"/>
      <c r="O3093" s="101"/>
      <c r="P3093" s="101"/>
      <c r="Q3093" s="101"/>
      <c r="R3093" s="101"/>
      <c r="S3093" s="110"/>
      <c r="T3093" s="102"/>
      <c r="U3093" s="101"/>
      <c r="V3093" s="103"/>
      <c r="W3093" s="101"/>
    </row>
    <row r="3094" spans="1:23" x14ac:dyDescent="0.25">
      <c r="A3094" s="98"/>
      <c r="H3094" s="101"/>
      <c r="I3094" s="101"/>
      <c r="J3094" s="101"/>
      <c r="K3094" s="101"/>
      <c r="L3094" s="101"/>
      <c r="M3094" s="101"/>
      <c r="N3094" s="101"/>
      <c r="O3094" s="101"/>
      <c r="P3094" s="101"/>
      <c r="Q3094" s="101"/>
      <c r="R3094" s="101"/>
      <c r="S3094" s="110"/>
      <c r="T3094" s="102"/>
      <c r="U3094" s="101"/>
      <c r="V3094" s="103"/>
      <c r="W3094" s="101"/>
    </row>
    <row r="3095" spans="1:23" x14ac:dyDescent="0.25">
      <c r="A3095" s="98"/>
      <c r="H3095" s="101"/>
      <c r="I3095" s="101"/>
      <c r="J3095" s="101"/>
      <c r="K3095" s="101"/>
      <c r="L3095" s="101"/>
      <c r="M3095" s="101"/>
      <c r="N3095" s="101"/>
      <c r="O3095" s="101"/>
      <c r="P3095" s="101"/>
      <c r="Q3095" s="101"/>
      <c r="R3095" s="101"/>
      <c r="S3095" s="110"/>
      <c r="T3095" s="102"/>
      <c r="U3095" s="101"/>
      <c r="V3095" s="103"/>
      <c r="W3095" s="101"/>
    </row>
    <row r="3096" spans="1:23" x14ac:dyDescent="0.25">
      <c r="A3096" s="98"/>
      <c r="H3096" s="101"/>
      <c r="I3096" s="101"/>
      <c r="J3096" s="101"/>
      <c r="K3096" s="101"/>
      <c r="L3096" s="101"/>
      <c r="M3096" s="101"/>
      <c r="N3096" s="101"/>
      <c r="O3096" s="101"/>
      <c r="P3096" s="101"/>
      <c r="Q3096" s="101"/>
      <c r="R3096" s="101"/>
      <c r="S3096" s="110"/>
      <c r="T3096" s="102"/>
      <c r="U3096" s="101"/>
      <c r="V3096" s="103"/>
      <c r="W3096" s="101"/>
    </row>
    <row r="3097" spans="1:23" x14ac:dyDescent="0.25">
      <c r="A3097" s="98"/>
      <c r="H3097" s="101"/>
      <c r="I3097" s="101"/>
      <c r="J3097" s="101"/>
      <c r="K3097" s="101"/>
      <c r="L3097" s="101"/>
      <c r="M3097" s="101"/>
      <c r="N3097" s="101"/>
      <c r="O3097" s="101"/>
      <c r="P3097" s="101"/>
      <c r="Q3097" s="101"/>
      <c r="R3097" s="101"/>
      <c r="S3097" s="110"/>
      <c r="T3097" s="102"/>
      <c r="U3097" s="101"/>
      <c r="V3097" s="103"/>
      <c r="W3097" s="101"/>
    </row>
    <row r="3098" spans="1:23" x14ac:dyDescent="0.25">
      <c r="A3098" s="98"/>
      <c r="H3098" s="101"/>
      <c r="I3098" s="101"/>
      <c r="J3098" s="101"/>
      <c r="K3098" s="101"/>
      <c r="L3098" s="101"/>
      <c r="M3098" s="101"/>
      <c r="N3098" s="101"/>
      <c r="O3098" s="101"/>
      <c r="P3098" s="101"/>
      <c r="Q3098" s="101"/>
      <c r="R3098" s="101"/>
      <c r="S3098" s="110"/>
      <c r="T3098" s="102"/>
      <c r="U3098" s="101"/>
      <c r="V3098" s="103"/>
      <c r="W3098" s="101"/>
    </row>
    <row r="3099" spans="1:23" x14ac:dyDescent="0.25">
      <c r="A3099" s="98"/>
      <c r="H3099" s="101"/>
      <c r="I3099" s="101"/>
      <c r="J3099" s="101"/>
      <c r="K3099" s="101"/>
      <c r="L3099" s="101"/>
      <c r="M3099" s="101"/>
      <c r="N3099" s="101"/>
      <c r="O3099" s="101"/>
      <c r="P3099" s="101"/>
      <c r="Q3099" s="101"/>
      <c r="R3099" s="101"/>
      <c r="S3099" s="110"/>
      <c r="T3099" s="102"/>
      <c r="U3099" s="101"/>
      <c r="V3099" s="103"/>
      <c r="W3099" s="101"/>
    </row>
    <row r="3100" spans="1:23" x14ac:dyDescent="0.25">
      <c r="A3100" s="98"/>
      <c r="H3100" s="101"/>
      <c r="I3100" s="101"/>
      <c r="J3100" s="101"/>
      <c r="K3100" s="101"/>
      <c r="L3100" s="101"/>
      <c r="M3100" s="101"/>
      <c r="N3100" s="101"/>
      <c r="O3100" s="101"/>
      <c r="P3100" s="101"/>
      <c r="Q3100" s="101"/>
      <c r="R3100" s="101"/>
      <c r="S3100" s="110"/>
      <c r="T3100" s="102"/>
      <c r="U3100" s="101"/>
      <c r="V3100" s="103"/>
      <c r="W3100" s="101"/>
    </row>
    <row r="3101" spans="1:23" x14ac:dyDescent="0.25">
      <c r="A3101" s="98"/>
      <c r="H3101" s="101"/>
      <c r="I3101" s="101"/>
      <c r="J3101" s="101"/>
      <c r="K3101" s="101"/>
      <c r="L3101" s="101"/>
      <c r="M3101" s="101"/>
      <c r="N3101" s="101"/>
      <c r="O3101" s="101"/>
      <c r="P3101" s="101"/>
      <c r="Q3101" s="101"/>
      <c r="R3101" s="101"/>
      <c r="S3101" s="110"/>
      <c r="T3101" s="102"/>
      <c r="U3101" s="101"/>
      <c r="V3101" s="103"/>
      <c r="W3101" s="101"/>
    </row>
    <row r="3102" spans="1:23" x14ac:dyDescent="0.25">
      <c r="A3102" s="98"/>
      <c r="H3102" s="101"/>
      <c r="I3102" s="101"/>
      <c r="J3102" s="101"/>
      <c r="K3102" s="101"/>
      <c r="L3102" s="101"/>
      <c r="M3102" s="101"/>
      <c r="N3102" s="101"/>
      <c r="O3102" s="101"/>
      <c r="P3102" s="101"/>
      <c r="Q3102" s="101"/>
      <c r="R3102" s="101"/>
      <c r="S3102" s="110"/>
      <c r="T3102" s="102"/>
      <c r="U3102" s="101"/>
      <c r="V3102" s="103"/>
      <c r="W3102" s="101"/>
    </row>
    <row r="3103" spans="1:23" x14ac:dyDescent="0.25">
      <c r="A3103" s="98"/>
      <c r="H3103" s="101"/>
      <c r="I3103" s="101"/>
      <c r="J3103" s="101"/>
      <c r="K3103" s="101"/>
      <c r="L3103" s="101"/>
      <c r="M3103" s="101"/>
      <c r="N3103" s="101"/>
      <c r="O3103" s="101"/>
      <c r="P3103" s="101"/>
      <c r="Q3103" s="101"/>
      <c r="R3103" s="101"/>
      <c r="S3103" s="110"/>
      <c r="T3103" s="102"/>
      <c r="U3103" s="101"/>
      <c r="V3103" s="103"/>
      <c r="W3103" s="101"/>
    </row>
    <row r="3104" spans="1:23" x14ac:dyDescent="0.25">
      <c r="A3104" s="98"/>
      <c r="H3104" s="101"/>
      <c r="I3104" s="101"/>
      <c r="J3104" s="101"/>
      <c r="K3104" s="101"/>
      <c r="L3104" s="101"/>
      <c r="M3104" s="101"/>
      <c r="N3104" s="101"/>
      <c r="O3104" s="101"/>
      <c r="P3104" s="101"/>
      <c r="Q3104" s="101"/>
      <c r="R3104" s="101"/>
      <c r="S3104" s="110"/>
      <c r="T3104" s="102"/>
      <c r="U3104" s="101"/>
      <c r="V3104" s="103"/>
      <c r="W3104" s="101"/>
    </row>
    <row r="3105" spans="1:23" x14ac:dyDescent="0.25">
      <c r="A3105" s="98"/>
      <c r="H3105" s="101"/>
      <c r="I3105" s="101"/>
      <c r="J3105" s="101"/>
      <c r="K3105" s="101"/>
      <c r="L3105" s="101"/>
      <c r="M3105" s="101"/>
      <c r="N3105" s="101"/>
      <c r="O3105" s="101"/>
      <c r="P3105" s="101"/>
      <c r="Q3105" s="101"/>
      <c r="R3105" s="101"/>
      <c r="S3105" s="110"/>
      <c r="T3105" s="102"/>
      <c r="U3105" s="101"/>
      <c r="V3105" s="103"/>
      <c r="W3105" s="101"/>
    </row>
    <row r="3106" spans="1:23" x14ac:dyDescent="0.25">
      <c r="A3106" s="98"/>
      <c r="H3106" s="101"/>
      <c r="I3106" s="101"/>
      <c r="J3106" s="101"/>
      <c r="K3106" s="101"/>
      <c r="L3106" s="101"/>
      <c r="M3106" s="101"/>
      <c r="N3106" s="101"/>
      <c r="O3106" s="101"/>
      <c r="P3106" s="101"/>
      <c r="Q3106" s="101"/>
      <c r="R3106" s="101"/>
      <c r="S3106" s="110"/>
      <c r="T3106" s="102"/>
      <c r="U3106" s="101"/>
      <c r="V3106" s="103"/>
      <c r="W3106" s="101"/>
    </row>
    <row r="3107" spans="1:23" x14ac:dyDescent="0.25">
      <c r="A3107" s="98"/>
      <c r="H3107" s="101"/>
      <c r="I3107" s="101"/>
      <c r="J3107" s="101"/>
      <c r="K3107" s="101"/>
      <c r="L3107" s="101"/>
      <c r="M3107" s="101"/>
      <c r="N3107" s="101"/>
      <c r="O3107" s="101"/>
      <c r="P3107" s="101"/>
      <c r="Q3107" s="101"/>
      <c r="R3107" s="101"/>
      <c r="S3107" s="110"/>
      <c r="T3107" s="102"/>
      <c r="U3107" s="101"/>
      <c r="V3107" s="103"/>
      <c r="W3107" s="101"/>
    </row>
    <row r="3108" spans="1:23" x14ac:dyDescent="0.25">
      <c r="A3108" s="98"/>
      <c r="H3108" s="101"/>
      <c r="I3108" s="101"/>
      <c r="J3108" s="101"/>
      <c r="K3108" s="101"/>
      <c r="L3108" s="101"/>
      <c r="M3108" s="101"/>
      <c r="N3108" s="101"/>
      <c r="O3108" s="101"/>
      <c r="P3108" s="101"/>
      <c r="Q3108" s="101"/>
      <c r="R3108" s="101"/>
      <c r="S3108" s="110"/>
      <c r="T3108" s="102"/>
      <c r="U3108" s="101"/>
      <c r="V3108" s="103"/>
      <c r="W3108" s="101"/>
    </row>
    <row r="3109" spans="1:23" x14ac:dyDescent="0.25">
      <c r="A3109" s="98"/>
      <c r="H3109" s="101"/>
      <c r="I3109" s="101"/>
      <c r="J3109" s="101"/>
      <c r="K3109" s="101"/>
      <c r="L3109" s="101"/>
      <c r="M3109" s="101"/>
      <c r="N3109" s="101"/>
      <c r="O3109" s="101"/>
      <c r="P3109" s="101"/>
      <c r="Q3109" s="101"/>
      <c r="R3109" s="101"/>
      <c r="S3109" s="110"/>
      <c r="T3109" s="102"/>
      <c r="U3109" s="101"/>
      <c r="V3109" s="103"/>
      <c r="W3109" s="101"/>
    </row>
    <row r="3110" spans="1:23" x14ac:dyDescent="0.25">
      <c r="A3110" s="98"/>
      <c r="H3110" s="101"/>
      <c r="I3110" s="101"/>
      <c r="J3110" s="101"/>
      <c r="K3110" s="101"/>
      <c r="L3110" s="101"/>
      <c r="M3110" s="101"/>
      <c r="N3110" s="101"/>
      <c r="O3110" s="101"/>
      <c r="P3110" s="101"/>
      <c r="Q3110" s="101"/>
      <c r="R3110" s="101"/>
      <c r="S3110" s="110"/>
      <c r="T3110" s="102"/>
      <c r="U3110" s="101"/>
      <c r="V3110" s="103"/>
      <c r="W3110" s="101"/>
    </row>
    <row r="3111" spans="1:23" x14ac:dyDescent="0.25">
      <c r="A3111" s="98"/>
      <c r="H3111" s="101"/>
      <c r="I3111" s="101"/>
      <c r="J3111" s="101"/>
      <c r="K3111" s="101"/>
      <c r="L3111" s="101"/>
      <c r="M3111" s="101"/>
      <c r="N3111" s="101"/>
      <c r="O3111" s="101"/>
      <c r="P3111" s="101"/>
      <c r="Q3111" s="101"/>
      <c r="R3111" s="101"/>
      <c r="S3111" s="110"/>
      <c r="T3111" s="102"/>
      <c r="U3111" s="101"/>
      <c r="V3111" s="103"/>
      <c r="W3111" s="101"/>
    </row>
    <row r="3112" spans="1:23" x14ac:dyDescent="0.25">
      <c r="A3112" s="98"/>
      <c r="H3112" s="101"/>
      <c r="I3112" s="101"/>
      <c r="J3112" s="101"/>
      <c r="K3112" s="101"/>
      <c r="L3112" s="101"/>
      <c r="M3112" s="101"/>
      <c r="N3112" s="101"/>
      <c r="O3112" s="101"/>
      <c r="P3112" s="101"/>
      <c r="Q3112" s="101"/>
      <c r="R3112" s="101"/>
      <c r="S3112" s="110"/>
      <c r="T3112" s="102"/>
      <c r="U3112" s="101"/>
      <c r="V3112" s="103"/>
      <c r="W3112" s="101"/>
    </row>
    <row r="3113" spans="1:23" x14ac:dyDescent="0.25">
      <c r="A3113" s="98"/>
      <c r="H3113" s="101"/>
      <c r="I3113" s="101"/>
      <c r="J3113" s="101"/>
      <c r="K3113" s="101"/>
      <c r="L3113" s="101"/>
      <c r="M3113" s="101"/>
      <c r="N3113" s="101"/>
      <c r="O3113" s="101"/>
      <c r="P3113" s="101"/>
      <c r="Q3113" s="101"/>
      <c r="R3113" s="101"/>
      <c r="S3113" s="110"/>
      <c r="T3113" s="102"/>
      <c r="U3113" s="101"/>
      <c r="V3113" s="103"/>
      <c r="W3113" s="101"/>
    </row>
    <row r="3114" spans="1:23" x14ac:dyDescent="0.25">
      <c r="A3114" s="98"/>
      <c r="H3114" s="101"/>
      <c r="I3114" s="101"/>
      <c r="J3114" s="101"/>
      <c r="K3114" s="101"/>
      <c r="L3114" s="101"/>
      <c r="M3114" s="101"/>
      <c r="N3114" s="101"/>
      <c r="O3114" s="101"/>
      <c r="P3114" s="101"/>
      <c r="Q3114" s="101"/>
      <c r="R3114" s="101"/>
      <c r="S3114" s="110"/>
      <c r="T3114" s="102"/>
      <c r="U3114" s="101"/>
      <c r="V3114" s="103"/>
      <c r="W3114" s="101"/>
    </row>
    <row r="3115" spans="1:23" x14ac:dyDescent="0.25">
      <c r="A3115" s="98"/>
      <c r="H3115" s="101"/>
      <c r="I3115" s="101"/>
      <c r="J3115" s="101"/>
      <c r="K3115" s="101"/>
      <c r="L3115" s="101"/>
      <c r="M3115" s="101"/>
      <c r="N3115" s="101"/>
      <c r="O3115" s="101"/>
      <c r="P3115" s="101"/>
      <c r="Q3115" s="101"/>
      <c r="R3115" s="101"/>
      <c r="S3115" s="110"/>
      <c r="T3115" s="102"/>
      <c r="U3115" s="101"/>
      <c r="V3115" s="103"/>
      <c r="W3115" s="101"/>
    </row>
    <row r="3116" spans="1:23" x14ac:dyDescent="0.25">
      <c r="A3116" s="98"/>
      <c r="H3116" s="101"/>
      <c r="I3116" s="101"/>
      <c r="J3116" s="101"/>
      <c r="K3116" s="101"/>
      <c r="L3116" s="101"/>
      <c r="M3116" s="101"/>
      <c r="N3116" s="101"/>
      <c r="O3116" s="101"/>
      <c r="P3116" s="101"/>
      <c r="Q3116" s="101"/>
      <c r="R3116" s="101"/>
      <c r="S3116" s="110"/>
      <c r="T3116" s="102"/>
      <c r="U3116" s="101"/>
      <c r="V3116" s="103"/>
      <c r="W3116" s="101"/>
    </row>
    <row r="3117" spans="1:23" x14ac:dyDescent="0.25">
      <c r="A3117" s="98"/>
      <c r="H3117" s="101"/>
      <c r="I3117" s="101"/>
      <c r="J3117" s="101"/>
      <c r="K3117" s="101"/>
      <c r="L3117" s="101"/>
      <c r="M3117" s="101"/>
      <c r="N3117" s="101"/>
      <c r="O3117" s="101"/>
      <c r="P3117" s="101"/>
      <c r="Q3117" s="101"/>
      <c r="R3117" s="101"/>
      <c r="S3117" s="110"/>
      <c r="T3117" s="102"/>
      <c r="U3117" s="101"/>
      <c r="V3117" s="103"/>
      <c r="W3117" s="101"/>
    </row>
    <row r="3118" spans="1:23" x14ac:dyDescent="0.25">
      <c r="A3118" s="98"/>
      <c r="H3118" s="101"/>
      <c r="I3118" s="101"/>
      <c r="J3118" s="101"/>
      <c r="K3118" s="101"/>
      <c r="L3118" s="101"/>
      <c r="M3118" s="101"/>
      <c r="N3118" s="101"/>
      <c r="O3118" s="101"/>
      <c r="P3118" s="101"/>
      <c r="Q3118" s="101"/>
      <c r="R3118" s="101"/>
      <c r="S3118" s="110"/>
      <c r="T3118" s="102"/>
      <c r="U3118" s="101"/>
      <c r="V3118" s="103"/>
      <c r="W3118" s="101"/>
    </row>
    <row r="3119" spans="1:23" x14ac:dyDescent="0.25">
      <c r="A3119" s="98"/>
      <c r="H3119" s="101"/>
      <c r="I3119" s="101"/>
      <c r="J3119" s="101"/>
      <c r="K3119" s="101"/>
      <c r="L3119" s="101"/>
      <c r="M3119" s="101"/>
      <c r="N3119" s="101"/>
      <c r="O3119" s="101"/>
      <c r="P3119" s="101"/>
      <c r="Q3119" s="101"/>
      <c r="R3119" s="101"/>
      <c r="S3119" s="110"/>
      <c r="T3119" s="102"/>
      <c r="U3119" s="101"/>
      <c r="V3119" s="103"/>
      <c r="W3119" s="101"/>
    </row>
    <row r="3120" spans="1:23" x14ac:dyDescent="0.25">
      <c r="A3120" s="98"/>
      <c r="H3120" s="101"/>
      <c r="I3120" s="101"/>
      <c r="J3120" s="101"/>
      <c r="K3120" s="101"/>
      <c r="L3120" s="101"/>
      <c r="M3120" s="101"/>
      <c r="N3120" s="101"/>
      <c r="O3120" s="101"/>
      <c r="P3120" s="101"/>
      <c r="Q3120" s="101"/>
      <c r="R3120" s="101"/>
      <c r="S3120" s="110"/>
      <c r="T3120" s="102"/>
      <c r="U3120" s="101"/>
      <c r="V3120" s="103"/>
      <c r="W3120" s="101"/>
    </row>
    <row r="3121" spans="1:23" x14ac:dyDescent="0.25">
      <c r="A3121" s="98"/>
      <c r="H3121" s="101"/>
      <c r="I3121" s="101"/>
      <c r="J3121" s="101"/>
      <c r="K3121" s="101"/>
      <c r="L3121" s="101"/>
      <c r="M3121" s="101"/>
      <c r="N3121" s="101"/>
      <c r="O3121" s="101"/>
      <c r="P3121" s="101"/>
      <c r="Q3121" s="101"/>
      <c r="R3121" s="101"/>
      <c r="S3121" s="110"/>
      <c r="T3121" s="102"/>
      <c r="U3121" s="101"/>
      <c r="V3121" s="103"/>
      <c r="W3121" s="101"/>
    </row>
    <row r="3122" spans="1:23" x14ac:dyDescent="0.25">
      <c r="A3122" s="98"/>
      <c r="H3122" s="101"/>
      <c r="I3122" s="101"/>
      <c r="J3122" s="101"/>
      <c r="K3122" s="101"/>
      <c r="L3122" s="101"/>
      <c r="M3122" s="101"/>
      <c r="N3122" s="101"/>
      <c r="O3122" s="101"/>
      <c r="P3122" s="101"/>
      <c r="Q3122" s="101"/>
      <c r="R3122" s="101"/>
      <c r="S3122" s="110"/>
      <c r="T3122" s="102"/>
      <c r="U3122" s="101"/>
      <c r="V3122" s="103"/>
      <c r="W3122" s="101"/>
    </row>
    <row r="3123" spans="1:23" x14ac:dyDescent="0.25">
      <c r="A3123" s="98"/>
      <c r="H3123" s="101"/>
      <c r="I3123" s="101"/>
      <c r="J3123" s="101"/>
      <c r="K3123" s="101"/>
      <c r="L3123" s="101"/>
      <c r="M3123" s="101"/>
      <c r="N3123" s="101"/>
      <c r="O3123" s="101"/>
      <c r="P3123" s="101"/>
      <c r="Q3123" s="101"/>
      <c r="R3123" s="101"/>
      <c r="S3123" s="110"/>
      <c r="T3123" s="102"/>
      <c r="U3123" s="101"/>
      <c r="V3123" s="103"/>
      <c r="W3123" s="101"/>
    </row>
    <row r="3124" spans="1:23" x14ac:dyDescent="0.25">
      <c r="A3124" s="98"/>
      <c r="H3124" s="101"/>
      <c r="I3124" s="101"/>
      <c r="J3124" s="101"/>
      <c r="K3124" s="101"/>
      <c r="L3124" s="101"/>
      <c r="M3124" s="101"/>
      <c r="N3124" s="101"/>
      <c r="O3124" s="101"/>
      <c r="P3124" s="101"/>
      <c r="Q3124" s="101"/>
      <c r="R3124" s="101"/>
      <c r="S3124" s="110"/>
      <c r="T3124" s="102"/>
      <c r="U3124" s="101"/>
      <c r="V3124" s="103"/>
      <c r="W3124" s="101"/>
    </row>
    <row r="3125" spans="1:23" x14ac:dyDescent="0.25">
      <c r="A3125" s="98"/>
      <c r="H3125" s="101"/>
      <c r="I3125" s="101"/>
      <c r="J3125" s="101"/>
      <c r="K3125" s="101"/>
      <c r="L3125" s="101"/>
      <c r="M3125" s="101"/>
      <c r="N3125" s="101"/>
      <c r="O3125" s="101"/>
      <c r="P3125" s="101"/>
      <c r="Q3125" s="101"/>
      <c r="R3125" s="101"/>
      <c r="S3125" s="110"/>
      <c r="T3125" s="102"/>
      <c r="U3125" s="101"/>
      <c r="V3125" s="103"/>
      <c r="W3125" s="101"/>
    </row>
    <row r="3126" spans="1:23" x14ac:dyDescent="0.25">
      <c r="A3126" s="98"/>
      <c r="H3126" s="101"/>
      <c r="I3126" s="101"/>
      <c r="J3126" s="101"/>
      <c r="K3126" s="101"/>
      <c r="L3126" s="101"/>
      <c r="M3126" s="101"/>
      <c r="N3126" s="101"/>
      <c r="O3126" s="101"/>
      <c r="P3126" s="101"/>
      <c r="Q3126" s="101"/>
      <c r="R3126" s="101"/>
      <c r="S3126" s="110"/>
      <c r="T3126" s="102"/>
      <c r="U3126" s="101"/>
      <c r="V3126" s="103"/>
      <c r="W3126" s="101"/>
    </row>
    <row r="3127" spans="1:23" x14ac:dyDescent="0.25">
      <c r="A3127" s="98"/>
      <c r="H3127" s="101"/>
      <c r="I3127" s="101"/>
      <c r="J3127" s="101"/>
      <c r="K3127" s="101"/>
      <c r="L3127" s="101"/>
      <c r="M3127" s="101"/>
      <c r="N3127" s="101"/>
      <c r="O3127" s="101"/>
      <c r="P3127" s="101"/>
      <c r="Q3127" s="101"/>
      <c r="R3127" s="101"/>
      <c r="S3127" s="110"/>
      <c r="T3127" s="102"/>
      <c r="U3127" s="101"/>
      <c r="V3127" s="103"/>
      <c r="W3127" s="101"/>
    </row>
    <row r="3128" spans="1:23" x14ac:dyDescent="0.25">
      <c r="A3128" s="98"/>
      <c r="H3128" s="101"/>
      <c r="I3128" s="101"/>
      <c r="J3128" s="101"/>
      <c r="K3128" s="101"/>
      <c r="L3128" s="101"/>
      <c r="M3128" s="101"/>
      <c r="N3128" s="101"/>
      <c r="O3128" s="101"/>
      <c r="P3128" s="101"/>
      <c r="Q3128" s="101"/>
      <c r="R3128" s="101"/>
      <c r="S3128" s="110"/>
      <c r="T3128" s="102"/>
      <c r="U3128" s="101"/>
      <c r="V3128" s="103"/>
      <c r="W3128" s="101"/>
    </row>
    <row r="3129" spans="1:23" x14ac:dyDescent="0.25">
      <c r="A3129" s="98"/>
      <c r="H3129" s="101"/>
      <c r="I3129" s="101"/>
      <c r="J3129" s="101"/>
      <c r="K3129" s="101"/>
      <c r="L3129" s="101"/>
      <c r="M3129" s="101"/>
      <c r="N3129" s="101"/>
      <c r="O3129" s="101"/>
      <c r="P3129" s="101"/>
      <c r="Q3129" s="101"/>
      <c r="R3129" s="101"/>
      <c r="S3129" s="110"/>
      <c r="T3129" s="102"/>
      <c r="U3129" s="101"/>
      <c r="V3129" s="103"/>
      <c r="W3129" s="101"/>
    </row>
    <row r="3130" spans="1:23" x14ac:dyDescent="0.25">
      <c r="A3130" s="98"/>
      <c r="H3130" s="101"/>
      <c r="I3130" s="101"/>
      <c r="J3130" s="101"/>
      <c r="K3130" s="101"/>
      <c r="L3130" s="101"/>
      <c r="M3130" s="101"/>
      <c r="N3130" s="101"/>
      <c r="O3130" s="101"/>
      <c r="P3130" s="101"/>
      <c r="Q3130" s="101"/>
      <c r="R3130" s="101"/>
      <c r="S3130" s="110"/>
      <c r="T3130" s="102"/>
      <c r="U3130" s="101"/>
      <c r="V3130" s="103"/>
      <c r="W3130" s="101"/>
    </row>
    <row r="3131" spans="1:23" x14ac:dyDescent="0.25">
      <c r="A3131" s="98"/>
      <c r="H3131" s="101"/>
      <c r="I3131" s="101"/>
      <c r="J3131" s="101"/>
      <c r="K3131" s="101"/>
      <c r="L3131" s="101"/>
      <c r="M3131" s="101"/>
      <c r="N3131" s="101"/>
      <c r="O3131" s="101"/>
      <c r="P3131" s="101"/>
      <c r="Q3131" s="101"/>
      <c r="R3131" s="101"/>
      <c r="S3131" s="110"/>
      <c r="T3131" s="102"/>
      <c r="U3131" s="101"/>
      <c r="V3131" s="103"/>
      <c r="W3131" s="101"/>
    </row>
    <row r="3132" spans="1:23" x14ac:dyDescent="0.25">
      <c r="A3132" s="98"/>
      <c r="H3132" s="101"/>
      <c r="I3132" s="101"/>
      <c r="J3132" s="101"/>
      <c r="K3132" s="101"/>
      <c r="L3132" s="101"/>
      <c r="M3132" s="101"/>
      <c r="N3132" s="101"/>
      <c r="O3132" s="101"/>
      <c r="P3132" s="101"/>
      <c r="Q3132" s="101"/>
      <c r="R3132" s="101"/>
      <c r="S3132" s="110"/>
      <c r="T3132" s="102"/>
      <c r="U3132" s="101"/>
      <c r="V3132" s="103"/>
      <c r="W3132" s="101"/>
    </row>
    <row r="3133" spans="1:23" x14ac:dyDescent="0.25">
      <c r="A3133" s="98"/>
      <c r="H3133" s="101"/>
      <c r="I3133" s="101"/>
      <c r="J3133" s="101"/>
      <c r="K3133" s="101"/>
      <c r="L3133" s="101"/>
      <c r="M3133" s="101"/>
      <c r="N3133" s="101"/>
      <c r="O3133" s="101"/>
      <c r="P3133" s="101"/>
      <c r="Q3133" s="101"/>
      <c r="R3133" s="101"/>
      <c r="S3133" s="110"/>
      <c r="T3133" s="102"/>
      <c r="U3133" s="101"/>
      <c r="V3133" s="103"/>
      <c r="W3133" s="101"/>
    </row>
    <row r="3134" spans="1:23" x14ac:dyDescent="0.25">
      <c r="A3134" s="98"/>
      <c r="H3134" s="101"/>
      <c r="I3134" s="101"/>
      <c r="J3134" s="101"/>
      <c r="K3134" s="101"/>
      <c r="L3134" s="101"/>
      <c r="M3134" s="101"/>
      <c r="N3134" s="101"/>
      <c r="O3134" s="101"/>
      <c r="P3134" s="101"/>
      <c r="Q3134" s="101"/>
      <c r="R3134" s="101"/>
      <c r="S3134" s="110"/>
      <c r="T3134" s="102"/>
      <c r="U3134" s="101"/>
      <c r="V3134" s="103"/>
      <c r="W3134" s="101"/>
    </row>
    <row r="3135" spans="1:23" x14ac:dyDescent="0.25">
      <c r="A3135" s="98"/>
      <c r="H3135" s="101"/>
      <c r="I3135" s="101"/>
      <c r="J3135" s="101"/>
      <c r="K3135" s="101"/>
      <c r="L3135" s="101"/>
      <c r="M3135" s="101"/>
      <c r="N3135" s="101"/>
      <c r="O3135" s="101"/>
      <c r="P3135" s="101"/>
      <c r="Q3135" s="101"/>
      <c r="R3135" s="101"/>
      <c r="S3135" s="110"/>
      <c r="T3135" s="102"/>
      <c r="U3135" s="101"/>
      <c r="V3135" s="103"/>
      <c r="W3135" s="101"/>
    </row>
    <row r="3136" spans="1:23" x14ac:dyDescent="0.25">
      <c r="A3136" s="98"/>
      <c r="H3136" s="101"/>
      <c r="I3136" s="101"/>
      <c r="J3136" s="101"/>
      <c r="K3136" s="101"/>
      <c r="L3136" s="101"/>
      <c r="M3136" s="101"/>
      <c r="N3136" s="101"/>
      <c r="O3136" s="101"/>
      <c r="P3136" s="101"/>
      <c r="Q3136" s="101"/>
      <c r="R3136" s="101"/>
      <c r="S3136" s="110"/>
      <c r="T3136" s="102"/>
      <c r="U3136" s="101"/>
      <c r="V3136" s="103"/>
      <c r="W3136" s="101"/>
    </row>
    <row r="3137" spans="1:23" x14ac:dyDescent="0.25">
      <c r="A3137" s="98"/>
      <c r="H3137" s="101"/>
      <c r="I3137" s="101"/>
      <c r="J3137" s="101"/>
      <c r="K3137" s="101"/>
      <c r="L3137" s="101"/>
      <c r="M3137" s="101"/>
      <c r="N3137" s="101"/>
      <c r="O3137" s="101"/>
      <c r="P3137" s="101"/>
      <c r="Q3137" s="101"/>
      <c r="R3137" s="101"/>
      <c r="S3137" s="110"/>
      <c r="T3137" s="102"/>
      <c r="U3137" s="101"/>
      <c r="V3137" s="103"/>
      <c r="W3137" s="101"/>
    </row>
    <row r="3138" spans="1:23" x14ac:dyDescent="0.25">
      <c r="A3138" s="98"/>
      <c r="H3138" s="101"/>
      <c r="I3138" s="101"/>
      <c r="J3138" s="101"/>
      <c r="K3138" s="101"/>
      <c r="L3138" s="101"/>
      <c r="M3138" s="101"/>
      <c r="N3138" s="101"/>
      <c r="O3138" s="101"/>
      <c r="P3138" s="101"/>
      <c r="Q3138" s="101"/>
      <c r="R3138" s="101"/>
      <c r="S3138" s="110"/>
      <c r="T3138" s="102"/>
      <c r="U3138" s="101"/>
      <c r="V3138" s="103"/>
      <c r="W3138" s="101"/>
    </row>
    <row r="3139" spans="1:23" x14ac:dyDescent="0.25">
      <c r="A3139" s="98"/>
      <c r="H3139" s="101"/>
      <c r="I3139" s="101"/>
      <c r="J3139" s="101"/>
      <c r="K3139" s="101"/>
      <c r="L3139" s="101"/>
      <c r="M3139" s="101"/>
      <c r="N3139" s="101"/>
      <c r="O3139" s="101"/>
      <c r="P3139" s="101"/>
      <c r="Q3139" s="101"/>
      <c r="R3139" s="101"/>
      <c r="S3139" s="110"/>
      <c r="T3139" s="102"/>
      <c r="U3139" s="101"/>
      <c r="V3139" s="103"/>
      <c r="W3139" s="101"/>
    </row>
    <row r="3140" spans="1:23" x14ac:dyDescent="0.25">
      <c r="A3140" s="98"/>
      <c r="H3140" s="101"/>
      <c r="I3140" s="101"/>
      <c r="J3140" s="101"/>
      <c r="K3140" s="101"/>
      <c r="L3140" s="101"/>
      <c r="M3140" s="101"/>
      <c r="N3140" s="101"/>
      <c r="O3140" s="101"/>
      <c r="P3140" s="101"/>
      <c r="Q3140" s="101"/>
      <c r="R3140" s="101"/>
      <c r="S3140" s="110"/>
      <c r="T3140" s="102"/>
      <c r="U3140" s="101"/>
      <c r="V3140" s="103"/>
      <c r="W3140" s="101"/>
    </row>
    <row r="3141" spans="1:23" x14ac:dyDescent="0.25">
      <c r="A3141" s="98"/>
      <c r="H3141" s="101"/>
      <c r="I3141" s="101"/>
      <c r="J3141" s="101"/>
      <c r="K3141" s="101"/>
      <c r="L3141" s="101"/>
      <c r="M3141" s="101"/>
      <c r="N3141" s="101"/>
      <c r="O3141" s="101"/>
      <c r="P3141" s="101"/>
      <c r="Q3141" s="101"/>
      <c r="R3141" s="101"/>
      <c r="S3141" s="110"/>
      <c r="T3141" s="102"/>
      <c r="U3141" s="101"/>
      <c r="V3141" s="103"/>
      <c r="W3141" s="101"/>
    </row>
    <row r="3142" spans="1:23" x14ac:dyDescent="0.25">
      <c r="A3142" s="98"/>
      <c r="H3142" s="101"/>
      <c r="I3142" s="101"/>
      <c r="J3142" s="101"/>
      <c r="K3142" s="101"/>
      <c r="L3142" s="101"/>
      <c r="M3142" s="101"/>
      <c r="N3142" s="101"/>
      <c r="O3142" s="101"/>
      <c r="P3142" s="101"/>
      <c r="Q3142" s="101"/>
      <c r="R3142" s="101"/>
      <c r="S3142" s="110"/>
      <c r="T3142" s="102"/>
      <c r="U3142" s="101"/>
      <c r="V3142" s="103"/>
      <c r="W3142" s="101"/>
    </row>
    <row r="3143" spans="1:23" x14ac:dyDescent="0.25">
      <c r="A3143" s="98"/>
      <c r="H3143" s="101"/>
      <c r="I3143" s="101"/>
      <c r="J3143" s="101"/>
      <c r="K3143" s="101"/>
      <c r="L3143" s="101"/>
      <c r="M3143" s="101"/>
      <c r="N3143" s="101"/>
      <c r="O3143" s="101"/>
      <c r="P3143" s="101"/>
      <c r="Q3143" s="101"/>
      <c r="R3143" s="101"/>
      <c r="S3143" s="110"/>
      <c r="T3143" s="102"/>
      <c r="U3143" s="101"/>
      <c r="V3143" s="103"/>
      <c r="W3143" s="101"/>
    </row>
    <row r="3144" spans="1:23" x14ac:dyDescent="0.25">
      <c r="A3144" s="98"/>
      <c r="H3144" s="101"/>
      <c r="I3144" s="101"/>
      <c r="J3144" s="101"/>
      <c r="K3144" s="101"/>
      <c r="L3144" s="101"/>
      <c r="M3144" s="101"/>
      <c r="N3144" s="101"/>
      <c r="O3144" s="101"/>
      <c r="P3144" s="101"/>
      <c r="Q3144" s="101"/>
      <c r="R3144" s="101"/>
      <c r="S3144" s="110"/>
      <c r="T3144" s="102"/>
      <c r="U3144" s="101"/>
      <c r="V3144" s="103"/>
      <c r="W3144" s="101"/>
    </row>
    <row r="3145" spans="1:23" x14ac:dyDescent="0.25">
      <c r="A3145" s="98"/>
      <c r="H3145" s="101"/>
      <c r="I3145" s="101"/>
      <c r="J3145" s="101"/>
      <c r="K3145" s="101"/>
      <c r="L3145" s="101"/>
      <c r="M3145" s="101"/>
      <c r="N3145" s="101"/>
      <c r="O3145" s="101"/>
      <c r="P3145" s="101"/>
      <c r="Q3145" s="101"/>
      <c r="R3145" s="101"/>
      <c r="S3145" s="110"/>
      <c r="T3145" s="102"/>
      <c r="U3145" s="101"/>
      <c r="V3145" s="103"/>
      <c r="W3145" s="101"/>
    </row>
    <row r="3146" spans="1:23" x14ac:dyDescent="0.25">
      <c r="A3146" s="98"/>
      <c r="H3146" s="101"/>
      <c r="I3146" s="101"/>
      <c r="J3146" s="101"/>
      <c r="K3146" s="101"/>
      <c r="L3146" s="101"/>
      <c r="M3146" s="101"/>
      <c r="N3146" s="101"/>
      <c r="O3146" s="101"/>
      <c r="P3146" s="101"/>
      <c r="Q3146" s="101"/>
      <c r="R3146" s="101"/>
      <c r="S3146" s="110"/>
      <c r="T3146" s="102"/>
      <c r="U3146" s="101"/>
      <c r="V3146" s="103"/>
      <c r="W3146" s="101"/>
    </row>
    <row r="3147" spans="1:23" x14ac:dyDescent="0.25">
      <c r="A3147" s="98"/>
      <c r="H3147" s="101"/>
      <c r="I3147" s="101"/>
      <c r="J3147" s="101"/>
      <c r="K3147" s="101"/>
      <c r="L3147" s="101"/>
      <c r="M3147" s="101"/>
      <c r="N3147" s="101"/>
      <c r="O3147" s="101"/>
      <c r="P3147" s="101"/>
      <c r="Q3147" s="101"/>
      <c r="R3147" s="101"/>
      <c r="S3147" s="110"/>
      <c r="T3147" s="102"/>
      <c r="U3147" s="101"/>
      <c r="V3147" s="103"/>
      <c r="W3147" s="101"/>
    </row>
    <row r="3148" spans="1:23" x14ac:dyDescent="0.25">
      <c r="A3148" s="98"/>
      <c r="H3148" s="101"/>
      <c r="I3148" s="101"/>
      <c r="J3148" s="101"/>
      <c r="K3148" s="101"/>
      <c r="L3148" s="101"/>
      <c r="M3148" s="101"/>
      <c r="N3148" s="101"/>
      <c r="O3148" s="101"/>
      <c r="P3148" s="101"/>
      <c r="Q3148" s="101"/>
      <c r="R3148" s="101"/>
      <c r="S3148" s="110"/>
      <c r="T3148" s="102"/>
      <c r="U3148" s="101"/>
      <c r="V3148" s="103"/>
      <c r="W3148" s="101"/>
    </row>
    <row r="3149" spans="1:23" x14ac:dyDescent="0.25">
      <c r="A3149" s="98"/>
      <c r="H3149" s="101"/>
      <c r="I3149" s="101"/>
      <c r="J3149" s="101"/>
      <c r="K3149" s="101"/>
      <c r="L3149" s="101"/>
      <c r="M3149" s="101"/>
      <c r="N3149" s="101"/>
      <c r="O3149" s="101"/>
      <c r="P3149" s="101"/>
      <c r="Q3149" s="101"/>
      <c r="R3149" s="101"/>
      <c r="S3149" s="110"/>
      <c r="T3149" s="102"/>
      <c r="U3149" s="101"/>
      <c r="V3149" s="103"/>
      <c r="W3149" s="101"/>
    </row>
    <row r="3150" spans="1:23" x14ac:dyDescent="0.25">
      <c r="A3150" s="98"/>
      <c r="H3150" s="101"/>
      <c r="I3150" s="101"/>
      <c r="J3150" s="101"/>
      <c r="K3150" s="101"/>
      <c r="L3150" s="101"/>
      <c r="M3150" s="101"/>
      <c r="N3150" s="101"/>
      <c r="O3150" s="101"/>
      <c r="P3150" s="101"/>
      <c r="Q3150" s="101"/>
      <c r="R3150" s="101"/>
      <c r="S3150" s="110"/>
      <c r="T3150" s="102"/>
      <c r="U3150" s="101"/>
      <c r="V3150" s="103"/>
      <c r="W3150" s="101"/>
    </row>
    <row r="3151" spans="1:23" x14ac:dyDescent="0.25">
      <c r="A3151" s="98"/>
      <c r="H3151" s="101"/>
      <c r="I3151" s="101"/>
      <c r="J3151" s="101"/>
      <c r="K3151" s="101"/>
      <c r="L3151" s="101"/>
      <c r="M3151" s="101"/>
      <c r="N3151" s="101"/>
      <c r="O3151" s="101"/>
      <c r="P3151" s="101"/>
      <c r="Q3151" s="101"/>
      <c r="R3151" s="101"/>
      <c r="S3151" s="110"/>
      <c r="T3151" s="102"/>
      <c r="U3151" s="101"/>
      <c r="V3151" s="103"/>
      <c r="W3151" s="101"/>
    </row>
    <row r="3152" spans="1:23" x14ac:dyDescent="0.25">
      <c r="A3152" s="98"/>
      <c r="H3152" s="101"/>
      <c r="I3152" s="101"/>
      <c r="J3152" s="101"/>
      <c r="K3152" s="101"/>
      <c r="L3152" s="101"/>
      <c r="M3152" s="101"/>
      <c r="N3152" s="101"/>
      <c r="O3152" s="101"/>
      <c r="P3152" s="101"/>
      <c r="Q3152" s="101"/>
      <c r="R3152" s="101"/>
      <c r="S3152" s="110"/>
      <c r="T3152" s="102"/>
      <c r="U3152" s="101"/>
      <c r="V3152" s="103"/>
      <c r="W3152" s="101"/>
    </row>
    <row r="3153" spans="1:23" x14ac:dyDescent="0.25">
      <c r="A3153" s="98"/>
      <c r="H3153" s="101"/>
      <c r="I3153" s="101"/>
      <c r="J3153" s="101"/>
      <c r="K3153" s="101"/>
      <c r="L3153" s="101"/>
      <c r="M3153" s="101"/>
      <c r="N3153" s="101"/>
      <c r="O3153" s="101"/>
      <c r="P3153" s="101"/>
      <c r="Q3153" s="101"/>
      <c r="R3153" s="101"/>
      <c r="S3153" s="110"/>
      <c r="T3153" s="102"/>
      <c r="U3153" s="101"/>
      <c r="V3153" s="103"/>
      <c r="W3153" s="101"/>
    </row>
    <row r="3154" spans="1:23" x14ac:dyDescent="0.25">
      <c r="A3154" s="98"/>
      <c r="H3154" s="101"/>
      <c r="I3154" s="101"/>
      <c r="J3154" s="101"/>
      <c r="K3154" s="101"/>
      <c r="L3154" s="101"/>
      <c r="M3154" s="101"/>
      <c r="N3154" s="101"/>
      <c r="O3154" s="101"/>
      <c r="P3154" s="101"/>
      <c r="Q3154" s="101"/>
      <c r="R3154" s="101"/>
      <c r="S3154" s="110"/>
      <c r="T3154" s="102"/>
      <c r="U3154" s="101"/>
      <c r="V3154" s="103"/>
      <c r="W3154" s="101"/>
    </row>
    <row r="3155" spans="1:23" x14ac:dyDescent="0.25">
      <c r="A3155" s="98"/>
      <c r="H3155" s="101"/>
      <c r="I3155" s="101"/>
      <c r="J3155" s="101"/>
      <c r="K3155" s="101"/>
      <c r="L3155" s="101"/>
      <c r="M3155" s="101"/>
      <c r="N3155" s="101"/>
      <c r="O3155" s="101"/>
      <c r="P3155" s="101"/>
      <c r="Q3155" s="101"/>
      <c r="R3155" s="101"/>
      <c r="S3155" s="110"/>
      <c r="T3155" s="102"/>
      <c r="U3155" s="101"/>
      <c r="V3155" s="103"/>
      <c r="W3155" s="101"/>
    </row>
    <row r="3156" spans="1:23" x14ac:dyDescent="0.25">
      <c r="A3156" s="98"/>
      <c r="H3156" s="101"/>
      <c r="I3156" s="101"/>
      <c r="J3156" s="101"/>
      <c r="K3156" s="101"/>
      <c r="L3156" s="101"/>
      <c r="M3156" s="101"/>
      <c r="N3156" s="101"/>
      <c r="O3156" s="101"/>
      <c r="P3156" s="101"/>
      <c r="Q3156" s="101"/>
      <c r="R3156" s="101"/>
      <c r="S3156" s="110"/>
      <c r="T3156" s="102"/>
      <c r="U3156" s="101"/>
      <c r="V3156" s="103"/>
      <c r="W3156" s="101"/>
    </row>
    <row r="3157" spans="1:23" x14ac:dyDescent="0.25">
      <c r="A3157" s="98"/>
      <c r="H3157" s="101"/>
      <c r="I3157" s="101"/>
      <c r="J3157" s="101"/>
      <c r="K3157" s="101"/>
      <c r="L3157" s="101"/>
      <c r="M3157" s="101"/>
      <c r="N3157" s="101"/>
      <c r="O3157" s="101"/>
      <c r="P3157" s="101"/>
      <c r="Q3157" s="101"/>
      <c r="R3157" s="101"/>
      <c r="S3157" s="110"/>
      <c r="T3157" s="102"/>
      <c r="U3157" s="101"/>
      <c r="V3157" s="103"/>
      <c r="W3157" s="101"/>
    </row>
    <row r="3158" spans="1:23" x14ac:dyDescent="0.25">
      <c r="A3158" s="98"/>
      <c r="H3158" s="101"/>
      <c r="I3158" s="101"/>
      <c r="J3158" s="101"/>
      <c r="K3158" s="101"/>
      <c r="L3158" s="101"/>
      <c r="M3158" s="101"/>
      <c r="N3158" s="101"/>
      <c r="O3158" s="101"/>
      <c r="P3158" s="101"/>
      <c r="Q3158" s="101"/>
      <c r="R3158" s="101"/>
      <c r="S3158" s="110"/>
      <c r="T3158" s="102"/>
      <c r="U3158" s="101"/>
      <c r="V3158" s="103"/>
      <c r="W3158" s="101"/>
    </row>
    <row r="3159" spans="1:23" x14ac:dyDescent="0.25">
      <c r="A3159" s="98"/>
      <c r="H3159" s="101"/>
      <c r="I3159" s="101"/>
      <c r="J3159" s="101"/>
      <c r="K3159" s="101"/>
      <c r="L3159" s="101"/>
      <c r="M3159" s="101"/>
      <c r="N3159" s="101"/>
      <c r="O3159" s="101"/>
      <c r="P3159" s="101"/>
      <c r="Q3159" s="101"/>
      <c r="R3159" s="101"/>
      <c r="S3159" s="110"/>
      <c r="T3159" s="102"/>
      <c r="U3159" s="101"/>
      <c r="V3159" s="103"/>
      <c r="W3159" s="101"/>
    </row>
    <row r="3160" spans="1:23" x14ac:dyDescent="0.25">
      <c r="A3160" s="98"/>
      <c r="H3160" s="101"/>
      <c r="I3160" s="101"/>
      <c r="J3160" s="101"/>
      <c r="K3160" s="101"/>
      <c r="L3160" s="101"/>
      <c r="M3160" s="101"/>
      <c r="N3160" s="101"/>
      <c r="O3160" s="101"/>
      <c r="P3160" s="101"/>
      <c r="Q3160" s="101"/>
      <c r="R3160" s="101"/>
      <c r="S3160" s="110"/>
      <c r="T3160" s="102"/>
      <c r="U3160" s="101"/>
      <c r="V3160" s="103"/>
      <c r="W3160" s="101"/>
    </row>
    <row r="3161" spans="1:23" x14ac:dyDescent="0.25">
      <c r="A3161" s="98"/>
      <c r="H3161" s="101"/>
      <c r="I3161" s="101"/>
      <c r="J3161" s="101"/>
      <c r="K3161" s="101"/>
      <c r="L3161" s="101"/>
      <c r="M3161" s="101"/>
      <c r="N3161" s="101"/>
      <c r="O3161" s="101"/>
      <c r="P3161" s="101"/>
      <c r="Q3161" s="101"/>
      <c r="R3161" s="101"/>
      <c r="S3161" s="110"/>
      <c r="T3161" s="102"/>
      <c r="U3161" s="101"/>
      <c r="V3161" s="103"/>
      <c r="W3161" s="101"/>
    </row>
    <row r="3162" spans="1:23" x14ac:dyDescent="0.25">
      <c r="A3162" s="98"/>
      <c r="H3162" s="101"/>
      <c r="I3162" s="101"/>
      <c r="J3162" s="101"/>
      <c r="K3162" s="101"/>
      <c r="L3162" s="101"/>
      <c r="M3162" s="101"/>
      <c r="N3162" s="101"/>
      <c r="O3162" s="101"/>
      <c r="P3162" s="101"/>
      <c r="Q3162" s="101"/>
      <c r="R3162" s="101"/>
      <c r="S3162" s="110"/>
      <c r="T3162" s="102"/>
      <c r="U3162" s="101"/>
      <c r="V3162" s="103"/>
      <c r="W3162" s="101"/>
    </row>
    <row r="3163" spans="1:23" x14ac:dyDescent="0.25">
      <c r="A3163" s="98"/>
      <c r="H3163" s="101"/>
      <c r="I3163" s="101"/>
      <c r="J3163" s="101"/>
      <c r="K3163" s="101"/>
      <c r="L3163" s="101"/>
      <c r="M3163" s="101"/>
      <c r="N3163" s="101"/>
      <c r="O3163" s="101"/>
      <c r="P3163" s="101"/>
      <c r="Q3163" s="101"/>
      <c r="R3163" s="101"/>
      <c r="S3163" s="110"/>
      <c r="T3163" s="102"/>
      <c r="U3163" s="101"/>
      <c r="V3163" s="103"/>
      <c r="W3163" s="101"/>
    </row>
    <row r="3164" spans="1:23" x14ac:dyDescent="0.25">
      <c r="A3164" s="98"/>
      <c r="H3164" s="101"/>
      <c r="I3164" s="101"/>
      <c r="J3164" s="101"/>
      <c r="K3164" s="101"/>
      <c r="L3164" s="101"/>
      <c r="M3164" s="101"/>
      <c r="N3164" s="101"/>
      <c r="O3164" s="101"/>
      <c r="P3164" s="101"/>
      <c r="Q3164" s="101"/>
      <c r="R3164" s="101"/>
      <c r="S3164" s="110"/>
      <c r="T3164" s="102"/>
      <c r="U3164" s="101"/>
      <c r="V3164" s="103"/>
      <c r="W3164" s="101"/>
    </row>
    <row r="3165" spans="1:23" x14ac:dyDescent="0.25">
      <c r="A3165" s="98"/>
      <c r="H3165" s="101"/>
      <c r="I3165" s="101"/>
      <c r="J3165" s="101"/>
      <c r="K3165" s="101"/>
      <c r="L3165" s="101"/>
      <c r="M3165" s="101"/>
      <c r="N3165" s="101"/>
      <c r="O3165" s="101"/>
      <c r="P3165" s="101"/>
      <c r="Q3165" s="101"/>
      <c r="R3165" s="101"/>
      <c r="S3165" s="110"/>
      <c r="T3165" s="102"/>
      <c r="U3165" s="101"/>
      <c r="V3165" s="103"/>
      <c r="W3165" s="101"/>
    </row>
    <row r="3166" spans="1:23" x14ac:dyDescent="0.25">
      <c r="A3166" s="98"/>
      <c r="H3166" s="101"/>
      <c r="I3166" s="101"/>
      <c r="J3166" s="101"/>
      <c r="K3166" s="101"/>
      <c r="L3166" s="101"/>
      <c r="M3166" s="101"/>
      <c r="N3166" s="101"/>
      <c r="O3166" s="101"/>
      <c r="P3166" s="101"/>
      <c r="Q3166" s="101"/>
      <c r="R3166" s="101"/>
      <c r="S3166" s="110"/>
      <c r="T3166" s="102"/>
      <c r="U3166" s="101"/>
      <c r="V3166" s="103"/>
      <c r="W3166" s="101"/>
    </row>
    <row r="3167" spans="1:23" x14ac:dyDescent="0.25">
      <c r="A3167" s="98"/>
      <c r="H3167" s="101"/>
      <c r="I3167" s="101"/>
      <c r="J3167" s="101"/>
      <c r="K3167" s="101"/>
      <c r="L3167" s="101"/>
      <c r="M3167" s="101"/>
      <c r="N3167" s="101"/>
      <c r="O3167" s="101"/>
      <c r="P3167" s="101"/>
      <c r="Q3167" s="101"/>
      <c r="R3167" s="101"/>
      <c r="S3167" s="110"/>
      <c r="T3167" s="102"/>
      <c r="U3167" s="101"/>
      <c r="V3167" s="103"/>
      <c r="W3167" s="101"/>
    </row>
    <row r="3168" spans="1:23" x14ac:dyDescent="0.25">
      <c r="A3168" s="98"/>
      <c r="H3168" s="101"/>
      <c r="I3168" s="101"/>
      <c r="J3168" s="101"/>
      <c r="K3168" s="101"/>
      <c r="L3168" s="101"/>
      <c r="M3168" s="101"/>
      <c r="N3168" s="101"/>
      <c r="O3168" s="101"/>
      <c r="P3168" s="101"/>
      <c r="Q3168" s="101"/>
      <c r="R3168" s="101"/>
      <c r="S3168" s="110"/>
      <c r="T3168" s="102"/>
      <c r="U3168" s="101"/>
      <c r="V3168" s="103"/>
      <c r="W3168" s="101"/>
    </row>
    <row r="3169" spans="1:23" x14ac:dyDescent="0.25">
      <c r="A3169" s="98"/>
      <c r="H3169" s="101"/>
      <c r="I3169" s="101"/>
      <c r="J3169" s="101"/>
      <c r="K3169" s="101"/>
      <c r="L3169" s="101"/>
      <c r="M3169" s="101"/>
      <c r="N3169" s="101"/>
      <c r="O3169" s="101"/>
      <c r="P3169" s="101"/>
      <c r="Q3169" s="101"/>
      <c r="R3169" s="101"/>
      <c r="S3169" s="110"/>
      <c r="T3169" s="102"/>
      <c r="U3169" s="101"/>
      <c r="V3169" s="103"/>
      <c r="W3169" s="101"/>
    </row>
    <row r="3170" spans="1:23" x14ac:dyDescent="0.25">
      <c r="A3170" s="98"/>
      <c r="H3170" s="101"/>
      <c r="I3170" s="101"/>
      <c r="J3170" s="101"/>
      <c r="K3170" s="101"/>
      <c r="L3170" s="101"/>
      <c r="M3170" s="101"/>
      <c r="N3170" s="101"/>
      <c r="O3170" s="101"/>
      <c r="P3170" s="101"/>
      <c r="Q3170" s="101"/>
      <c r="R3170" s="101"/>
      <c r="S3170" s="110"/>
      <c r="T3170" s="102"/>
      <c r="U3170" s="101"/>
      <c r="V3170" s="103"/>
      <c r="W3170" s="101"/>
    </row>
    <row r="3171" spans="1:23" x14ac:dyDescent="0.25">
      <c r="A3171" s="98"/>
      <c r="H3171" s="101"/>
      <c r="I3171" s="101"/>
      <c r="J3171" s="101"/>
      <c r="K3171" s="101"/>
      <c r="L3171" s="101"/>
      <c r="M3171" s="101"/>
      <c r="N3171" s="101"/>
      <c r="O3171" s="101"/>
      <c r="P3171" s="101"/>
      <c r="Q3171" s="101"/>
      <c r="R3171" s="101"/>
      <c r="S3171" s="110"/>
      <c r="T3171" s="102"/>
      <c r="U3171" s="101"/>
      <c r="V3171" s="103"/>
      <c r="W3171" s="101"/>
    </row>
    <row r="3172" spans="1:23" x14ac:dyDescent="0.25">
      <c r="A3172" s="98"/>
      <c r="H3172" s="101"/>
      <c r="I3172" s="101"/>
      <c r="J3172" s="101"/>
      <c r="K3172" s="101"/>
      <c r="L3172" s="101"/>
      <c r="M3172" s="101"/>
      <c r="N3172" s="101"/>
      <c r="O3172" s="101"/>
      <c r="P3172" s="101"/>
      <c r="Q3172" s="101"/>
      <c r="R3172" s="101"/>
      <c r="S3172" s="110"/>
      <c r="T3172" s="102"/>
      <c r="U3172" s="101"/>
      <c r="V3172" s="103"/>
      <c r="W3172" s="101"/>
    </row>
    <row r="3173" spans="1:23" x14ac:dyDescent="0.25">
      <c r="A3173" s="98"/>
      <c r="H3173" s="101"/>
      <c r="I3173" s="101"/>
      <c r="J3173" s="101"/>
      <c r="K3173" s="101"/>
      <c r="L3173" s="101"/>
      <c r="M3173" s="101"/>
      <c r="N3173" s="101"/>
      <c r="O3173" s="101"/>
      <c r="P3173" s="101"/>
      <c r="Q3173" s="101"/>
      <c r="R3173" s="101"/>
      <c r="S3173" s="110"/>
      <c r="T3173" s="102"/>
      <c r="U3173" s="101"/>
      <c r="V3173" s="103"/>
      <c r="W3173" s="101"/>
    </row>
    <row r="3174" spans="1:23" x14ac:dyDescent="0.25">
      <c r="A3174" s="98"/>
      <c r="H3174" s="101"/>
      <c r="I3174" s="101"/>
      <c r="J3174" s="101"/>
      <c r="K3174" s="101"/>
      <c r="L3174" s="101"/>
      <c r="M3174" s="101"/>
      <c r="N3174" s="101"/>
      <c r="O3174" s="101"/>
      <c r="P3174" s="101"/>
      <c r="Q3174" s="101"/>
      <c r="R3174" s="101"/>
      <c r="S3174" s="110"/>
      <c r="T3174" s="102"/>
      <c r="U3174" s="101"/>
      <c r="V3174" s="103"/>
      <c r="W3174" s="101"/>
    </row>
    <row r="3175" spans="1:23" x14ac:dyDescent="0.25">
      <c r="A3175" s="98"/>
      <c r="H3175" s="101"/>
      <c r="I3175" s="101"/>
      <c r="J3175" s="101"/>
      <c r="K3175" s="101"/>
      <c r="L3175" s="101"/>
      <c r="M3175" s="101"/>
      <c r="N3175" s="101"/>
      <c r="O3175" s="101"/>
      <c r="P3175" s="101"/>
      <c r="Q3175" s="101"/>
      <c r="R3175" s="101"/>
      <c r="S3175" s="110"/>
      <c r="T3175" s="102"/>
      <c r="U3175" s="101"/>
      <c r="V3175" s="103"/>
      <c r="W3175" s="101"/>
    </row>
    <row r="3176" spans="1:23" x14ac:dyDescent="0.25">
      <c r="A3176" s="98"/>
      <c r="H3176" s="101"/>
      <c r="I3176" s="101"/>
      <c r="J3176" s="101"/>
      <c r="K3176" s="101"/>
      <c r="L3176" s="101"/>
      <c r="M3176" s="101"/>
      <c r="N3176" s="101"/>
      <c r="O3176" s="101"/>
      <c r="P3176" s="101"/>
      <c r="Q3176" s="101"/>
      <c r="R3176" s="101"/>
      <c r="S3176" s="110"/>
      <c r="T3176" s="102"/>
      <c r="U3176" s="101"/>
      <c r="V3176" s="103"/>
      <c r="W3176" s="101"/>
    </row>
    <row r="3177" spans="1:23" x14ac:dyDescent="0.25">
      <c r="A3177" s="98"/>
      <c r="H3177" s="101"/>
      <c r="I3177" s="101"/>
      <c r="J3177" s="101"/>
      <c r="K3177" s="101"/>
      <c r="L3177" s="101"/>
      <c r="M3177" s="101"/>
      <c r="N3177" s="101"/>
      <c r="O3177" s="101"/>
      <c r="P3177" s="101"/>
      <c r="Q3177" s="101"/>
      <c r="R3177" s="101"/>
      <c r="S3177" s="110"/>
      <c r="T3177" s="102"/>
      <c r="U3177" s="101"/>
      <c r="V3177" s="103"/>
      <c r="W3177" s="101"/>
    </row>
    <row r="3178" spans="1:23" x14ac:dyDescent="0.25">
      <c r="A3178" s="98"/>
      <c r="H3178" s="101"/>
      <c r="I3178" s="101"/>
      <c r="J3178" s="101"/>
      <c r="K3178" s="101"/>
      <c r="L3178" s="101"/>
      <c r="M3178" s="101"/>
      <c r="N3178" s="101"/>
      <c r="O3178" s="101"/>
      <c r="P3178" s="101"/>
      <c r="Q3178" s="101"/>
      <c r="R3178" s="101"/>
      <c r="S3178" s="110"/>
      <c r="T3178" s="102"/>
      <c r="U3178" s="101"/>
      <c r="V3178" s="103"/>
      <c r="W3178" s="101"/>
    </row>
    <row r="3179" spans="1:23" x14ac:dyDescent="0.25">
      <c r="A3179" s="98"/>
      <c r="H3179" s="101"/>
      <c r="I3179" s="101"/>
      <c r="J3179" s="101"/>
      <c r="K3179" s="101"/>
      <c r="L3179" s="101"/>
      <c r="M3179" s="101"/>
      <c r="N3179" s="101"/>
      <c r="O3179" s="101"/>
      <c r="P3179" s="101"/>
      <c r="Q3179" s="101"/>
      <c r="R3179" s="101"/>
      <c r="S3179" s="110"/>
      <c r="T3179" s="102"/>
      <c r="U3179" s="101"/>
      <c r="V3179" s="103"/>
      <c r="W3179" s="101"/>
    </row>
    <row r="3180" spans="1:23" x14ac:dyDescent="0.25">
      <c r="A3180" s="98"/>
      <c r="H3180" s="101"/>
      <c r="I3180" s="101"/>
      <c r="J3180" s="101"/>
      <c r="K3180" s="101"/>
      <c r="L3180" s="101"/>
      <c r="M3180" s="101"/>
      <c r="N3180" s="101"/>
      <c r="O3180" s="101"/>
      <c r="P3180" s="101"/>
      <c r="Q3180" s="101"/>
      <c r="R3180" s="101"/>
      <c r="S3180" s="110"/>
      <c r="T3180" s="102"/>
      <c r="U3180" s="101"/>
      <c r="V3180" s="103"/>
      <c r="W3180" s="101"/>
    </row>
    <row r="3181" spans="1:23" x14ac:dyDescent="0.25">
      <c r="A3181" s="98"/>
      <c r="H3181" s="101"/>
      <c r="I3181" s="101"/>
      <c r="J3181" s="101"/>
      <c r="K3181" s="101"/>
      <c r="L3181" s="101"/>
      <c r="M3181" s="101"/>
      <c r="N3181" s="101"/>
      <c r="O3181" s="101"/>
      <c r="P3181" s="101"/>
      <c r="Q3181" s="101"/>
      <c r="R3181" s="101"/>
      <c r="S3181" s="110"/>
      <c r="T3181" s="102"/>
      <c r="U3181" s="101"/>
      <c r="V3181" s="103"/>
      <c r="W3181" s="101"/>
    </row>
    <row r="3182" spans="1:23" x14ac:dyDescent="0.25">
      <c r="A3182" s="98"/>
      <c r="H3182" s="101"/>
      <c r="I3182" s="101"/>
      <c r="J3182" s="101"/>
      <c r="K3182" s="101"/>
      <c r="L3182" s="101"/>
      <c r="M3182" s="101"/>
      <c r="N3182" s="101"/>
      <c r="O3182" s="101"/>
      <c r="P3182" s="101"/>
      <c r="Q3182" s="101"/>
      <c r="R3182" s="101"/>
      <c r="S3182" s="110"/>
      <c r="T3182" s="102"/>
      <c r="U3182" s="101"/>
      <c r="V3182" s="103"/>
      <c r="W3182" s="101"/>
    </row>
    <row r="3183" spans="1:23" x14ac:dyDescent="0.25">
      <c r="A3183" s="98"/>
      <c r="H3183" s="101"/>
      <c r="I3183" s="101"/>
      <c r="J3183" s="101"/>
      <c r="K3183" s="101"/>
      <c r="L3183" s="101"/>
      <c r="M3183" s="101"/>
      <c r="N3183" s="101"/>
      <c r="O3183" s="101"/>
      <c r="P3183" s="101"/>
      <c r="Q3183" s="101"/>
      <c r="R3183" s="101"/>
      <c r="S3183" s="110"/>
      <c r="T3183" s="102"/>
      <c r="U3183" s="101"/>
      <c r="V3183" s="103"/>
      <c r="W3183" s="101"/>
    </row>
    <row r="3184" spans="1:23" x14ac:dyDescent="0.25">
      <c r="A3184" s="98"/>
      <c r="H3184" s="101"/>
      <c r="I3184" s="101"/>
      <c r="J3184" s="101"/>
      <c r="K3184" s="101"/>
      <c r="L3184" s="101"/>
      <c r="M3184" s="101"/>
      <c r="N3184" s="101"/>
      <c r="O3184" s="101"/>
      <c r="P3184" s="101"/>
      <c r="Q3184" s="101"/>
      <c r="R3184" s="101"/>
      <c r="S3184" s="110"/>
      <c r="T3184" s="102"/>
      <c r="U3184" s="101"/>
      <c r="V3184" s="103"/>
      <c r="W3184" s="101"/>
    </row>
    <row r="3185" spans="1:23" x14ac:dyDescent="0.25">
      <c r="A3185" s="98"/>
      <c r="H3185" s="101"/>
      <c r="I3185" s="101"/>
      <c r="J3185" s="101"/>
      <c r="K3185" s="101"/>
      <c r="L3185" s="101"/>
      <c r="M3185" s="101"/>
      <c r="N3185" s="101"/>
      <c r="O3185" s="101"/>
      <c r="P3185" s="101"/>
      <c r="Q3185" s="101"/>
      <c r="R3185" s="101"/>
      <c r="S3185" s="110"/>
      <c r="T3185" s="102"/>
      <c r="U3185" s="101"/>
      <c r="V3185" s="103"/>
      <c r="W3185" s="101"/>
    </row>
    <row r="3186" spans="1:23" x14ac:dyDescent="0.25">
      <c r="A3186" s="98"/>
      <c r="H3186" s="101"/>
      <c r="I3186" s="101"/>
      <c r="J3186" s="101"/>
      <c r="K3186" s="101"/>
      <c r="L3186" s="101"/>
      <c r="M3186" s="101"/>
      <c r="N3186" s="101"/>
      <c r="O3186" s="101"/>
      <c r="P3186" s="101"/>
      <c r="Q3186" s="101"/>
      <c r="R3186" s="101"/>
      <c r="S3186" s="110"/>
      <c r="T3186" s="102"/>
      <c r="U3186" s="101"/>
      <c r="V3186" s="103"/>
      <c r="W3186" s="101"/>
    </row>
    <row r="3187" spans="1:23" x14ac:dyDescent="0.25">
      <c r="A3187" s="98"/>
      <c r="H3187" s="101"/>
      <c r="I3187" s="101"/>
      <c r="J3187" s="101"/>
      <c r="K3187" s="101"/>
      <c r="L3187" s="101"/>
      <c r="M3187" s="101"/>
      <c r="N3187" s="101"/>
      <c r="O3187" s="101"/>
      <c r="P3187" s="101"/>
      <c r="Q3187" s="101"/>
      <c r="R3187" s="101"/>
      <c r="S3187" s="110"/>
      <c r="T3187" s="102"/>
      <c r="U3187" s="101"/>
      <c r="V3187" s="103"/>
      <c r="W3187" s="101"/>
    </row>
    <row r="3188" spans="1:23" x14ac:dyDescent="0.25">
      <c r="A3188" s="98"/>
      <c r="H3188" s="101"/>
      <c r="I3188" s="101"/>
      <c r="J3188" s="101"/>
      <c r="K3188" s="101"/>
      <c r="L3188" s="101"/>
      <c r="M3188" s="101"/>
      <c r="N3188" s="101"/>
      <c r="O3188" s="101"/>
      <c r="P3188" s="101"/>
      <c r="Q3188" s="101"/>
      <c r="R3188" s="101"/>
      <c r="S3188" s="110"/>
      <c r="T3188" s="102"/>
      <c r="U3188" s="101"/>
      <c r="V3188" s="103"/>
      <c r="W3188" s="101"/>
    </row>
    <row r="3189" spans="1:23" x14ac:dyDescent="0.25">
      <c r="A3189" s="98"/>
      <c r="H3189" s="101"/>
      <c r="I3189" s="101"/>
      <c r="J3189" s="101"/>
      <c r="K3189" s="101"/>
      <c r="L3189" s="101"/>
      <c r="M3189" s="101"/>
      <c r="N3189" s="101"/>
      <c r="O3189" s="101"/>
      <c r="P3189" s="101"/>
      <c r="Q3189" s="101"/>
      <c r="R3189" s="101"/>
      <c r="S3189" s="110"/>
      <c r="T3189" s="102"/>
      <c r="U3189" s="101"/>
      <c r="V3189" s="103"/>
      <c r="W3189" s="101"/>
    </row>
    <row r="3190" spans="1:23" x14ac:dyDescent="0.25">
      <c r="A3190" s="98"/>
      <c r="H3190" s="101"/>
      <c r="I3190" s="101"/>
      <c r="J3190" s="101"/>
      <c r="K3190" s="101"/>
      <c r="L3190" s="101"/>
      <c r="M3190" s="101"/>
      <c r="N3190" s="101"/>
      <c r="O3190" s="101"/>
      <c r="P3190" s="101"/>
      <c r="Q3190" s="101"/>
      <c r="R3190" s="101"/>
      <c r="S3190" s="110"/>
      <c r="T3190" s="102"/>
      <c r="U3190" s="101"/>
      <c r="V3190" s="103"/>
      <c r="W3190" s="101"/>
    </row>
    <row r="3191" spans="1:23" x14ac:dyDescent="0.25">
      <c r="A3191" s="98"/>
      <c r="H3191" s="101"/>
      <c r="I3191" s="101"/>
      <c r="J3191" s="101"/>
      <c r="K3191" s="101"/>
      <c r="L3191" s="101"/>
      <c r="M3191" s="101"/>
      <c r="N3191" s="101"/>
      <c r="O3191" s="101"/>
      <c r="P3191" s="101"/>
      <c r="Q3191" s="101"/>
      <c r="R3191" s="101"/>
      <c r="S3191" s="110"/>
      <c r="T3191" s="102"/>
      <c r="U3191" s="101"/>
      <c r="V3191" s="103"/>
      <c r="W3191" s="101"/>
    </row>
    <row r="3192" spans="1:23" x14ac:dyDescent="0.25">
      <c r="A3192" s="98"/>
      <c r="H3192" s="101"/>
      <c r="I3192" s="101"/>
      <c r="J3192" s="101"/>
      <c r="K3192" s="101"/>
      <c r="L3192" s="101"/>
      <c r="M3192" s="101"/>
      <c r="N3192" s="101"/>
      <c r="O3192" s="101"/>
      <c r="P3192" s="101"/>
      <c r="Q3192" s="101"/>
      <c r="R3192" s="101"/>
      <c r="S3192" s="110"/>
      <c r="T3192" s="102"/>
      <c r="U3192" s="101"/>
      <c r="V3192" s="103"/>
      <c r="W3192" s="101"/>
    </row>
    <row r="3193" spans="1:23" x14ac:dyDescent="0.25">
      <c r="A3193" s="98"/>
      <c r="H3193" s="101"/>
      <c r="I3193" s="101"/>
      <c r="J3193" s="101"/>
      <c r="K3193" s="101"/>
      <c r="L3193" s="101"/>
      <c r="M3193" s="101"/>
      <c r="N3193" s="101"/>
      <c r="O3193" s="101"/>
      <c r="P3193" s="101"/>
      <c r="Q3193" s="101"/>
      <c r="R3193" s="101"/>
      <c r="S3193" s="110"/>
      <c r="T3193" s="102"/>
      <c r="U3193" s="101"/>
      <c r="V3193" s="103"/>
      <c r="W3193" s="101"/>
    </row>
    <row r="3194" spans="1:23" x14ac:dyDescent="0.25">
      <c r="A3194" s="98"/>
      <c r="H3194" s="101"/>
      <c r="I3194" s="101"/>
      <c r="J3194" s="101"/>
      <c r="K3194" s="101"/>
      <c r="L3194" s="101"/>
      <c r="M3194" s="101"/>
      <c r="N3194" s="101"/>
      <c r="O3194" s="101"/>
      <c r="P3194" s="101"/>
      <c r="Q3194" s="101"/>
      <c r="R3194" s="101"/>
      <c r="S3194" s="110"/>
      <c r="T3194" s="102"/>
      <c r="U3194" s="101"/>
      <c r="V3194" s="103"/>
      <c r="W3194" s="101"/>
    </row>
    <row r="3195" spans="1:23" x14ac:dyDescent="0.25">
      <c r="A3195" s="98"/>
      <c r="H3195" s="101"/>
      <c r="I3195" s="101"/>
      <c r="J3195" s="101"/>
      <c r="K3195" s="101"/>
      <c r="L3195" s="101"/>
      <c r="M3195" s="101"/>
      <c r="N3195" s="101"/>
      <c r="O3195" s="101"/>
      <c r="P3195" s="101"/>
      <c r="Q3195" s="101"/>
      <c r="R3195" s="101"/>
      <c r="S3195" s="110"/>
      <c r="T3195" s="102"/>
      <c r="U3195" s="101"/>
      <c r="V3195" s="103"/>
      <c r="W3195" s="101"/>
    </row>
    <row r="3196" spans="1:23" x14ac:dyDescent="0.25">
      <c r="A3196" s="98"/>
      <c r="H3196" s="101"/>
      <c r="I3196" s="101"/>
      <c r="J3196" s="101"/>
      <c r="K3196" s="101"/>
      <c r="L3196" s="101"/>
      <c r="M3196" s="101"/>
      <c r="N3196" s="101"/>
      <c r="O3196" s="101"/>
      <c r="P3196" s="101"/>
      <c r="Q3196" s="101"/>
      <c r="R3196" s="101"/>
      <c r="S3196" s="110"/>
      <c r="T3196" s="102"/>
      <c r="U3196" s="101"/>
      <c r="V3196" s="103"/>
      <c r="W3196" s="101"/>
    </row>
    <row r="3197" spans="1:23" x14ac:dyDescent="0.25">
      <c r="A3197" s="98"/>
      <c r="H3197" s="101"/>
      <c r="I3197" s="101"/>
      <c r="J3197" s="101"/>
      <c r="K3197" s="101"/>
      <c r="L3197" s="101"/>
      <c r="M3197" s="101"/>
      <c r="N3197" s="101"/>
      <c r="O3197" s="101"/>
      <c r="P3197" s="101"/>
      <c r="Q3197" s="101"/>
      <c r="R3197" s="101"/>
      <c r="S3197" s="110"/>
      <c r="T3197" s="102"/>
      <c r="U3197" s="101"/>
      <c r="V3197" s="103"/>
      <c r="W3197" s="101"/>
    </row>
    <row r="3198" spans="1:23" x14ac:dyDescent="0.25">
      <c r="A3198" s="98"/>
      <c r="H3198" s="101"/>
      <c r="I3198" s="101"/>
      <c r="J3198" s="101"/>
      <c r="K3198" s="101"/>
      <c r="L3198" s="101"/>
      <c r="M3198" s="101"/>
      <c r="N3198" s="101"/>
      <c r="O3198" s="101"/>
      <c r="P3198" s="101"/>
      <c r="Q3198" s="101"/>
      <c r="R3198" s="101"/>
      <c r="S3198" s="110"/>
      <c r="T3198" s="102"/>
      <c r="U3198" s="101"/>
      <c r="V3198" s="103"/>
      <c r="W3198" s="101"/>
    </row>
    <row r="3199" spans="1:23" x14ac:dyDescent="0.25">
      <c r="A3199" s="98"/>
      <c r="H3199" s="101"/>
      <c r="I3199" s="101"/>
      <c r="J3199" s="101"/>
      <c r="K3199" s="101"/>
      <c r="L3199" s="101"/>
      <c r="M3199" s="101"/>
      <c r="N3199" s="101"/>
      <c r="O3199" s="101"/>
      <c r="P3199" s="101"/>
      <c r="Q3199" s="101"/>
      <c r="R3199" s="101"/>
      <c r="S3199" s="110"/>
      <c r="T3199" s="102"/>
      <c r="U3199" s="101"/>
      <c r="V3199" s="103"/>
      <c r="W3199" s="101"/>
    </row>
    <row r="3200" spans="1:23" x14ac:dyDescent="0.25">
      <c r="A3200" s="98"/>
      <c r="H3200" s="101"/>
      <c r="I3200" s="101"/>
      <c r="J3200" s="101"/>
      <c r="K3200" s="101"/>
      <c r="L3200" s="101"/>
      <c r="M3200" s="101"/>
      <c r="N3200" s="101"/>
      <c r="O3200" s="101"/>
      <c r="P3200" s="101"/>
      <c r="Q3200" s="101"/>
      <c r="R3200" s="101"/>
      <c r="S3200" s="110"/>
      <c r="T3200" s="102"/>
      <c r="U3200" s="101"/>
      <c r="V3200" s="103"/>
      <c r="W3200" s="101"/>
    </row>
    <row r="3201" spans="1:23" x14ac:dyDescent="0.25">
      <c r="A3201" s="98"/>
      <c r="H3201" s="101"/>
      <c r="I3201" s="101"/>
      <c r="J3201" s="101"/>
      <c r="K3201" s="101"/>
      <c r="L3201" s="101"/>
      <c r="M3201" s="101"/>
      <c r="N3201" s="101"/>
      <c r="O3201" s="101"/>
      <c r="P3201" s="101"/>
      <c r="Q3201" s="101"/>
      <c r="R3201" s="101"/>
      <c r="S3201" s="110"/>
      <c r="T3201" s="102"/>
      <c r="U3201" s="101"/>
      <c r="V3201" s="103"/>
      <c r="W3201" s="101"/>
    </row>
    <row r="3202" spans="1:23" x14ac:dyDescent="0.25">
      <c r="A3202" s="98"/>
      <c r="H3202" s="101"/>
      <c r="I3202" s="101"/>
      <c r="J3202" s="101"/>
      <c r="K3202" s="101"/>
      <c r="L3202" s="101"/>
      <c r="M3202" s="101"/>
      <c r="N3202" s="101"/>
      <c r="O3202" s="101"/>
      <c r="P3202" s="101"/>
      <c r="Q3202" s="101"/>
      <c r="R3202" s="101"/>
      <c r="S3202" s="110"/>
      <c r="T3202" s="102"/>
      <c r="U3202" s="101"/>
      <c r="V3202" s="103"/>
      <c r="W3202" s="101"/>
    </row>
    <row r="3203" spans="1:23" x14ac:dyDescent="0.25">
      <c r="A3203" s="98"/>
      <c r="H3203" s="101"/>
      <c r="I3203" s="101"/>
      <c r="J3203" s="101"/>
      <c r="K3203" s="101"/>
      <c r="L3203" s="101"/>
      <c r="M3203" s="101"/>
      <c r="N3203" s="101"/>
      <c r="O3203" s="101"/>
      <c r="P3203" s="101"/>
      <c r="Q3203" s="101"/>
      <c r="R3203" s="101"/>
      <c r="S3203" s="110"/>
      <c r="T3203" s="102"/>
      <c r="U3203" s="101"/>
      <c r="V3203" s="103"/>
      <c r="W3203" s="101"/>
    </row>
    <row r="3204" spans="1:23" x14ac:dyDescent="0.25">
      <c r="A3204" s="98"/>
      <c r="H3204" s="101"/>
      <c r="I3204" s="101"/>
      <c r="J3204" s="101"/>
      <c r="K3204" s="101"/>
      <c r="L3204" s="101"/>
      <c r="M3204" s="101"/>
      <c r="N3204" s="101"/>
      <c r="O3204" s="101"/>
      <c r="P3204" s="101"/>
      <c r="Q3204" s="101"/>
      <c r="R3204" s="101"/>
      <c r="S3204" s="110"/>
      <c r="T3204" s="102"/>
      <c r="U3204" s="101"/>
      <c r="V3204" s="103"/>
      <c r="W3204" s="101"/>
    </row>
    <row r="3205" spans="1:23" x14ac:dyDescent="0.25">
      <c r="A3205" s="98"/>
      <c r="H3205" s="101"/>
      <c r="I3205" s="101"/>
      <c r="J3205" s="101"/>
      <c r="K3205" s="101"/>
      <c r="L3205" s="101"/>
      <c r="M3205" s="101"/>
      <c r="N3205" s="101"/>
      <c r="O3205" s="101"/>
      <c r="P3205" s="101"/>
      <c r="Q3205" s="101"/>
      <c r="R3205" s="101"/>
      <c r="S3205" s="110"/>
      <c r="T3205" s="102"/>
      <c r="U3205" s="101"/>
      <c r="V3205" s="103"/>
      <c r="W3205" s="101"/>
    </row>
    <row r="3206" spans="1:23" x14ac:dyDescent="0.25">
      <c r="A3206" s="98"/>
      <c r="H3206" s="101"/>
      <c r="I3206" s="101"/>
      <c r="J3206" s="101"/>
      <c r="K3206" s="101"/>
      <c r="L3206" s="101"/>
      <c r="M3206" s="101"/>
      <c r="N3206" s="101"/>
      <c r="O3206" s="101"/>
      <c r="P3206" s="101"/>
      <c r="Q3206" s="101"/>
      <c r="R3206" s="101"/>
      <c r="S3206" s="110"/>
      <c r="T3206" s="102"/>
      <c r="U3206" s="101"/>
      <c r="V3206" s="103"/>
      <c r="W3206" s="101"/>
    </row>
    <row r="3207" spans="1:23" x14ac:dyDescent="0.25">
      <c r="A3207" s="98"/>
      <c r="H3207" s="101"/>
      <c r="I3207" s="101"/>
      <c r="J3207" s="101"/>
      <c r="K3207" s="101"/>
      <c r="L3207" s="101"/>
      <c r="M3207" s="101"/>
      <c r="N3207" s="101"/>
      <c r="O3207" s="101"/>
      <c r="P3207" s="101"/>
      <c r="Q3207" s="101"/>
      <c r="R3207" s="101"/>
      <c r="S3207" s="110"/>
      <c r="T3207" s="102"/>
      <c r="U3207" s="101"/>
      <c r="V3207" s="103"/>
      <c r="W3207" s="101"/>
    </row>
    <row r="3208" spans="1:23" x14ac:dyDescent="0.25">
      <c r="A3208" s="98"/>
      <c r="H3208" s="101"/>
      <c r="I3208" s="101"/>
      <c r="J3208" s="101"/>
      <c r="K3208" s="101"/>
      <c r="L3208" s="101"/>
      <c r="M3208" s="101"/>
      <c r="N3208" s="101"/>
      <c r="O3208" s="101"/>
      <c r="P3208" s="101"/>
      <c r="Q3208" s="101"/>
      <c r="R3208" s="101"/>
      <c r="S3208" s="110"/>
      <c r="T3208" s="102"/>
      <c r="U3208" s="101"/>
      <c r="V3208" s="103"/>
      <c r="W3208" s="101"/>
    </row>
    <row r="3209" spans="1:23" x14ac:dyDescent="0.25">
      <c r="A3209" s="98"/>
      <c r="H3209" s="101"/>
      <c r="I3209" s="101"/>
      <c r="J3209" s="101"/>
      <c r="K3209" s="101"/>
      <c r="L3209" s="101"/>
      <c r="M3209" s="101"/>
      <c r="N3209" s="101"/>
      <c r="O3209" s="101"/>
      <c r="P3209" s="101"/>
      <c r="Q3209" s="101"/>
      <c r="R3209" s="101"/>
      <c r="S3209" s="110"/>
      <c r="T3209" s="102"/>
      <c r="U3209" s="101"/>
      <c r="V3209" s="103"/>
      <c r="W3209" s="101"/>
    </row>
    <row r="3210" spans="1:23" x14ac:dyDescent="0.25">
      <c r="A3210" s="98"/>
      <c r="H3210" s="101"/>
      <c r="I3210" s="101"/>
      <c r="J3210" s="101"/>
      <c r="K3210" s="101"/>
      <c r="L3210" s="101"/>
      <c r="M3210" s="101"/>
      <c r="N3210" s="101"/>
      <c r="O3210" s="101"/>
      <c r="P3210" s="101"/>
      <c r="Q3210" s="101"/>
      <c r="R3210" s="101"/>
      <c r="S3210" s="110"/>
      <c r="T3210" s="102"/>
      <c r="U3210" s="101"/>
      <c r="V3210" s="103"/>
      <c r="W3210" s="101"/>
    </row>
    <row r="3211" spans="1:23" x14ac:dyDescent="0.25">
      <c r="A3211" s="98"/>
      <c r="H3211" s="101"/>
      <c r="I3211" s="101"/>
      <c r="J3211" s="101"/>
      <c r="K3211" s="101"/>
      <c r="L3211" s="101"/>
      <c r="M3211" s="101"/>
      <c r="N3211" s="101"/>
      <c r="O3211" s="101"/>
      <c r="P3211" s="101"/>
      <c r="Q3211" s="101"/>
      <c r="R3211" s="101"/>
      <c r="S3211" s="110"/>
      <c r="T3211" s="102"/>
      <c r="U3211" s="101"/>
      <c r="V3211" s="103"/>
      <c r="W3211" s="101"/>
    </row>
    <row r="3212" spans="1:23" x14ac:dyDescent="0.25">
      <c r="A3212" s="98"/>
      <c r="H3212" s="101"/>
      <c r="I3212" s="101"/>
      <c r="J3212" s="101"/>
      <c r="K3212" s="101"/>
      <c r="L3212" s="101"/>
      <c r="M3212" s="101"/>
      <c r="N3212" s="101"/>
      <c r="O3212" s="101"/>
      <c r="P3212" s="101"/>
      <c r="Q3212" s="101"/>
      <c r="R3212" s="101"/>
      <c r="S3212" s="110"/>
      <c r="T3212" s="102"/>
      <c r="U3212" s="101"/>
      <c r="V3212" s="103"/>
      <c r="W3212" s="101"/>
    </row>
    <row r="3213" spans="1:23" x14ac:dyDescent="0.25">
      <c r="A3213" s="98"/>
      <c r="H3213" s="101"/>
      <c r="I3213" s="101"/>
      <c r="J3213" s="101"/>
      <c r="K3213" s="101"/>
      <c r="L3213" s="101"/>
      <c r="M3213" s="101"/>
      <c r="N3213" s="101"/>
      <c r="O3213" s="101"/>
      <c r="P3213" s="101"/>
      <c r="Q3213" s="101"/>
      <c r="R3213" s="101"/>
      <c r="S3213" s="110"/>
      <c r="T3213" s="102"/>
      <c r="U3213" s="101"/>
      <c r="V3213" s="103"/>
      <c r="W3213" s="101"/>
    </row>
    <row r="3214" spans="1:23" x14ac:dyDescent="0.25">
      <c r="A3214" s="98"/>
      <c r="H3214" s="101"/>
      <c r="I3214" s="101"/>
      <c r="J3214" s="101"/>
      <c r="K3214" s="101"/>
      <c r="L3214" s="101"/>
      <c r="M3214" s="101"/>
      <c r="N3214" s="101"/>
      <c r="O3214" s="101"/>
      <c r="P3214" s="101"/>
      <c r="Q3214" s="101"/>
      <c r="R3214" s="101"/>
      <c r="S3214" s="110"/>
      <c r="T3214" s="102"/>
      <c r="U3214" s="101"/>
      <c r="V3214" s="103"/>
      <c r="W3214" s="101"/>
    </row>
    <row r="3215" spans="1:23" x14ac:dyDescent="0.25">
      <c r="A3215" s="98"/>
      <c r="H3215" s="101"/>
      <c r="I3215" s="101"/>
      <c r="J3215" s="101"/>
      <c r="K3215" s="101"/>
      <c r="L3215" s="101"/>
      <c r="M3215" s="101"/>
      <c r="N3215" s="101"/>
      <c r="O3215" s="101"/>
      <c r="P3215" s="101"/>
      <c r="Q3215" s="101"/>
      <c r="R3215" s="101"/>
      <c r="S3215" s="110"/>
      <c r="T3215" s="102"/>
      <c r="U3215" s="101"/>
      <c r="V3215" s="103"/>
      <c r="W3215" s="101"/>
    </row>
    <row r="3216" spans="1:23" x14ac:dyDescent="0.25">
      <c r="A3216" s="98"/>
      <c r="H3216" s="101"/>
      <c r="I3216" s="101"/>
      <c r="J3216" s="101"/>
      <c r="K3216" s="101"/>
      <c r="L3216" s="101"/>
      <c r="M3216" s="101"/>
      <c r="N3216" s="101"/>
      <c r="O3216" s="101"/>
      <c r="P3216" s="101"/>
      <c r="Q3216" s="101"/>
      <c r="R3216" s="101"/>
      <c r="S3216" s="110"/>
      <c r="T3216" s="102"/>
      <c r="U3216" s="101"/>
      <c r="V3216" s="103"/>
      <c r="W3216" s="101"/>
    </row>
    <row r="3217" spans="1:23" x14ac:dyDescent="0.25">
      <c r="A3217" s="98"/>
      <c r="H3217" s="101"/>
      <c r="I3217" s="101"/>
      <c r="J3217" s="101"/>
      <c r="K3217" s="101"/>
      <c r="L3217" s="101"/>
      <c r="M3217" s="101"/>
      <c r="N3217" s="101"/>
      <c r="O3217" s="101"/>
      <c r="P3217" s="101"/>
      <c r="Q3217" s="101"/>
      <c r="R3217" s="101"/>
      <c r="S3217" s="110"/>
      <c r="T3217" s="102"/>
      <c r="U3217" s="101"/>
      <c r="V3217" s="103"/>
      <c r="W3217" s="101"/>
    </row>
    <row r="3218" spans="1:23" x14ac:dyDescent="0.25">
      <c r="A3218" s="98"/>
      <c r="H3218" s="101"/>
      <c r="I3218" s="101"/>
      <c r="J3218" s="101"/>
      <c r="K3218" s="101"/>
      <c r="L3218" s="101"/>
      <c r="M3218" s="101"/>
      <c r="N3218" s="101"/>
      <c r="O3218" s="101"/>
      <c r="P3218" s="101"/>
      <c r="Q3218" s="101"/>
      <c r="R3218" s="101"/>
      <c r="S3218" s="110"/>
      <c r="T3218" s="102"/>
      <c r="U3218" s="101"/>
      <c r="V3218" s="103"/>
      <c r="W3218" s="101"/>
    </row>
    <row r="3219" spans="1:23" x14ac:dyDescent="0.25">
      <c r="A3219" s="98"/>
      <c r="H3219" s="101"/>
      <c r="I3219" s="101"/>
      <c r="J3219" s="101"/>
      <c r="K3219" s="101"/>
      <c r="L3219" s="101"/>
      <c r="M3219" s="101"/>
      <c r="N3219" s="101"/>
      <c r="O3219" s="101"/>
      <c r="P3219" s="101"/>
      <c r="Q3219" s="101"/>
      <c r="R3219" s="101"/>
      <c r="S3219" s="110"/>
      <c r="T3219" s="102"/>
      <c r="U3219" s="101"/>
      <c r="V3219" s="103"/>
      <c r="W3219" s="101"/>
    </row>
    <row r="3220" spans="1:23" x14ac:dyDescent="0.25">
      <c r="A3220" s="98"/>
      <c r="H3220" s="101"/>
      <c r="I3220" s="101"/>
      <c r="J3220" s="101"/>
      <c r="K3220" s="101"/>
      <c r="L3220" s="101"/>
      <c r="M3220" s="101"/>
      <c r="N3220" s="101"/>
      <c r="O3220" s="101"/>
      <c r="P3220" s="101"/>
      <c r="Q3220" s="101"/>
      <c r="R3220" s="101"/>
      <c r="S3220" s="110"/>
      <c r="T3220" s="102"/>
      <c r="U3220" s="101"/>
      <c r="V3220" s="103"/>
      <c r="W3220" s="101"/>
    </row>
    <row r="3221" spans="1:23" x14ac:dyDescent="0.25">
      <c r="A3221" s="98"/>
      <c r="H3221" s="101"/>
      <c r="I3221" s="101"/>
      <c r="J3221" s="101"/>
      <c r="K3221" s="101"/>
      <c r="L3221" s="101"/>
      <c r="M3221" s="101"/>
      <c r="N3221" s="101"/>
      <c r="O3221" s="101"/>
      <c r="P3221" s="101"/>
      <c r="Q3221" s="101"/>
      <c r="R3221" s="101"/>
      <c r="S3221" s="110"/>
      <c r="T3221" s="102"/>
      <c r="U3221" s="101"/>
      <c r="V3221" s="103"/>
      <c r="W3221" s="101"/>
    </row>
    <row r="3222" spans="1:23" x14ac:dyDescent="0.25">
      <c r="A3222" s="98"/>
      <c r="H3222" s="101"/>
      <c r="I3222" s="101"/>
      <c r="J3222" s="101"/>
      <c r="K3222" s="101"/>
      <c r="L3222" s="101"/>
      <c r="M3222" s="101"/>
      <c r="N3222" s="101"/>
      <c r="O3222" s="101"/>
      <c r="P3222" s="101"/>
      <c r="Q3222" s="101"/>
      <c r="R3222" s="101"/>
      <c r="S3222" s="110"/>
      <c r="T3222" s="102"/>
      <c r="U3222" s="101"/>
      <c r="V3222" s="103"/>
      <c r="W3222" s="101"/>
    </row>
    <row r="3223" spans="1:23" x14ac:dyDescent="0.25">
      <c r="A3223" s="98"/>
      <c r="H3223" s="101"/>
      <c r="I3223" s="101"/>
      <c r="J3223" s="101"/>
      <c r="K3223" s="101"/>
      <c r="L3223" s="101"/>
      <c r="M3223" s="101"/>
      <c r="N3223" s="101"/>
      <c r="O3223" s="101"/>
      <c r="P3223" s="101"/>
      <c r="Q3223" s="101"/>
      <c r="R3223" s="101"/>
      <c r="S3223" s="110"/>
      <c r="T3223" s="102"/>
      <c r="U3223" s="101"/>
      <c r="V3223" s="103"/>
      <c r="W3223" s="101"/>
    </row>
    <row r="3224" spans="1:23" x14ac:dyDescent="0.25">
      <c r="A3224" s="98"/>
      <c r="H3224" s="101"/>
      <c r="I3224" s="101"/>
      <c r="J3224" s="101"/>
      <c r="K3224" s="101"/>
      <c r="L3224" s="101"/>
      <c r="M3224" s="101"/>
      <c r="N3224" s="101"/>
      <c r="O3224" s="101"/>
      <c r="P3224" s="101"/>
      <c r="Q3224" s="101"/>
      <c r="R3224" s="101"/>
      <c r="S3224" s="110"/>
      <c r="T3224" s="102"/>
      <c r="U3224" s="101"/>
      <c r="V3224" s="103"/>
      <c r="W3224" s="101"/>
    </row>
    <row r="3225" spans="1:23" x14ac:dyDescent="0.25">
      <c r="A3225" s="98"/>
      <c r="H3225" s="101"/>
      <c r="I3225" s="101"/>
      <c r="J3225" s="101"/>
      <c r="K3225" s="101"/>
      <c r="L3225" s="101"/>
      <c r="M3225" s="101"/>
      <c r="N3225" s="101"/>
      <c r="O3225" s="101"/>
      <c r="P3225" s="101"/>
      <c r="Q3225" s="101"/>
      <c r="R3225" s="101"/>
      <c r="S3225" s="110"/>
      <c r="T3225" s="102"/>
      <c r="U3225" s="101"/>
      <c r="V3225" s="103"/>
      <c r="W3225" s="101"/>
    </row>
    <row r="3226" spans="1:23" x14ac:dyDescent="0.25">
      <c r="A3226" s="98"/>
      <c r="H3226" s="101"/>
      <c r="I3226" s="101"/>
      <c r="J3226" s="101"/>
      <c r="K3226" s="101"/>
      <c r="L3226" s="101"/>
      <c r="M3226" s="101"/>
      <c r="N3226" s="101"/>
      <c r="O3226" s="101"/>
      <c r="P3226" s="101"/>
      <c r="Q3226" s="101"/>
      <c r="R3226" s="101"/>
      <c r="S3226" s="110"/>
      <c r="T3226" s="102"/>
      <c r="U3226" s="101"/>
      <c r="V3226" s="103"/>
      <c r="W3226" s="101"/>
    </row>
    <row r="3227" spans="1:23" x14ac:dyDescent="0.25">
      <c r="A3227" s="98"/>
      <c r="H3227" s="101"/>
      <c r="I3227" s="101"/>
      <c r="J3227" s="101"/>
      <c r="K3227" s="101"/>
      <c r="L3227" s="101"/>
      <c r="M3227" s="101"/>
      <c r="N3227" s="101"/>
      <c r="O3227" s="101"/>
      <c r="P3227" s="101"/>
      <c r="Q3227" s="101"/>
      <c r="R3227" s="101"/>
      <c r="S3227" s="110"/>
      <c r="T3227" s="102"/>
      <c r="U3227" s="101"/>
      <c r="V3227" s="103"/>
      <c r="W3227" s="101"/>
    </row>
    <row r="3228" spans="1:23" x14ac:dyDescent="0.25">
      <c r="A3228" s="98"/>
      <c r="H3228" s="101"/>
      <c r="I3228" s="101"/>
      <c r="J3228" s="101"/>
      <c r="K3228" s="101"/>
      <c r="L3228" s="101"/>
      <c r="M3228" s="101"/>
      <c r="N3228" s="101"/>
      <c r="O3228" s="101"/>
      <c r="P3228" s="101"/>
      <c r="Q3228" s="101"/>
      <c r="R3228" s="101"/>
      <c r="S3228" s="110"/>
      <c r="T3228" s="102"/>
      <c r="U3228" s="101"/>
      <c r="V3228" s="103"/>
      <c r="W3228" s="101"/>
    </row>
    <row r="3229" spans="1:23" x14ac:dyDescent="0.25">
      <c r="A3229" s="98"/>
      <c r="H3229" s="101"/>
      <c r="I3229" s="101"/>
      <c r="J3229" s="101"/>
      <c r="K3229" s="101"/>
      <c r="L3229" s="101"/>
      <c r="M3229" s="101"/>
      <c r="N3229" s="101"/>
      <c r="O3229" s="101"/>
      <c r="P3229" s="101"/>
      <c r="Q3229" s="101"/>
      <c r="R3229" s="101"/>
      <c r="S3229" s="110"/>
      <c r="T3229" s="102"/>
      <c r="U3229" s="101"/>
      <c r="V3229" s="103"/>
      <c r="W3229" s="101"/>
    </row>
    <row r="3230" spans="1:23" x14ac:dyDescent="0.25">
      <c r="A3230" s="98"/>
      <c r="H3230" s="101"/>
      <c r="I3230" s="101"/>
      <c r="J3230" s="101"/>
      <c r="K3230" s="101"/>
      <c r="L3230" s="101"/>
      <c r="M3230" s="101"/>
      <c r="N3230" s="101"/>
      <c r="O3230" s="101"/>
      <c r="P3230" s="101"/>
      <c r="Q3230" s="101"/>
      <c r="R3230" s="101"/>
      <c r="S3230" s="110"/>
      <c r="T3230" s="102"/>
      <c r="U3230" s="101"/>
      <c r="V3230" s="103"/>
      <c r="W3230" s="101"/>
    </row>
    <row r="3231" spans="1:23" x14ac:dyDescent="0.25">
      <c r="A3231" s="98"/>
      <c r="H3231" s="101"/>
      <c r="I3231" s="101"/>
      <c r="J3231" s="101"/>
      <c r="K3231" s="101"/>
      <c r="L3231" s="101"/>
      <c r="M3231" s="101"/>
      <c r="N3231" s="101"/>
      <c r="O3231" s="101"/>
      <c r="P3231" s="101"/>
      <c r="Q3231" s="101"/>
      <c r="R3231" s="101"/>
      <c r="S3231" s="110"/>
      <c r="T3231" s="102"/>
      <c r="U3231" s="101"/>
      <c r="V3231" s="103"/>
      <c r="W3231" s="101"/>
    </row>
    <row r="3232" spans="1:23" x14ac:dyDescent="0.25">
      <c r="A3232" s="98"/>
      <c r="H3232" s="101"/>
      <c r="I3232" s="101"/>
      <c r="J3232" s="101"/>
      <c r="K3232" s="101"/>
      <c r="L3232" s="101"/>
      <c r="M3232" s="101"/>
      <c r="N3232" s="101"/>
      <c r="O3232" s="101"/>
      <c r="P3232" s="101"/>
      <c r="Q3232" s="101"/>
      <c r="R3232" s="101"/>
      <c r="S3232" s="110"/>
      <c r="T3232" s="102"/>
      <c r="U3232" s="101"/>
      <c r="V3232" s="103"/>
      <c r="W3232" s="101"/>
    </row>
    <row r="3233" spans="1:23" x14ac:dyDescent="0.25">
      <c r="A3233" s="98"/>
      <c r="H3233" s="101"/>
      <c r="I3233" s="101"/>
      <c r="J3233" s="101"/>
      <c r="K3233" s="101"/>
      <c r="L3233" s="101"/>
      <c r="M3233" s="101"/>
      <c r="N3233" s="101"/>
      <c r="O3233" s="101"/>
      <c r="P3233" s="101"/>
      <c r="Q3233" s="101"/>
      <c r="R3233" s="101"/>
      <c r="S3233" s="110"/>
      <c r="T3233" s="102"/>
      <c r="U3233" s="101"/>
      <c r="V3233" s="103"/>
      <c r="W3233" s="101"/>
    </row>
    <row r="3234" spans="1:23" x14ac:dyDescent="0.25">
      <c r="A3234" s="98"/>
      <c r="H3234" s="101"/>
      <c r="I3234" s="101"/>
      <c r="J3234" s="101"/>
      <c r="K3234" s="101"/>
      <c r="L3234" s="101"/>
      <c r="M3234" s="101"/>
      <c r="N3234" s="101"/>
      <c r="O3234" s="101"/>
      <c r="P3234" s="101"/>
      <c r="Q3234" s="101"/>
      <c r="R3234" s="101"/>
      <c r="S3234" s="110"/>
      <c r="T3234" s="102"/>
      <c r="U3234" s="101"/>
      <c r="V3234" s="103"/>
      <c r="W3234" s="101"/>
    </row>
    <row r="3235" spans="1:23" x14ac:dyDescent="0.25">
      <c r="A3235" s="98"/>
      <c r="H3235" s="101"/>
      <c r="I3235" s="101"/>
      <c r="J3235" s="101"/>
      <c r="K3235" s="101"/>
      <c r="L3235" s="101"/>
      <c r="M3235" s="101"/>
      <c r="N3235" s="101"/>
      <c r="O3235" s="101"/>
      <c r="P3235" s="101"/>
      <c r="Q3235" s="101"/>
      <c r="R3235" s="101"/>
      <c r="S3235" s="110"/>
      <c r="T3235" s="102"/>
      <c r="U3235" s="101"/>
      <c r="V3235" s="103"/>
      <c r="W3235" s="101"/>
    </row>
    <row r="3236" spans="1:23" x14ac:dyDescent="0.25">
      <c r="A3236" s="98"/>
      <c r="H3236" s="101"/>
      <c r="I3236" s="101"/>
      <c r="J3236" s="101"/>
      <c r="K3236" s="101"/>
      <c r="L3236" s="101"/>
      <c r="M3236" s="101"/>
      <c r="N3236" s="101"/>
      <c r="O3236" s="101"/>
      <c r="P3236" s="101"/>
      <c r="Q3236" s="101"/>
      <c r="R3236" s="101"/>
      <c r="S3236" s="110"/>
      <c r="T3236" s="102"/>
      <c r="U3236" s="101"/>
      <c r="V3236" s="103"/>
      <c r="W3236" s="101"/>
    </row>
    <row r="3237" spans="1:23" x14ac:dyDescent="0.25">
      <c r="A3237" s="98"/>
      <c r="H3237" s="101"/>
      <c r="I3237" s="101"/>
      <c r="J3237" s="101"/>
      <c r="K3237" s="101"/>
      <c r="L3237" s="101"/>
      <c r="M3237" s="101"/>
      <c r="N3237" s="101"/>
      <c r="O3237" s="101"/>
      <c r="P3237" s="101"/>
      <c r="Q3237" s="101"/>
      <c r="R3237" s="101"/>
      <c r="S3237" s="110"/>
      <c r="T3237" s="102"/>
      <c r="U3237" s="101"/>
      <c r="V3237" s="103"/>
      <c r="W3237" s="101"/>
    </row>
    <row r="3238" spans="1:23" x14ac:dyDescent="0.25">
      <c r="A3238" s="98"/>
      <c r="H3238" s="101"/>
      <c r="I3238" s="101"/>
      <c r="J3238" s="101"/>
      <c r="K3238" s="101"/>
      <c r="L3238" s="101"/>
      <c r="M3238" s="101"/>
      <c r="N3238" s="101"/>
      <c r="O3238" s="101"/>
      <c r="P3238" s="101"/>
      <c r="Q3238" s="101"/>
      <c r="R3238" s="101"/>
      <c r="S3238" s="110"/>
      <c r="T3238" s="102"/>
      <c r="U3238" s="101"/>
      <c r="V3238" s="103"/>
      <c r="W3238" s="101"/>
    </row>
    <row r="3239" spans="1:23" x14ac:dyDescent="0.25">
      <c r="A3239" s="98"/>
      <c r="H3239" s="101"/>
      <c r="I3239" s="101"/>
      <c r="J3239" s="101"/>
      <c r="K3239" s="101"/>
      <c r="L3239" s="101"/>
      <c r="M3239" s="101"/>
      <c r="N3239" s="101"/>
      <c r="O3239" s="101"/>
      <c r="P3239" s="101"/>
      <c r="Q3239" s="101"/>
      <c r="R3239" s="101"/>
      <c r="S3239" s="110"/>
      <c r="T3239" s="102"/>
      <c r="U3239" s="101"/>
      <c r="V3239" s="103"/>
      <c r="W3239" s="101"/>
    </row>
    <row r="3240" spans="1:23" x14ac:dyDescent="0.25">
      <c r="A3240" s="98"/>
      <c r="H3240" s="101"/>
      <c r="I3240" s="101"/>
      <c r="J3240" s="101"/>
      <c r="K3240" s="101"/>
      <c r="L3240" s="101"/>
      <c r="M3240" s="101"/>
      <c r="N3240" s="101"/>
      <c r="O3240" s="101"/>
      <c r="P3240" s="101"/>
      <c r="Q3240" s="101"/>
      <c r="R3240" s="101"/>
      <c r="S3240" s="110"/>
      <c r="T3240" s="102"/>
      <c r="U3240" s="101"/>
      <c r="V3240" s="103"/>
      <c r="W3240" s="101"/>
    </row>
    <row r="3241" spans="1:23" x14ac:dyDescent="0.25">
      <c r="A3241" s="98"/>
      <c r="H3241" s="101"/>
      <c r="I3241" s="101"/>
      <c r="J3241" s="101"/>
      <c r="K3241" s="101"/>
      <c r="L3241" s="101"/>
      <c r="M3241" s="101"/>
      <c r="N3241" s="101"/>
      <c r="O3241" s="101"/>
      <c r="P3241" s="101"/>
      <c r="Q3241" s="101"/>
      <c r="R3241" s="101"/>
      <c r="S3241" s="110"/>
      <c r="T3241" s="102"/>
      <c r="U3241" s="101"/>
      <c r="V3241" s="103"/>
      <c r="W3241" s="101"/>
    </row>
    <row r="3242" spans="1:23" x14ac:dyDescent="0.25">
      <c r="A3242" s="98"/>
      <c r="H3242" s="101"/>
      <c r="I3242" s="101"/>
      <c r="J3242" s="101"/>
      <c r="K3242" s="101"/>
      <c r="L3242" s="101"/>
      <c r="M3242" s="101"/>
      <c r="N3242" s="101"/>
      <c r="O3242" s="101"/>
      <c r="P3242" s="101"/>
      <c r="Q3242" s="101"/>
      <c r="R3242" s="101"/>
      <c r="S3242" s="110"/>
      <c r="T3242" s="102"/>
      <c r="U3242" s="101"/>
      <c r="V3242" s="103"/>
      <c r="W3242" s="101"/>
    </row>
    <row r="3243" spans="1:23" x14ac:dyDescent="0.25">
      <c r="A3243" s="98"/>
      <c r="H3243" s="101"/>
      <c r="I3243" s="101"/>
      <c r="J3243" s="101"/>
      <c r="K3243" s="101"/>
      <c r="L3243" s="101"/>
      <c r="M3243" s="101"/>
      <c r="N3243" s="101"/>
      <c r="O3243" s="101"/>
      <c r="P3243" s="101"/>
      <c r="Q3243" s="101"/>
      <c r="R3243" s="101"/>
      <c r="S3243" s="110"/>
      <c r="T3243" s="102"/>
      <c r="U3243" s="101"/>
      <c r="V3243" s="103"/>
      <c r="W3243" s="101"/>
    </row>
    <row r="3244" spans="1:23" x14ac:dyDescent="0.25">
      <c r="A3244" s="98"/>
      <c r="H3244" s="101"/>
      <c r="I3244" s="101"/>
      <c r="J3244" s="101"/>
      <c r="K3244" s="101"/>
      <c r="L3244" s="101"/>
      <c r="M3244" s="101"/>
      <c r="N3244" s="101"/>
      <c r="O3244" s="101"/>
      <c r="P3244" s="101"/>
      <c r="Q3244" s="101"/>
      <c r="R3244" s="101"/>
      <c r="S3244" s="110"/>
      <c r="T3244" s="102"/>
      <c r="U3244" s="101"/>
      <c r="V3244" s="103"/>
      <c r="W3244" s="101"/>
    </row>
    <row r="3245" spans="1:23" x14ac:dyDescent="0.25">
      <c r="A3245" s="98"/>
      <c r="H3245" s="101"/>
      <c r="I3245" s="101"/>
      <c r="J3245" s="101"/>
      <c r="K3245" s="101"/>
      <c r="L3245" s="101"/>
      <c r="M3245" s="101"/>
      <c r="N3245" s="101"/>
      <c r="O3245" s="101"/>
      <c r="P3245" s="101"/>
      <c r="Q3245" s="101"/>
      <c r="R3245" s="101"/>
      <c r="S3245" s="110"/>
      <c r="T3245" s="102"/>
      <c r="U3245" s="101"/>
      <c r="V3245" s="103"/>
      <c r="W3245" s="101"/>
    </row>
    <row r="3246" spans="1:23" x14ac:dyDescent="0.25">
      <c r="A3246" s="98"/>
      <c r="H3246" s="101"/>
      <c r="I3246" s="101"/>
      <c r="J3246" s="101"/>
      <c r="K3246" s="101"/>
      <c r="L3246" s="101"/>
      <c r="M3246" s="101"/>
      <c r="N3246" s="101"/>
      <c r="O3246" s="101"/>
      <c r="P3246" s="101"/>
      <c r="Q3246" s="101"/>
      <c r="R3246" s="101"/>
      <c r="S3246" s="110"/>
      <c r="T3246" s="102"/>
      <c r="U3246" s="101"/>
      <c r="V3246" s="103"/>
      <c r="W3246" s="101"/>
    </row>
    <row r="3247" spans="1:23" x14ac:dyDescent="0.25">
      <c r="A3247" s="98"/>
      <c r="H3247" s="101"/>
      <c r="I3247" s="101"/>
      <c r="J3247" s="101"/>
      <c r="K3247" s="101"/>
      <c r="L3247" s="101"/>
      <c r="M3247" s="101"/>
      <c r="N3247" s="101"/>
      <c r="O3247" s="101"/>
      <c r="P3247" s="101"/>
      <c r="Q3247" s="101"/>
      <c r="R3247" s="101"/>
      <c r="S3247" s="110"/>
      <c r="T3247" s="102"/>
      <c r="U3247" s="101"/>
      <c r="V3247" s="103"/>
      <c r="W3247" s="101"/>
    </row>
    <row r="3248" spans="1:23" x14ac:dyDescent="0.25">
      <c r="A3248" s="98"/>
      <c r="H3248" s="101"/>
      <c r="I3248" s="101"/>
      <c r="J3248" s="101"/>
      <c r="K3248" s="101"/>
      <c r="L3248" s="101"/>
      <c r="M3248" s="101"/>
      <c r="N3248" s="101"/>
      <c r="O3248" s="101"/>
      <c r="P3248" s="101"/>
      <c r="Q3248" s="101"/>
      <c r="R3248" s="101"/>
      <c r="S3248" s="110"/>
      <c r="T3248" s="102"/>
      <c r="U3248" s="101"/>
      <c r="V3248" s="103"/>
      <c r="W3248" s="101"/>
    </row>
    <row r="3249" spans="1:23" x14ac:dyDescent="0.25">
      <c r="A3249" s="98"/>
      <c r="H3249" s="101"/>
      <c r="I3249" s="101"/>
      <c r="J3249" s="101"/>
      <c r="K3249" s="101"/>
      <c r="L3249" s="101"/>
      <c r="M3249" s="101"/>
      <c r="N3249" s="101"/>
      <c r="O3249" s="101"/>
      <c r="P3249" s="101"/>
      <c r="Q3249" s="101"/>
      <c r="R3249" s="101"/>
      <c r="S3249" s="110"/>
      <c r="T3249" s="102"/>
      <c r="U3249" s="101"/>
      <c r="V3249" s="103"/>
      <c r="W3249" s="101"/>
    </row>
    <row r="3250" spans="1:23" x14ac:dyDescent="0.25">
      <c r="A3250" s="98"/>
      <c r="H3250" s="101"/>
      <c r="I3250" s="101"/>
      <c r="J3250" s="101"/>
      <c r="K3250" s="101"/>
      <c r="L3250" s="101"/>
      <c r="M3250" s="101"/>
      <c r="N3250" s="101"/>
      <c r="O3250" s="101"/>
      <c r="P3250" s="101"/>
      <c r="Q3250" s="101"/>
      <c r="R3250" s="101"/>
      <c r="S3250" s="110"/>
      <c r="T3250" s="102"/>
      <c r="U3250" s="101"/>
      <c r="V3250" s="103"/>
      <c r="W3250" s="101"/>
    </row>
    <row r="3251" spans="1:23" x14ac:dyDescent="0.25">
      <c r="A3251" s="98"/>
      <c r="H3251" s="101"/>
      <c r="I3251" s="101"/>
      <c r="J3251" s="101"/>
      <c r="K3251" s="101"/>
      <c r="L3251" s="101"/>
      <c r="M3251" s="101"/>
      <c r="N3251" s="101"/>
      <c r="O3251" s="101"/>
      <c r="P3251" s="101"/>
      <c r="Q3251" s="101"/>
      <c r="R3251" s="101"/>
      <c r="S3251" s="110"/>
      <c r="T3251" s="102"/>
      <c r="U3251" s="101"/>
      <c r="V3251" s="103"/>
      <c r="W3251" s="101"/>
    </row>
    <row r="3252" spans="1:23" x14ac:dyDescent="0.25">
      <c r="A3252" s="98"/>
      <c r="H3252" s="101"/>
      <c r="I3252" s="101"/>
      <c r="J3252" s="101"/>
      <c r="K3252" s="101"/>
      <c r="L3252" s="101"/>
      <c r="M3252" s="101"/>
      <c r="N3252" s="101"/>
      <c r="O3252" s="101"/>
      <c r="P3252" s="101"/>
      <c r="Q3252" s="101"/>
      <c r="R3252" s="101"/>
      <c r="S3252" s="110"/>
      <c r="T3252" s="102"/>
      <c r="U3252" s="101"/>
      <c r="V3252" s="103"/>
      <c r="W3252" s="101"/>
    </row>
    <row r="3253" spans="1:23" x14ac:dyDescent="0.25">
      <c r="A3253" s="98"/>
      <c r="H3253" s="101"/>
      <c r="I3253" s="101"/>
      <c r="J3253" s="101"/>
      <c r="K3253" s="101"/>
      <c r="L3253" s="101"/>
      <c r="M3253" s="101"/>
      <c r="N3253" s="101"/>
      <c r="O3253" s="101"/>
      <c r="P3253" s="101"/>
      <c r="Q3253" s="101"/>
      <c r="R3253" s="101"/>
      <c r="S3253" s="110"/>
      <c r="T3253" s="102"/>
      <c r="U3253" s="101"/>
      <c r="V3253" s="103"/>
      <c r="W3253" s="101"/>
    </row>
    <row r="3254" spans="1:23" x14ac:dyDescent="0.25">
      <c r="A3254" s="98"/>
      <c r="H3254" s="101"/>
      <c r="I3254" s="101"/>
      <c r="J3254" s="101"/>
      <c r="K3254" s="101"/>
      <c r="L3254" s="101"/>
      <c r="M3254" s="101"/>
      <c r="N3254" s="101"/>
      <c r="O3254" s="101"/>
      <c r="P3254" s="101"/>
      <c r="Q3254" s="101"/>
      <c r="R3254" s="101"/>
      <c r="S3254" s="110"/>
      <c r="T3254" s="102"/>
      <c r="U3254" s="101"/>
      <c r="V3254" s="103"/>
      <c r="W3254" s="101"/>
    </row>
    <row r="3255" spans="1:23" x14ac:dyDescent="0.25">
      <c r="A3255" s="98"/>
      <c r="H3255" s="101"/>
      <c r="I3255" s="101"/>
      <c r="J3255" s="101"/>
      <c r="K3255" s="101"/>
      <c r="L3255" s="101"/>
      <c r="M3255" s="101"/>
      <c r="N3255" s="101"/>
      <c r="O3255" s="101"/>
      <c r="P3255" s="101"/>
      <c r="Q3255" s="101"/>
      <c r="R3255" s="101"/>
      <c r="S3255" s="110"/>
      <c r="T3255" s="102"/>
      <c r="U3255" s="101"/>
      <c r="V3255" s="103"/>
      <c r="W3255" s="101"/>
    </row>
    <row r="3256" spans="1:23" x14ac:dyDescent="0.25">
      <c r="A3256" s="98"/>
      <c r="H3256" s="101"/>
      <c r="I3256" s="101"/>
      <c r="J3256" s="101"/>
      <c r="K3256" s="101"/>
      <c r="L3256" s="101"/>
      <c r="M3256" s="101"/>
      <c r="N3256" s="101"/>
      <c r="O3256" s="101"/>
      <c r="P3256" s="101"/>
      <c r="Q3256" s="101"/>
      <c r="R3256" s="101"/>
      <c r="S3256" s="110"/>
      <c r="T3256" s="102"/>
      <c r="U3256" s="101"/>
      <c r="V3256" s="103"/>
      <c r="W3256" s="101"/>
    </row>
    <row r="3257" spans="1:23" x14ac:dyDescent="0.25">
      <c r="A3257" s="98"/>
      <c r="H3257" s="101"/>
      <c r="I3257" s="101"/>
      <c r="J3257" s="101"/>
      <c r="K3257" s="101"/>
      <c r="L3257" s="101"/>
      <c r="M3257" s="101"/>
      <c r="N3257" s="101"/>
      <c r="O3257" s="101"/>
      <c r="P3257" s="101"/>
      <c r="Q3257" s="101"/>
      <c r="R3257" s="101"/>
      <c r="S3257" s="110"/>
      <c r="T3257" s="102"/>
      <c r="U3257" s="101"/>
      <c r="V3257" s="103"/>
      <c r="W3257" s="101"/>
    </row>
    <row r="3258" spans="1:23" x14ac:dyDescent="0.25">
      <c r="A3258" s="98"/>
      <c r="H3258" s="101"/>
      <c r="I3258" s="101"/>
      <c r="J3258" s="101"/>
      <c r="K3258" s="101"/>
      <c r="L3258" s="101"/>
      <c r="M3258" s="101"/>
      <c r="N3258" s="101"/>
      <c r="O3258" s="101"/>
      <c r="P3258" s="101"/>
      <c r="Q3258" s="101"/>
      <c r="R3258" s="101"/>
      <c r="S3258" s="110"/>
      <c r="T3258" s="102"/>
      <c r="U3258" s="101"/>
      <c r="V3258" s="103"/>
      <c r="W3258" s="101"/>
    </row>
    <row r="3259" spans="1:23" x14ac:dyDescent="0.25">
      <c r="A3259" s="98"/>
      <c r="H3259" s="101"/>
      <c r="I3259" s="101"/>
      <c r="J3259" s="101"/>
      <c r="K3259" s="101"/>
      <c r="L3259" s="101"/>
      <c r="M3259" s="101"/>
      <c r="N3259" s="101"/>
      <c r="O3259" s="101"/>
      <c r="P3259" s="101"/>
      <c r="Q3259" s="101"/>
      <c r="R3259" s="101"/>
      <c r="S3259" s="110"/>
      <c r="T3259" s="102"/>
      <c r="U3259" s="101"/>
      <c r="V3259" s="103"/>
      <c r="W3259" s="101"/>
    </row>
    <row r="3260" spans="1:23" x14ac:dyDescent="0.25">
      <c r="A3260" s="98"/>
      <c r="H3260" s="101"/>
      <c r="I3260" s="101"/>
      <c r="J3260" s="101"/>
      <c r="K3260" s="101"/>
      <c r="L3260" s="101"/>
      <c r="M3260" s="101"/>
      <c r="N3260" s="101"/>
      <c r="O3260" s="101"/>
      <c r="P3260" s="101"/>
      <c r="Q3260" s="101"/>
      <c r="R3260" s="101"/>
      <c r="S3260" s="110"/>
      <c r="T3260" s="102"/>
      <c r="U3260" s="101"/>
      <c r="V3260" s="103"/>
      <c r="W3260" s="101"/>
    </row>
    <row r="3261" spans="1:23" x14ac:dyDescent="0.25">
      <c r="A3261" s="98"/>
      <c r="H3261" s="101"/>
      <c r="I3261" s="101"/>
      <c r="J3261" s="101"/>
      <c r="K3261" s="101"/>
      <c r="L3261" s="101"/>
      <c r="M3261" s="101"/>
      <c r="N3261" s="101"/>
      <c r="O3261" s="101"/>
      <c r="P3261" s="101"/>
      <c r="Q3261" s="101"/>
      <c r="R3261" s="101"/>
      <c r="S3261" s="110"/>
      <c r="T3261" s="102"/>
      <c r="U3261" s="101"/>
      <c r="V3261" s="103"/>
      <c r="W3261" s="101"/>
    </row>
    <row r="3262" spans="1:23" x14ac:dyDescent="0.25">
      <c r="A3262" s="98"/>
      <c r="H3262" s="101"/>
      <c r="I3262" s="101"/>
      <c r="J3262" s="101"/>
      <c r="K3262" s="101"/>
      <c r="L3262" s="101"/>
      <c r="M3262" s="101"/>
      <c r="N3262" s="101"/>
      <c r="O3262" s="101"/>
      <c r="P3262" s="101"/>
      <c r="Q3262" s="101"/>
      <c r="R3262" s="101"/>
      <c r="S3262" s="110"/>
      <c r="T3262" s="102"/>
      <c r="U3262" s="101"/>
      <c r="V3262" s="103"/>
      <c r="W3262" s="101"/>
    </row>
    <row r="3263" spans="1:23" x14ac:dyDescent="0.25">
      <c r="A3263" s="98"/>
      <c r="H3263" s="101"/>
      <c r="I3263" s="101"/>
      <c r="J3263" s="101"/>
      <c r="K3263" s="101"/>
      <c r="L3263" s="101"/>
      <c r="M3263" s="101"/>
      <c r="N3263" s="101"/>
      <c r="O3263" s="101"/>
      <c r="P3263" s="101"/>
      <c r="Q3263" s="101"/>
      <c r="R3263" s="101"/>
      <c r="S3263" s="110"/>
      <c r="T3263" s="102"/>
      <c r="U3263" s="101"/>
      <c r="V3263" s="103"/>
      <c r="W3263" s="101"/>
    </row>
    <row r="3264" spans="1:23" x14ac:dyDescent="0.25">
      <c r="A3264" s="98"/>
      <c r="H3264" s="101"/>
      <c r="I3264" s="101"/>
      <c r="J3264" s="101"/>
      <c r="K3264" s="101"/>
      <c r="L3264" s="101"/>
      <c r="M3264" s="101"/>
      <c r="N3264" s="101"/>
      <c r="O3264" s="101"/>
      <c r="P3264" s="101"/>
      <c r="Q3264" s="101"/>
      <c r="R3264" s="101"/>
      <c r="S3264" s="110"/>
      <c r="T3264" s="102"/>
      <c r="U3264" s="101"/>
      <c r="V3264" s="103"/>
      <c r="W3264" s="101"/>
    </row>
    <row r="3265" spans="1:23" x14ac:dyDescent="0.25">
      <c r="A3265" s="98"/>
      <c r="H3265" s="101"/>
      <c r="I3265" s="101"/>
      <c r="J3265" s="101"/>
      <c r="K3265" s="101"/>
      <c r="L3265" s="101"/>
      <c r="M3265" s="101"/>
      <c r="N3265" s="101"/>
      <c r="O3265" s="101"/>
      <c r="P3265" s="101"/>
      <c r="Q3265" s="101"/>
      <c r="R3265" s="101"/>
      <c r="S3265" s="110"/>
      <c r="T3265" s="102"/>
      <c r="U3265" s="101"/>
      <c r="V3265" s="103"/>
      <c r="W3265" s="101"/>
    </row>
    <row r="3266" spans="1:23" x14ac:dyDescent="0.25">
      <c r="A3266" s="98"/>
      <c r="H3266" s="101"/>
      <c r="I3266" s="101"/>
      <c r="J3266" s="101"/>
      <c r="K3266" s="101"/>
      <c r="L3266" s="101"/>
      <c r="M3266" s="101"/>
      <c r="N3266" s="101"/>
      <c r="O3266" s="101"/>
      <c r="P3266" s="101"/>
      <c r="Q3266" s="101"/>
      <c r="R3266" s="101"/>
      <c r="S3266" s="110"/>
      <c r="T3266" s="102"/>
      <c r="U3266" s="101"/>
      <c r="V3266" s="103"/>
      <c r="W3266" s="101"/>
    </row>
    <row r="3267" spans="1:23" x14ac:dyDescent="0.25">
      <c r="A3267" s="98"/>
      <c r="H3267" s="101"/>
      <c r="I3267" s="101"/>
      <c r="J3267" s="101"/>
      <c r="K3267" s="101"/>
      <c r="L3267" s="101"/>
      <c r="M3267" s="101"/>
      <c r="N3267" s="101"/>
      <c r="O3267" s="101"/>
      <c r="P3267" s="101"/>
      <c r="Q3267" s="101"/>
      <c r="R3267" s="101"/>
      <c r="S3267" s="110"/>
      <c r="T3267" s="102"/>
      <c r="U3267" s="101"/>
      <c r="V3267" s="103"/>
      <c r="W3267" s="101"/>
    </row>
    <row r="3268" spans="1:23" x14ac:dyDescent="0.25">
      <c r="A3268" s="98"/>
      <c r="H3268" s="101"/>
      <c r="I3268" s="101"/>
      <c r="J3268" s="101"/>
      <c r="K3268" s="101"/>
      <c r="L3268" s="101"/>
      <c r="M3268" s="101"/>
      <c r="N3268" s="101"/>
      <c r="O3268" s="101"/>
      <c r="P3268" s="101"/>
      <c r="Q3268" s="101"/>
      <c r="R3268" s="101"/>
      <c r="S3268" s="110"/>
      <c r="T3268" s="102"/>
      <c r="U3268" s="101"/>
      <c r="V3268" s="103"/>
      <c r="W3268" s="101"/>
    </row>
    <row r="3269" spans="1:23" x14ac:dyDescent="0.25">
      <c r="A3269" s="98"/>
      <c r="H3269" s="101"/>
      <c r="I3269" s="101"/>
      <c r="J3269" s="101"/>
      <c r="K3269" s="101"/>
      <c r="L3269" s="101"/>
      <c r="M3269" s="101"/>
      <c r="N3269" s="101"/>
      <c r="O3269" s="101"/>
      <c r="P3269" s="101"/>
      <c r="Q3269" s="101"/>
      <c r="R3269" s="101"/>
      <c r="S3269" s="110"/>
      <c r="T3269" s="102"/>
      <c r="U3269" s="101"/>
      <c r="V3269" s="103"/>
      <c r="W3269" s="101"/>
    </row>
    <row r="3270" spans="1:23" x14ac:dyDescent="0.25">
      <c r="A3270" s="98"/>
      <c r="H3270" s="101"/>
      <c r="I3270" s="101"/>
      <c r="J3270" s="101"/>
      <c r="K3270" s="101"/>
      <c r="L3270" s="101"/>
      <c r="M3270" s="101"/>
      <c r="N3270" s="101"/>
      <c r="O3270" s="101"/>
      <c r="P3270" s="101"/>
      <c r="Q3270" s="101"/>
      <c r="R3270" s="101"/>
      <c r="S3270" s="110"/>
      <c r="T3270" s="102"/>
      <c r="U3270" s="101"/>
      <c r="V3270" s="103"/>
      <c r="W3270" s="101"/>
    </row>
    <row r="3271" spans="1:23" x14ac:dyDescent="0.25">
      <c r="A3271" s="98"/>
      <c r="H3271" s="101"/>
      <c r="I3271" s="101"/>
      <c r="J3271" s="101"/>
      <c r="K3271" s="101"/>
      <c r="L3271" s="101"/>
      <c r="M3271" s="101"/>
      <c r="N3271" s="101"/>
      <c r="O3271" s="101"/>
      <c r="P3271" s="101"/>
      <c r="Q3271" s="101"/>
      <c r="R3271" s="101"/>
      <c r="S3271" s="110"/>
      <c r="T3271" s="102"/>
      <c r="U3271" s="101"/>
      <c r="V3271" s="103"/>
      <c r="W3271" s="101"/>
    </row>
    <row r="3272" spans="1:23" x14ac:dyDescent="0.25">
      <c r="A3272" s="98"/>
      <c r="H3272" s="101"/>
      <c r="I3272" s="101"/>
      <c r="J3272" s="101"/>
      <c r="K3272" s="101"/>
      <c r="L3272" s="101"/>
      <c r="M3272" s="101"/>
      <c r="N3272" s="101"/>
      <c r="O3272" s="101"/>
      <c r="P3272" s="101"/>
      <c r="Q3272" s="101"/>
      <c r="R3272" s="101"/>
      <c r="S3272" s="110"/>
      <c r="T3272" s="102"/>
      <c r="U3272" s="101"/>
      <c r="V3272" s="103"/>
      <c r="W3272" s="101"/>
    </row>
    <row r="3273" spans="1:23" x14ac:dyDescent="0.25">
      <c r="A3273" s="98"/>
      <c r="H3273" s="101"/>
      <c r="I3273" s="101"/>
      <c r="J3273" s="101"/>
      <c r="K3273" s="101"/>
      <c r="L3273" s="101"/>
      <c r="M3273" s="101"/>
      <c r="N3273" s="101"/>
      <c r="O3273" s="101"/>
      <c r="P3273" s="101"/>
      <c r="Q3273" s="101"/>
      <c r="R3273" s="101"/>
      <c r="S3273" s="110"/>
      <c r="T3273" s="102"/>
      <c r="U3273" s="101"/>
      <c r="V3273" s="103"/>
      <c r="W3273" s="101"/>
    </row>
    <row r="3274" spans="1:23" x14ac:dyDescent="0.25">
      <c r="A3274" s="98"/>
      <c r="H3274" s="101"/>
      <c r="I3274" s="101"/>
      <c r="J3274" s="101"/>
      <c r="K3274" s="101"/>
      <c r="L3274" s="101"/>
      <c r="M3274" s="101"/>
      <c r="N3274" s="101"/>
      <c r="O3274" s="101"/>
      <c r="P3274" s="101"/>
      <c r="Q3274" s="101"/>
      <c r="R3274" s="101"/>
      <c r="S3274" s="110"/>
      <c r="T3274" s="102"/>
      <c r="U3274" s="101"/>
      <c r="V3274" s="103"/>
      <c r="W3274" s="101"/>
    </row>
    <row r="3275" spans="1:23" x14ac:dyDescent="0.25">
      <c r="A3275" s="98"/>
      <c r="H3275" s="101"/>
      <c r="I3275" s="101"/>
      <c r="J3275" s="101"/>
      <c r="K3275" s="101"/>
      <c r="L3275" s="101"/>
      <c r="M3275" s="101"/>
      <c r="N3275" s="101"/>
      <c r="O3275" s="101"/>
      <c r="P3275" s="101"/>
      <c r="Q3275" s="101"/>
      <c r="R3275" s="101"/>
      <c r="S3275" s="110"/>
      <c r="T3275" s="102"/>
      <c r="U3275" s="101"/>
      <c r="V3275" s="103"/>
      <c r="W3275" s="101"/>
    </row>
    <row r="3276" spans="1:23" x14ac:dyDescent="0.25">
      <c r="A3276" s="98"/>
      <c r="H3276" s="101"/>
      <c r="I3276" s="101"/>
      <c r="J3276" s="101"/>
      <c r="K3276" s="101"/>
      <c r="L3276" s="101"/>
      <c r="M3276" s="101"/>
      <c r="N3276" s="101"/>
      <c r="O3276" s="101"/>
      <c r="P3276" s="101"/>
      <c r="Q3276" s="101"/>
      <c r="R3276" s="101"/>
      <c r="S3276" s="110"/>
      <c r="T3276" s="102"/>
      <c r="U3276" s="101"/>
      <c r="V3276" s="103"/>
      <c r="W3276" s="101"/>
    </row>
    <row r="3277" spans="1:23" x14ac:dyDescent="0.25">
      <c r="A3277" s="98"/>
      <c r="H3277" s="101"/>
      <c r="I3277" s="101"/>
      <c r="J3277" s="101"/>
      <c r="K3277" s="101"/>
      <c r="L3277" s="101"/>
      <c r="M3277" s="101"/>
      <c r="N3277" s="101"/>
      <c r="O3277" s="101"/>
      <c r="P3277" s="101"/>
      <c r="Q3277" s="101"/>
      <c r="R3277" s="101"/>
      <c r="S3277" s="110"/>
      <c r="T3277" s="102"/>
      <c r="U3277" s="101"/>
      <c r="V3277" s="103"/>
      <c r="W3277" s="101"/>
    </row>
    <row r="3278" spans="1:23" x14ac:dyDescent="0.25">
      <c r="A3278" s="98"/>
      <c r="H3278" s="101"/>
      <c r="I3278" s="101"/>
      <c r="J3278" s="101"/>
      <c r="K3278" s="101"/>
      <c r="L3278" s="101"/>
      <c r="M3278" s="101"/>
      <c r="N3278" s="101"/>
      <c r="O3278" s="101"/>
      <c r="P3278" s="101"/>
      <c r="Q3278" s="101"/>
      <c r="R3278" s="101"/>
      <c r="S3278" s="110"/>
      <c r="T3278" s="102"/>
      <c r="U3278" s="101"/>
      <c r="V3278" s="103"/>
      <c r="W3278" s="101"/>
    </row>
    <row r="3279" spans="1:23" x14ac:dyDescent="0.25">
      <c r="A3279" s="98"/>
      <c r="H3279" s="101"/>
      <c r="I3279" s="101"/>
      <c r="J3279" s="101"/>
      <c r="K3279" s="101"/>
      <c r="L3279" s="101"/>
      <c r="M3279" s="101"/>
      <c r="N3279" s="101"/>
      <c r="O3279" s="101"/>
      <c r="P3279" s="101"/>
      <c r="Q3279" s="101"/>
      <c r="R3279" s="101"/>
      <c r="S3279" s="110"/>
      <c r="T3279" s="102"/>
      <c r="U3279" s="101"/>
      <c r="V3279" s="103"/>
      <c r="W3279" s="101"/>
    </row>
    <row r="3280" spans="1:23" x14ac:dyDescent="0.25">
      <c r="A3280" s="98"/>
      <c r="H3280" s="101"/>
      <c r="I3280" s="101"/>
      <c r="J3280" s="101"/>
      <c r="K3280" s="101"/>
      <c r="L3280" s="101"/>
      <c r="M3280" s="101"/>
      <c r="N3280" s="101"/>
      <c r="O3280" s="101"/>
      <c r="P3280" s="101"/>
      <c r="Q3280" s="101"/>
      <c r="R3280" s="101"/>
      <c r="S3280" s="110"/>
      <c r="T3280" s="102"/>
      <c r="U3280" s="101"/>
      <c r="V3280" s="103"/>
      <c r="W3280" s="101"/>
    </row>
    <row r="3281" spans="1:23" x14ac:dyDescent="0.25">
      <c r="A3281" s="98"/>
      <c r="H3281" s="101"/>
      <c r="I3281" s="101"/>
      <c r="J3281" s="101"/>
      <c r="K3281" s="101"/>
      <c r="L3281" s="101"/>
      <c r="M3281" s="101"/>
      <c r="N3281" s="101"/>
      <c r="O3281" s="101"/>
      <c r="P3281" s="101"/>
      <c r="Q3281" s="101"/>
      <c r="R3281" s="101"/>
      <c r="S3281" s="110"/>
      <c r="T3281" s="102"/>
      <c r="U3281" s="101"/>
      <c r="V3281" s="103"/>
      <c r="W3281" s="101"/>
    </row>
    <row r="3282" spans="1:23" x14ac:dyDescent="0.25">
      <c r="A3282" s="98"/>
      <c r="H3282" s="101"/>
      <c r="I3282" s="101"/>
      <c r="J3282" s="101"/>
      <c r="K3282" s="101"/>
      <c r="L3282" s="101"/>
      <c r="M3282" s="101"/>
      <c r="N3282" s="101"/>
      <c r="O3282" s="101"/>
      <c r="P3282" s="101"/>
      <c r="Q3282" s="101"/>
      <c r="R3282" s="101"/>
      <c r="S3282" s="110"/>
      <c r="T3282" s="102"/>
      <c r="U3282" s="101"/>
      <c r="V3282" s="103"/>
      <c r="W3282" s="101"/>
    </row>
    <row r="3283" spans="1:23" x14ac:dyDescent="0.25">
      <c r="A3283" s="98"/>
      <c r="H3283" s="101"/>
      <c r="I3283" s="101"/>
      <c r="J3283" s="101"/>
      <c r="K3283" s="101"/>
      <c r="L3283" s="101"/>
      <c r="M3283" s="101"/>
      <c r="N3283" s="101"/>
      <c r="O3283" s="101"/>
      <c r="P3283" s="101"/>
      <c r="Q3283" s="101"/>
      <c r="R3283" s="101"/>
      <c r="S3283" s="110"/>
      <c r="T3283" s="102"/>
      <c r="U3283" s="101"/>
      <c r="V3283" s="103"/>
      <c r="W3283" s="101"/>
    </row>
    <row r="3284" spans="1:23" x14ac:dyDescent="0.25">
      <c r="A3284" s="98"/>
      <c r="H3284" s="101"/>
      <c r="I3284" s="101"/>
      <c r="J3284" s="101"/>
      <c r="K3284" s="101"/>
      <c r="L3284" s="101"/>
      <c r="M3284" s="101"/>
      <c r="N3284" s="101"/>
      <c r="O3284" s="101"/>
      <c r="P3284" s="101"/>
      <c r="Q3284" s="101"/>
      <c r="R3284" s="101"/>
      <c r="S3284" s="110"/>
      <c r="T3284" s="102"/>
      <c r="U3284" s="101"/>
      <c r="V3284" s="103"/>
      <c r="W3284" s="101"/>
    </row>
    <row r="3285" spans="1:23" x14ac:dyDescent="0.25">
      <c r="A3285" s="98"/>
      <c r="H3285" s="101"/>
      <c r="I3285" s="101"/>
      <c r="J3285" s="101"/>
      <c r="K3285" s="101"/>
      <c r="L3285" s="101"/>
      <c r="M3285" s="101"/>
      <c r="N3285" s="101"/>
      <c r="O3285" s="101"/>
      <c r="P3285" s="101"/>
      <c r="Q3285" s="101"/>
      <c r="R3285" s="101"/>
      <c r="S3285" s="110"/>
      <c r="T3285" s="102"/>
      <c r="U3285" s="101"/>
      <c r="V3285" s="103"/>
      <c r="W3285" s="101"/>
    </row>
    <row r="3286" spans="1:23" x14ac:dyDescent="0.25">
      <c r="A3286" s="98"/>
      <c r="H3286" s="101"/>
      <c r="I3286" s="101"/>
      <c r="J3286" s="101"/>
      <c r="K3286" s="101"/>
      <c r="L3286" s="101"/>
      <c r="M3286" s="101"/>
      <c r="N3286" s="101"/>
      <c r="O3286" s="101"/>
      <c r="P3286" s="101"/>
      <c r="Q3286" s="101"/>
      <c r="R3286" s="101"/>
      <c r="S3286" s="110"/>
      <c r="T3286" s="102"/>
      <c r="U3286" s="101"/>
      <c r="V3286" s="103"/>
      <c r="W3286" s="101"/>
    </row>
    <row r="3287" spans="1:23" x14ac:dyDescent="0.25">
      <c r="A3287" s="98"/>
      <c r="H3287" s="101"/>
      <c r="I3287" s="101"/>
      <c r="J3287" s="101"/>
      <c r="K3287" s="101"/>
      <c r="L3287" s="101"/>
      <c r="M3287" s="101"/>
      <c r="N3287" s="101"/>
      <c r="O3287" s="101"/>
      <c r="P3287" s="101"/>
      <c r="Q3287" s="101"/>
      <c r="R3287" s="101"/>
      <c r="S3287" s="110"/>
      <c r="T3287" s="102"/>
      <c r="U3287" s="101"/>
      <c r="V3287" s="103"/>
      <c r="W3287" s="101"/>
    </row>
    <row r="3288" spans="1:23" x14ac:dyDescent="0.25">
      <c r="A3288" s="98"/>
      <c r="H3288" s="101"/>
      <c r="I3288" s="101"/>
      <c r="J3288" s="101"/>
      <c r="K3288" s="101"/>
      <c r="L3288" s="101"/>
      <c r="M3288" s="101"/>
      <c r="N3288" s="101"/>
      <c r="O3288" s="101"/>
      <c r="P3288" s="101"/>
      <c r="Q3288" s="101"/>
      <c r="R3288" s="101"/>
      <c r="S3288" s="110"/>
      <c r="T3288" s="102"/>
      <c r="U3288" s="101"/>
      <c r="V3288" s="103"/>
      <c r="W3288" s="101"/>
    </row>
    <row r="3289" spans="1:23" x14ac:dyDescent="0.25">
      <c r="A3289" s="98"/>
      <c r="H3289" s="101"/>
      <c r="I3289" s="101"/>
      <c r="J3289" s="101"/>
      <c r="K3289" s="101"/>
      <c r="L3289" s="101"/>
      <c r="M3289" s="101"/>
      <c r="N3289" s="101"/>
      <c r="O3289" s="101"/>
      <c r="P3289" s="101"/>
      <c r="Q3289" s="101"/>
      <c r="R3289" s="101"/>
      <c r="S3289" s="110"/>
      <c r="T3289" s="102"/>
      <c r="U3289" s="101"/>
      <c r="V3289" s="103"/>
      <c r="W3289" s="101"/>
    </row>
    <row r="3290" spans="1:23" x14ac:dyDescent="0.25">
      <c r="A3290" s="98"/>
      <c r="H3290" s="101"/>
      <c r="I3290" s="101"/>
      <c r="J3290" s="101"/>
      <c r="K3290" s="101"/>
      <c r="L3290" s="101"/>
      <c r="M3290" s="101"/>
      <c r="N3290" s="101"/>
      <c r="O3290" s="101"/>
      <c r="P3290" s="101"/>
      <c r="Q3290" s="101"/>
      <c r="R3290" s="101"/>
      <c r="S3290" s="110"/>
      <c r="T3290" s="102"/>
      <c r="U3290" s="101"/>
      <c r="V3290" s="103"/>
      <c r="W3290" s="101"/>
    </row>
    <row r="3291" spans="1:23" x14ac:dyDescent="0.25">
      <c r="A3291" s="98"/>
      <c r="H3291" s="101"/>
      <c r="I3291" s="101"/>
      <c r="J3291" s="101"/>
      <c r="K3291" s="101"/>
      <c r="L3291" s="101"/>
      <c r="M3291" s="101"/>
      <c r="N3291" s="101"/>
      <c r="O3291" s="101"/>
      <c r="P3291" s="101"/>
      <c r="Q3291" s="101"/>
      <c r="R3291" s="101"/>
      <c r="S3291" s="110"/>
      <c r="T3291" s="102"/>
      <c r="U3291" s="101"/>
      <c r="V3291" s="103"/>
      <c r="W3291" s="101"/>
    </row>
    <row r="3292" spans="1:23" x14ac:dyDescent="0.25">
      <c r="A3292" s="98"/>
      <c r="H3292" s="101"/>
      <c r="I3292" s="101"/>
      <c r="J3292" s="101"/>
      <c r="K3292" s="101"/>
      <c r="L3292" s="101"/>
      <c r="M3292" s="101"/>
      <c r="N3292" s="101"/>
      <c r="O3292" s="101"/>
      <c r="P3292" s="101"/>
      <c r="Q3292" s="101"/>
      <c r="R3292" s="101"/>
      <c r="S3292" s="110"/>
      <c r="T3292" s="102"/>
      <c r="U3292" s="101"/>
      <c r="V3292" s="103"/>
      <c r="W3292" s="101"/>
    </row>
    <row r="3293" spans="1:23" x14ac:dyDescent="0.25">
      <c r="A3293" s="98"/>
      <c r="H3293" s="101"/>
      <c r="I3293" s="101"/>
      <c r="J3293" s="101"/>
      <c r="K3293" s="101"/>
      <c r="L3293" s="101"/>
      <c r="M3293" s="101"/>
      <c r="N3293" s="101"/>
      <c r="O3293" s="101"/>
      <c r="P3293" s="101"/>
      <c r="Q3293" s="101"/>
      <c r="R3293" s="101"/>
      <c r="S3293" s="110"/>
      <c r="T3293" s="102"/>
      <c r="U3293" s="101"/>
      <c r="V3293" s="103"/>
      <c r="W3293" s="101"/>
    </row>
    <row r="3294" spans="1:23" x14ac:dyDescent="0.25">
      <c r="A3294" s="98"/>
      <c r="H3294" s="101"/>
      <c r="I3294" s="101"/>
      <c r="J3294" s="101"/>
      <c r="K3294" s="101"/>
      <c r="L3294" s="101"/>
      <c r="M3294" s="101"/>
      <c r="N3294" s="101"/>
      <c r="O3294" s="101"/>
      <c r="P3294" s="101"/>
      <c r="Q3294" s="101"/>
      <c r="R3294" s="101"/>
      <c r="S3294" s="110"/>
      <c r="T3294" s="102"/>
      <c r="U3294" s="101"/>
      <c r="V3294" s="103"/>
      <c r="W3294" s="101"/>
    </row>
    <row r="3295" spans="1:23" x14ac:dyDescent="0.25">
      <c r="A3295" s="98"/>
      <c r="H3295" s="101"/>
      <c r="I3295" s="101"/>
      <c r="J3295" s="101"/>
      <c r="K3295" s="101"/>
      <c r="L3295" s="101"/>
      <c r="M3295" s="101"/>
      <c r="N3295" s="101"/>
      <c r="O3295" s="101"/>
      <c r="P3295" s="101"/>
      <c r="Q3295" s="101"/>
      <c r="R3295" s="101"/>
      <c r="S3295" s="110"/>
      <c r="T3295" s="102"/>
      <c r="U3295" s="101"/>
      <c r="V3295" s="103"/>
      <c r="W3295" s="101"/>
    </row>
    <row r="3296" spans="1:23" x14ac:dyDescent="0.25">
      <c r="A3296" s="98"/>
      <c r="H3296" s="101"/>
      <c r="I3296" s="101"/>
      <c r="J3296" s="101"/>
      <c r="K3296" s="101"/>
      <c r="L3296" s="101"/>
      <c r="M3296" s="101"/>
      <c r="N3296" s="101"/>
      <c r="O3296" s="101"/>
      <c r="P3296" s="101"/>
      <c r="Q3296" s="101"/>
      <c r="R3296" s="101"/>
      <c r="S3296" s="110"/>
      <c r="T3296" s="102"/>
      <c r="U3296" s="101"/>
      <c r="V3296" s="103"/>
      <c r="W3296" s="101"/>
    </row>
    <row r="3297" spans="1:23" x14ac:dyDescent="0.25">
      <c r="A3297" s="98"/>
      <c r="H3297" s="101"/>
      <c r="I3297" s="101"/>
      <c r="J3297" s="101"/>
      <c r="K3297" s="101"/>
      <c r="L3297" s="101"/>
      <c r="M3297" s="101"/>
      <c r="N3297" s="101"/>
      <c r="O3297" s="101"/>
      <c r="P3297" s="101"/>
      <c r="Q3297" s="101"/>
      <c r="R3297" s="101"/>
      <c r="S3297" s="110"/>
      <c r="T3297" s="102"/>
      <c r="U3297" s="101"/>
      <c r="V3297" s="103"/>
      <c r="W3297" s="101"/>
    </row>
    <row r="3298" spans="1:23" x14ac:dyDescent="0.25">
      <c r="A3298" s="98"/>
      <c r="H3298" s="101"/>
      <c r="I3298" s="101"/>
      <c r="J3298" s="101"/>
      <c r="K3298" s="101"/>
      <c r="L3298" s="101"/>
      <c r="M3298" s="101"/>
      <c r="N3298" s="101"/>
      <c r="O3298" s="101"/>
      <c r="P3298" s="101"/>
      <c r="Q3298" s="101"/>
      <c r="R3298" s="101"/>
      <c r="S3298" s="110"/>
      <c r="T3298" s="102"/>
      <c r="U3298" s="101"/>
      <c r="V3298" s="103"/>
      <c r="W3298" s="101"/>
    </row>
    <row r="3299" spans="1:23" x14ac:dyDescent="0.25">
      <c r="A3299" s="98"/>
      <c r="H3299" s="101"/>
      <c r="I3299" s="101"/>
      <c r="J3299" s="101"/>
      <c r="K3299" s="101"/>
      <c r="L3299" s="101"/>
      <c r="M3299" s="101"/>
      <c r="N3299" s="101"/>
      <c r="O3299" s="101"/>
      <c r="P3299" s="101"/>
      <c r="Q3299" s="101"/>
      <c r="R3299" s="101"/>
      <c r="S3299" s="110"/>
      <c r="T3299" s="102"/>
      <c r="U3299" s="101"/>
      <c r="V3299" s="103"/>
      <c r="W3299" s="101"/>
    </row>
    <row r="3300" spans="1:23" x14ac:dyDescent="0.25">
      <c r="A3300" s="98"/>
      <c r="H3300" s="101"/>
      <c r="I3300" s="101"/>
      <c r="J3300" s="101"/>
      <c r="K3300" s="101"/>
      <c r="L3300" s="101"/>
      <c r="M3300" s="101"/>
      <c r="N3300" s="101"/>
      <c r="O3300" s="101"/>
      <c r="P3300" s="101"/>
      <c r="Q3300" s="101"/>
      <c r="R3300" s="101"/>
      <c r="S3300" s="110"/>
      <c r="T3300" s="102"/>
      <c r="U3300" s="101"/>
      <c r="V3300" s="103"/>
      <c r="W3300" s="101"/>
    </row>
    <row r="3301" spans="1:23" x14ac:dyDescent="0.25">
      <c r="A3301" s="98"/>
      <c r="H3301" s="101"/>
      <c r="I3301" s="101"/>
      <c r="J3301" s="101"/>
      <c r="K3301" s="101"/>
      <c r="L3301" s="101"/>
      <c r="M3301" s="101"/>
      <c r="N3301" s="101"/>
      <c r="O3301" s="101"/>
      <c r="P3301" s="101"/>
      <c r="Q3301" s="101"/>
      <c r="R3301" s="101"/>
      <c r="S3301" s="110"/>
      <c r="T3301" s="102"/>
      <c r="U3301" s="101"/>
      <c r="V3301" s="103"/>
      <c r="W3301" s="101"/>
    </row>
    <row r="3302" spans="1:23" x14ac:dyDescent="0.25">
      <c r="A3302" s="98"/>
      <c r="H3302" s="101"/>
      <c r="I3302" s="101"/>
      <c r="J3302" s="101"/>
      <c r="K3302" s="101"/>
      <c r="L3302" s="101"/>
      <c r="M3302" s="101"/>
      <c r="N3302" s="101"/>
      <c r="O3302" s="101"/>
      <c r="P3302" s="101"/>
      <c r="Q3302" s="101"/>
      <c r="R3302" s="101"/>
      <c r="S3302" s="110"/>
      <c r="T3302" s="102"/>
      <c r="U3302" s="101"/>
      <c r="V3302" s="103"/>
      <c r="W3302" s="101"/>
    </row>
    <row r="3303" spans="1:23" x14ac:dyDescent="0.25">
      <c r="A3303" s="98"/>
      <c r="H3303" s="101"/>
      <c r="I3303" s="101"/>
      <c r="J3303" s="101"/>
      <c r="K3303" s="101"/>
      <c r="L3303" s="101"/>
      <c r="M3303" s="101"/>
      <c r="N3303" s="101"/>
      <c r="O3303" s="101"/>
      <c r="P3303" s="101"/>
      <c r="Q3303" s="101"/>
      <c r="R3303" s="101"/>
      <c r="S3303" s="110"/>
      <c r="T3303" s="102"/>
      <c r="U3303" s="101"/>
      <c r="V3303" s="103"/>
      <c r="W3303" s="101"/>
    </row>
    <row r="3304" spans="1:23" x14ac:dyDescent="0.25">
      <c r="A3304" s="98"/>
      <c r="H3304" s="101"/>
      <c r="I3304" s="101"/>
      <c r="J3304" s="101"/>
      <c r="K3304" s="101"/>
      <c r="L3304" s="101"/>
      <c r="M3304" s="101"/>
      <c r="N3304" s="101"/>
      <c r="O3304" s="101"/>
      <c r="P3304" s="101"/>
      <c r="Q3304" s="101"/>
      <c r="R3304" s="101"/>
      <c r="S3304" s="110"/>
      <c r="T3304" s="102"/>
      <c r="U3304" s="101"/>
      <c r="V3304" s="103"/>
      <c r="W3304" s="101"/>
    </row>
    <row r="3305" spans="1:23" x14ac:dyDescent="0.25">
      <c r="A3305" s="98"/>
      <c r="H3305" s="101"/>
      <c r="I3305" s="101"/>
      <c r="J3305" s="101"/>
      <c r="K3305" s="101"/>
      <c r="L3305" s="101"/>
      <c r="M3305" s="101"/>
      <c r="N3305" s="101"/>
      <c r="O3305" s="101"/>
      <c r="P3305" s="101"/>
      <c r="Q3305" s="101"/>
      <c r="R3305" s="101"/>
      <c r="S3305" s="110"/>
      <c r="T3305" s="102"/>
      <c r="U3305" s="101"/>
      <c r="V3305" s="103"/>
      <c r="W3305" s="101"/>
    </row>
    <row r="3306" spans="1:23" x14ac:dyDescent="0.25">
      <c r="A3306" s="98"/>
      <c r="H3306" s="101"/>
      <c r="I3306" s="101"/>
      <c r="J3306" s="101"/>
      <c r="K3306" s="101"/>
      <c r="L3306" s="101"/>
      <c r="M3306" s="101"/>
      <c r="N3306" s="101"/>
      <c r="O3306" s="101"/>
      <c r="P3306" s="101"/>
      <c r="Q3306" s="101"/>
      <c r="R3306" s="101"/>
      <c r="S3306" s="110"/>
      <c r="T3306" s="102"/>
      <c r="U3306" s="101"/>
      <c r="V3306" s="103"/>
      <c r="W3306" s="101"/>
    </row>
    <row r="3307" spans="1:23" x14ac:dyDescent="0.25">
      <c r="A3307" s="98"/>
      <c r="H3307" s="101"/>
      <c r="I3307" s="101"/>
      <c r="J3307" s="101"/>
      <c r="K3307" s="101"/>
      <c r="L3307" s="101"/>
      <c r="M3307" s="101"/>
      <c r="N3307" s="101"/>
      <c r="O3307" s="101"/>
      <c r="P3307" s="101"/>
      <c r="Q3307" s="101"/>
      <c r="R3307" s="101"/>
      <c r="S3307" s="110"/>
      <c r="T3307" s="102"/>
      <c r="U3307" s="101"/>
      <c r="V3307" s="103"/>
      <c r="W3307" s="101"/>
    </row>
    <row r="3308" spans="1:23" x14ac:dyDescent="0.25">
      <c r="A3308" s="98"/>
      <c r="H3308" s="101"/>
      <c r="I3308" s="101"/>
      <c r="J3308" s="101"/>
      <c r="K3308" s="101"/>
      <c r="L3308" s="101"/>
      <c r="M3308" s="101"/>
      <c r="N3308" s="101"/>
      <c r="O3308" s="101"/>
      <c r="P3308" s="101"/>
      <c r="Q3308" s="101"/>
      <c r="R3308" s="101"/>
      <c r="S3308" s="110"/>
      <c r="T3308" s="102"/>
      <c r="U3308" s="101"/>
      <c r="V3308" s="103"/>
      <c r="W3308" s="101"/>
    </row>
    <row r="3309" spans="1:23" x14ac:dyDescent="0.25">
      <c r="A3309" s="98"/>
      <c r="H3309" s="101"/>
      <c r="I3309" s="101"/>
      <c r="J3309" s="101"/>
      <c r="K3309" s="101"/>
      <c r="L3309" s="101"/>
      <c r="M3309" s="101"/>
      <c r="N3309" s="101"/>
      <c r="O3309" s="101"/>
      <c r="P3309" s="101"/>
      <c r="Q3309" s="101"/>
      <c r="R3309" s="101"/>
      <c r="S3309" s="110"/>
      <c r="T3309" s="102"/>
      <c r="U3309" s="101"/>
      <c r="V3309" s="103"/>
      <c r="W3309" s="101"/>
    </row>
    <row r="3310" spans="1:23" x14ac:dyDescent="0.25">
      <c r="A3310" s="98"/>
      <c r="H3310" s="101"/>
      <c r="I3310" s="101"/>
      <c r="J3310" s="101"/>
      <c r="K3310" s="101"/>
      <c r="L3310" s="101"/>
      <c r="M3310" s="101"/>
      <c r="N3310" s="101"/>
      <c r="O3310" s="101"/>
      <c r="P3310" s="101"/>
      <c r="Q3310" s="101"/>
      <c r="R3310" s="101"/>
      <c r="S3310" s="110"/>
      <c r="T3310" s="102"/>
      <c r="U3310" s="101"/>
      <c r="V3310" s="103"/>
      <c r="W3310" s="101"/>
    </row>
    <row r="3311" spans="1:23" x14ac:dyDescent="0.25">
      <c r="A3311" s="98"/>
      <c r="H3311" s="101"/>
      <c r="I3311" s="101"/>
      <c r="J3311" s="101"/>
      <c r="K3311" s="101"/>
      <c r="L3311" s="101"/>
      <c r="M3311" s="101"/>
      <c r="N3311" s="101"/>
      <c r="O3311" s="101"/>
      <c r="P3311" s="101"/>
      <c r="Q3311" s="101"/>
      <c r="R3311" s="101"/>
      <c r="S3311" s="110"/>
      <c r="T3311" s="102"/>
      <c r="U3311" s="101"/>
      <c r="V3311" s="103"/>
      <c r="W3311" s="101"/>
    </row>
    <row r="3312" spans="1:23" x14ac:dyDescent="0.25">
      <c r="A3312" s="98"/>
      <c r="H3312" s="101"/>
      <c r="I3312" s="101"/>
      <c r="J3312" s="101"/>
      <c r="K3312" s="101"/>
      <c r="L3312" s="101"/>
      <c r="M3312" s="101"/>
      <c r="N3312" s="101"/>
      <c r="O3312" s="101"/>
      <c r="P3312" s="101"/>
      <c r="Q3312" s="101"/>
      <c r="R3312" s="101"/>
      <c r="S3312" s="110"/>
      <c r="T3312" s="102"/>
      <c r="U3312" s="101"/>
      <c r="V3312" s="103"/>
      <c r="W3312" s="101"/>
    </row>
    <row r="3313" spans="1:23" x14ac:dyDescent="0.25">
      <c r="A3313" s="98"/>
      <c r="H3313" s="101"/>
      <c r="I3313" s="101"/>
      <c r="J3313" s="101"/>
      <c r="K3313" s="101"/>
      <c r="L3313" s="101"/>
      <c r="M3313" s="101"/>
      <c r="N3313" s="101"/>
      <c r="O3313" s="101"/>
      <c r="P3313" s="101"/>
      <c r="Q3313" s="101"/>
      <c r="R3313" s="101"/>
      <c r="S3313" s="110"/>
      <c r="T3313" s="102"/>
      <c r="U3313" s="101"/>
      <c r="V3313" s="103"/>
      <c r="W3313" s="101"/>
    </row>
    <row r="3314" spans="1:23" x14ac:dyDescent="0.25">
      <c r="A3314" s="98"/>
      <c r="H3314" s="101"/>
      <c r="I3314" s="101"/>
      <c r="J3314" s="101"/>
      <c r="K3314" s="101"/>
      <c r="L3314" s="101"/>
      <c r="M3314" s="101"/>
      <c r="N3314" s="101"/>
      <c r="O3314" s="101"/>
      <c r="P3314" s="101"/>
      <c r="Q3314" s="101"/>
      <c r="R3314" s="101"/>
      <c r="S3314" s="110"/>
      <c r="T3314" s="102"/>
      <c r="U3314" s="101"/>
      <c r="V3314" s="103"/>
      <c r="W3314" s="101"/>
    </row>
    <row r="3315" spans="1:23" x14ac:dyDescent="0.25">
      <c r="A3315" s="98"/>
      <c r="H3315" s="101"/>
      <c r="I3315" s="101"/>
      <c r="J3315" s="101"/>
      <c r="K3315" s="101"/>
      <c r="L3315" s="101"/>
      <c r="M3315" s="101"/>
      <c r="N3315" s="101"/>
      <c r="O3315" s="101"/>
      <c r="P3315" s="101"/>
      <c r="Q3315" s="101"/>
      <c r="R3315" s="101"/>
      <c r="S3315" s="110"/>
      <c r="T3315" s="102"/>
      <c r="U3315" s="101"/>
      <c r="V3315" s="103"/>
      <c r="W3315" s="101"/>
    </row>
    <row r="3316" spans="1:23" x14ac:dyDescent="0.25">
      <c r="A3316" s="98"/>
      <c r="H3316" s="101"/>
      <c r="I3316" s="101"/>
      <c r="J3316" s="101"/>
      <c r="K3316" s="101"/>
      <c r="L3316" s="101"/>
      <c r="M3316" s="101"/>
      <c r="N3316" s="101"/>
      <c r="O3316" s="101"/>
      <c r="P3316" s="101"/>
      <c r="Q3316" s="101"/>
      <c r="R3316" s="101"/>
      <c r="S3316" s="110"/>
      <c r="T3316" s="102"/>
      <c r="U3316" s="101"/>
      <c r="V3316" s="103"/>
      <c r="W3316" s="101"/>
    </row>
    <row r="3317" spans="1:23" x14ac:dyDescent="0.25">
      <c r="A3317" s="98"/>
      <c r="H3317" s="101"/>
      <c r="I3317" s="101"/>
      <c r="J3317" s="101"/>
      <c r="K3317" s="101"/>
      <c r="L3317" s="101"/>
      <c r="M3317" s="101"/>
      <c r="N3317" s="101"/>
      <c r="O3317" s="101"/>
      <c r="P3317" s="101"/>
      <c r="Q3317" s="101"/>
      <c r="R3317" s="101"/>
      <c r="S3317" s="110"/>
      <c r="T3317" s="102"/>
      <c r="U3317" s="101"/>
      <c r="V3317" s="103"/>
      <c r="W3317" s="101"/>
    </row>
    <row r="3318" spans="1:23" x14ac:dyDescent="0.25">
      <c r="A3318" s="98"/>
      <c r="H3318" s="101"/>
      <c r="I3318" s="101"/>
      <c r="J3318" s="101"/>
      <c r="K3318" s="101"/>
      <c r="L3318" s="101"/>
      <c r="M3318" s="101"/>
      <c r="N3318" s="101"/>
      <c r="O3318" s="101"/>
      <c r="P3318" s="101"/>
      <c r="Q3318" s="101"/>
      <c r="R3318" s="101"/>
      <c r="S3318" s="110"/>
      <c r="T3318" s="102"/>
      <c r="U3318" s="101"/>
      <c r="V3318" s="103"/>
      <c r="W3318" s="101"/>
    </row>
    <row r="3319" spans="1:23" x14ac:dyDescent="0.25">
      <c r="A3319" s="98"/>
      <c r="H3319" s="101"/>
      <c r="I3319" s="101"/>
      <c r="J3319" s="101"/>
      <c r="K3319" s="101"/>
      <c r="L3319" s="101"/>
      <c r="M3319" s="101"/>
      <c r="N3319" s="101"/>
      <c r="O3319" s="101"/>
      <c r="P3319" s="101"/>
      <c r="Q3319" s="101"/>
      <c r="R3319" s="101"/>
      <c r="S3319" s="110"/>
      <c r="T3319" s="102"/>
      <c r="U3319" s="101"/>
      <c r="V3319" s="103"/>
      <c r="W3319" s="101"/>
    </row>
    <row r="3320" spans="1:23" x14ac:dyDescent="0.25">
      <c r="A3320" s="98"/>
      <c r="H3320" s="101"/>
      <c r="I3320" s="101"/>
      <c r="J3320" s="101"/>
      <c r="K3320" s="101"/>
      <c r="L3320" s="101"/>
      <c r="M3320" s="101"/>
      <c r="N3320" s="101"/>
      <c r="O3320" s="101"/>
      <c r="P3320" s="101"/>
      <c r="Q3320" s="101"/>
      <c r="R3320" s="101"/>
      <c r="S3320" s="110"/>
      <c r="T3320" s="102"/>
      <c r="U3320" s="101"/>
      <c r="V3320" s="103"/>
      <c r="W3320" s="101"/>
    </row>
    <row r="3321" spans="1:23" x14ac:dyDescent="0.25">
      <c r="A3321" s="98"/>
      <c r="H3321" s="101"/>
      <c r="I3321" s="101"/>
      <c r="J3321" s="101"/>
      <c r="K3321" s="101"/>
      <c r="L3321" s="101"/>
      <c r="M3321" s="101"/>
      <c r="N3321" s="101"/>
      <c r="O3321" s="101"/>
      <c r="P3321" s="101"/>
      <c r="Q3321" s="101"/>
      <c r="R3321" s="101"/>
      <c r="S3321" s="110"/>
      <c r="T3321" s="102"/>
      <c r="U3321" s="101"/>
      <c r="V3321" s="103"/>
      <c r="W3321" s="101"/>
    </row>
    <row r="3322" spans="1:23" x14ac:dyDescent="0.25">
      <c r="A3322" s="98"/>
      <c r="H3322" s="101"/>
      <c r="I3322" s="101"/>
      <c r="J3322" s="101"/>
      <c r="K3322" s="101"/>
      <c r="L3322" s="101"/>
      <c r="M3322" s="101"/>
      <c r="N3322" s="101"/>
      <c r="O3322" s="101"/>
      <c r="P3322" s="101"/>
      <c r="Q3322" s="101"/>
      <c r="R3322" s="101"/>
      <c r="S3322" s="110"/>
      <c r="T3322" s="102"/>
      <c r="U3322" s="101"/>
      <c r="V3322" s="103"/>
      <c r="W3322" s="101"/>
    </row>
    <row r="3323" spans="1:23" x14ac:dyDescent="0.25">
      <c r="A3323" s="98"/>
      <c r="H3323" s="101"/>
      <c r="I3323" s="101"/>
      <c r="J3323" s="101"/>
      <c r="K3323" s="101"/>
      <c r="L3323" s="101"/>
      <c r="M3323" s="101"/>
      <c r="N3323" s="101"/>
      <c r="O3323" s="101"/>
      <c r="P3323" s="101"/>
      <c r="Q3323" s="101"/>
      <c r="R3323" s="101"/>
      <c r="S3323" s="110"/>
      <c r="T3323" s="102"/>
      <c r="U3323" s="101"/>
      <c r="V3323" s="103"/>
      <c r="W3323" s="101"/>
    </row>
    <row r="3324" spans="1:23" x14ac:dyDescent="0.25">
      <c r="A3324" s="98"/>
      <c r="H3324" s="101"/>
      <c r="I3324" s="101"/>
      <c r="J3324" s="101"/>
      <c r="K3324" s="101"/>
      <c r="L3324" s="101"/>
      <c r="M3324" s="101"/>
      <c r="N3324" s="101"/>
      <c r="O3324" s="101"/>
      <c r="P3324" s="101"/>
      <c r="Q3324" s="101"/>
      <c r="R3324" s="101"/>
      <c r="S3324" s="110"/>
      <c r="T3324" s="102"/>
      <c r="U3324" s="101"/>
      <c r="V3324" s="103"/>
      <c r="W3324" s="101"/>
    </row>
    <row r="3325" spans="1:23" x14ac:dyDescent="0.25">
      <c r="A3325" s="98"/>
      <c r="H3325" s="101"/>
      <c r="I3325" s="101"/>
      <c r="J3325" s="101"/>
      <c r="K3325" s="101"/>
      <c r="L3325" s="101"/>
      <c r="M3325" s="101"/>
      <c r="N3325" s="101"/>
      <c r="O3325" s="101"/>
      <c r="P3325" s="101"/>
      <c r="Q3325" s="101"/>
      <c r="R3325" s="101"/>
      <c r="S3325" s="110"/>
      <c r="T3325" s="102"/>
      <c r="U3325" s="101"/>
      <c r="V3325" s="103"/>
      <c r="W3325" s="101"/>
    </row>
    <row r="3326" spans="1:23" x14ac:dyDescent="0.25">
      <c r="A3326" s="98"/>
      <c r="H3326" s="101"/>
      <c r="I3326" s="101"/>
      <c r="J3326" s="101"/>
      <c r="K3326" s="101"/>
      <c r="L3326" s="101"/>
      <c r="M3326" s="101"/>
      <c r="N3326" s="101"/>
      <c r="O3326" s="101"/>
      <c r="P3326" s="101"/>
      <c r="Q3326" s="101"/>
      <c r="R3326" s="101"/>
      <c r="S3326" s="110"/>
      <c r="T3326" s="102"/>
      <c r="U3326" s="101"/>
      <c r="V3326" s="103"/>
      <c r="W3326" s="101"/>
    </row>
    <row r="3327" spans="1:23" x14ac:dyDescent="0.25">
      <c r="A3327" s="98"/>
      <c r="H3327" s="101"/>
      <c r="I3327" s="101"/>
      <c r="J3327" s="101"/>
      <c r="K3327" s="101"/>
      <c r="L3327" s="101"/>
      <c r="M3327" s="101"/>
      <c r="N3327" s="101"/>
      <c r="O3327" s="101"/>
      <c r="P3327" s="101"/>
      <c r="Q3327" s="101"/>
      <c r="R3327" s="101"/>
      <c r="S3327" s="110"/>
      <c r="T3327" s="102"/>
      <c r="U3327" s="101"/>
      <c r="V3327" s="103"/>
      <c r="W3327" s="101"/>
    </row>
    <row r="3328" spans="1:23" x14ac:dyDescent="0.25">
      <c r="A3328" s="98"/>
      <c r="H3328" s="101"/>
      <c r="I3328" s="101"/>
      <c r="J3328" s="101"/>
      <c r="K3328" s="101"/>
      <c r="L3328" s="101"/>
      <c r="M3328" s="101"/>
      <c r="N3328" s="101"/>
      <c r="O3328" s="101"/>
      <c r="P3328" s="101"/>
      <c r="Q3328" s="101"/>
      <c r="R3328" s="101"/>
      <c r="S3328" s="110"/>
      <c r="T3328" s="102"/>
      <c r="U3328" s="101"/>
      <c r="V3328" s="103"/>
      <c r="W3328" s="101"/>
    </row>
    <row r="3329" spans="1:23" x14ac:dyDescent="0.25">
      <c r="A3329" s="98"/>
      <c r="H3329" s="101"/>
      <c r="I3329" s="101"/>
      <c r="J3329" s="101"/>
      <c r="K3329" s="101"/>
      <c r="L3329" s="101"/>
      <c r="M3329" s="101"/>
      <c r="N3329" s="101"/>
      <c r="O3329" s="101"/>
      <c r="P3329" s="101"/>
      <c r="Q3329" s="101"/>
      <c r="R3329" s="101"/>
      <c r="S3329" s="110"/>
      <c r="T3329" s="102"/>
      <c r="U3329" s="101"/>
      <c r="V3329" s="103"/>
      <c r="W3329" s="101"/>
    </row>
    <row r="3330" spans="1:23" x14ac:dyDescent="0.25">
      <c r="A3330" s="98"/>
      <c r="H3330" s="101"/>
      <c r="I3330" s="101"/>
      <c r="J3330" s="101"/>
      <c r="K3330" s="101"/>
      <c r="L3330" s="101"/>
      <c r="M3330" s="101"/>
      <c r="N3330" s="101"/>
      <c r="O3330" s="101"/>
      <c r="P3330" s="101"/>
      <c r="Q3330" s="101"/>
      <c r="R3330" s="101"/>
      <c r="S3330" s="110"/>
      <c r="T3330" s="102"/>
      <c r="U3330" s="101"/>
      <c r="V3330" s="103"/>
      <c r="W3330" s="101"/>
    </row>
    <row r="3331" spans="1:23" x14ac:dyDescent="0.25">
      <c r="A3331" s="98"/>
      <c r="H3331" s="101"/>
      <c r="I3331" s="101"/>
      <c r="J3331" s="101"/>
      <c r="K3331" s="101"/>
      <c r="L3331" s="101"/>
      <c r="M3331" s="101"/>
      <c r="N3331" s="101"/>
      <c r="O3331" s="101"/>
      <c r="P3331" s="101"/>
      <c r="Q3331" s="101"/>
      <c r="R3331" s="101"/>
      <c r="S3331" s="110"/>
      <c r="T3331" s="102"/>
      <c r="U3331" s="101"/>
      <c r="V3331" s="103"/>
      <c r="W3331" s="101"/>
    </row>
    <row r="3332" spans="1:23" x14ac:dyDescent="0.25">
      <c r="A3332" s="98"/>
      <c r="H3332" s="101"/>
      <c r="I3332" s="101"/>
      <c r="J3332" s="101"/>
      <c r="K3332" s="101"/>
      <c r="L3332" s="101"/>
      <c r="M3332" s="101"/>
      <c r="N3332" s="101"/>
      <c r="O3332" s="101"/>
      <c r="P3332" s="101"/>
      <c r="Q3332" s="101"/>
      <c r="R3332" s="101"/>
      <c r="S3332" s="110"/>
      <c r="T3332" s="102"/>
      <c r="U3332" s="101"/>
      <c r="V3332" s="103"/>
      <c r="W3332" s="101"/>
    </row>
    <row r="3333" spans="1:23" x14ac:dyDescent="0.25">
      <c r="A3333" s="98"/>
      <c r="H3333" s="101"/>
      <c r="I3333" s="101"/>
      <c r="J3333" s="101"/>
      <c r="K3333" s="101"/>
      <c r="L3333" s="101"/>
      <c r="M3333" s="101"/>
      <c r="N3333" s="101"/>
      <c r="O3333" s="101"/>
      <c r="P3333" s="101"/>
      <c r="Q3333" s="101"/>
      <c r="R3333" s="101"/>
      <c r="S3333" s="110"/>
      <c r="T3333" s="102"/>
      <c r="U3333" s="101"/>
      <c r="V3333" s="103"/>
      <c r="W3333" s="101"/>
    </row>
    <row r="3334" spans="1:23" x14ac:dyDescent="0.25">
      <c r="A3334" s="98"/>
      <c r="H3334" s="101"/>
      <c r="I3334" s="101"/>
      <c r="J3334" s="101"/>
      <c r="K3334" s="101"/>
      <c r="L3334" s="101"/>
      <c r="M3334" s="101"/>
      <c r="N3334" s="101"/>
      <c r="O3334" s="101"/>
      <c r="P3334" s="101"/>
      <c r="Q3334" s="101"/>
      <c r="R3334" s="101"/>
      <c r="S3334" s="110"/>
      <c r="T3334" s="102"/>
      <c r="U3334" s="101"/>
      <c r="V3334" s="103"/>
      <c r="W3334" s="101"/>
    </row>
    <row r="3335" spans="1:23" x14ac:dyDescent="0.25">
      <c r="A3335" s="98"/>
      <c r="H3335" s="101"/>
      <c r="I3335" s="101"/>
      <c r="J3335" s="101"/>
      <c r="K3335" s="101"/>
      <c r="L3335" s="101"/>
      <c r="M3335" s="101"/>
      <c r="N3335" s="101"/>
      <c r="O3335" s="101"/>
      <c r="P3335" s="101"/>
      <c r="Q3335" s="101"/>
      <c r="R3335" s="101"/>
      <c r="S3335" s="110"/>
      <c r="T3335" s="102"/>
      <c r="U3335" s="101"/>
      <c r="V3335" s="103"/>
      <c r="W3335" s="101"/>
    </row>
    <row r="3336" spans="1:23" x14ac:dyDescent="0.25">
      <c r="A3336" s="98"/>
      <c r="H3336" s="101"/>
      <c r="I3336" s="101"/>
      <c r="J3336" s="101"/>
      <c r="K3336" s="101"/>
      <c r="L3336" s="101"/>
      <c r="M3336" s="101"/>
      <c r="N3336" s="101"/>
      <c r="O3336" s="101"/>
      <c r="P3336" s="101"/>
      <c r="Q3336" s="101"/>
      <c r="R3336" s="101"/>
      <c r="S3336" s="110"/>
      <c r="T3336" s="102"/>
      <c r="U3336" s="101"/>
      <c r="V3336" s="103"/>
      <c r="W3336" s="101"/>
    </row>
    <row r="3337" spans="1:23" x14ac:dyDescent="0.25">
      <c r="A3337" s="98"/>
      <c r="H3337" s="101"/>
      <c r="I3337" s="101"/>
      <c r="J3337" s="101"/>
      <c r="K3337" s="101"/>
      <c r="L3337" s="101"/>
      <c r="M3337" s="101"/>
      <c r="N3337" s="101"/>
      <c r="O3337" s="101"/>
      <c r="P3337" s="101"/>
      <c r="Q3337" s="101"/>
      <c r="R3337" s="101"/>
      <c r="S3337" s="110"/>
      <c r="T3337" s="102"/>
      <c r="U3337" s="101"/>
      <c r="V3337" s="103"/>
      <c r="W3337" s="101"/>
    </row>
    <row r="3338" spans="1:23" x14ac:dyDescent="0.25">
      <c r="A3338" s="98"/>
      <c r="H3338" s="101"/>
      <c r="I3338" s="101"/>
      <c r="J3338" s="101"/>
      <c r="K3338" s="101"/>
      <c r="L3338" s="101"/>
      <c r="M3338" s="101"/>
      <c r="N3338" s="101"/>
      <c r="O3338" s="101"/>
      <c r="P3338" s="101"/>
      <c r="Q3338" s="101"/>
      <c r="R3338" s="101"/>
      <c r="S3338" s="110"/>
      <c r="T3338" s="102"/>
      <c r="U3338" s="101"/>
      <c r="V3338" s="103"/>
      <c r="W3338" s="101"/>
    </row>
    <row r="3339" spans="1:23" x14ac:dyDescent="0.25">
      <c r="A3339" s="98"/>
      <c r="H3339" s="101"/>
      <c r="I3339" s="101"/>
      <c r="J3339" s="101"/>
      <c r="K3339" s="101"/>
      <c r="L3339" s="101"/>
      <c r="M3339" s="101"/>
      <c r="N3339" s="101"/>
      <c r="O3339" s="101"/>
      <c r="P3339" s="101"/>
      <c r="Q3339" s="101"/>
      <c r="R3339" s="101"/>
      <c r="S3339" s="110"/>
      <c r="T3339" s="102"/>
      <c r="U3339" s="101"/>
      <c r="V3339" s="103"/>
      <c r="W3339" s="101"/>
    </row>
    <row r="3340" spans="1:23" x14ac:dyDescent="0.25">
      <c r="A3340" s="98"/>
      <c r="H3340" s="101"/>
      <c r="I3340" s="101"/>
      <c r="J3340" s="101"/>
      <c r="K3340" s="101"/>
      <c r="L3340" s="101"/>
      <c r="M3340" s="101"/>
      <c r="N3340" s="101"/>
      <c r="O3340" s="101"/>
      <c r="P3340" s="101"/>
      <c r="Q3340" s="101"/>
      <c r="R3340" s="101"/>
      <c r="S3340" s="110"/>
      <c r="T3340" s="102"/>
      <c r="U3340" s="101"/>
      <c r="V3340" s="103"/>
      <c r="W3340" s="101"/>
    </row>
    <row r="3341" spans="1:23" x14ac:dyDescent="0.25">
      <c r="A3341" s="98"/>
      <c r="H3341" s="101"/>
      <c r="I3341" s="101"/>
      <c r="J3341" s="101"/>
      <c r="K3341" s="101"/>
      <c r="L3341" s="101"/>
      <c r="M3341" s="101"/>
      <c r="N3341" s="101"/>
      <c r="O3341" s="101"/>
      <c r="P3341" s="101"/>
      <c r="Q3341" s="101"/>
      <c r="R3341" s="101"/>
      <c r="S3341" s="110"/>
      <c r="T3341" s="102"/>
      <c r="U3341" s="101"/>
      <c r="V3341" s="103"/>
      <c r="W3341" s="101"/>
    </row>
    <row r="3342" spans="1:23" x14ac:dyDescent="0.25">
      <c r="A3342" s="98"/>
      <c r="H3342" s="101"/>
      <c r="I3342" s="101"/>
      <c r="J3342" s="101"/>
      <c r="K3342" s="101"/>
      <c r="L3342" s="101"/>
      <c r="M3342" s="101"/>
      <c r="N3342" s="101"/>
      <c r="O3342" s="101"/>
      <c r="P3342" s="101"/>
      <c r="Q3342" s="101"/>
      <c r="R3342" s="101"/>
      <c r="S3342" s="110"/>
      <c r="T3342" s="102"/>
      <c r="U3342" s="101"/>
      <c r="V3342" s="103"/>
      <c r="W3342" s="101"/>
    </row>
    <row r="3343" spans="1:23" x14ac:dyDescent="0.25">
      <c r="A3343" s="98"/>
      <c r="H3343" s="101"/>
      <c r="I3343" s="101"/>
      <c r="J3343" s="101"/>
      <c r="K3343" s="101"/>
      <c r="L3343" s="101"/>
      <c r="M3343" s="101"/>
      <c r="N3343" s="101"/>
      <c r="O3343" s="101"/>
      <c r="P3343" s="101"/>
      <c r="Q3343" s="101"/>
      <c r="R3343" s="101"/>
      <c r="S3343" s="110"/>
      <c r="T3343" s="102"/>
      <c r="U3343" s="101"/>
      <c r="V3343" s="103"/>
      <c r="W3343" s="101"/>
    </row>
    <row r="3344" spans="1:23" x14ac:dyDescent="0.25">
      <c r="A3344" s="98"/>
      <c r="H3344" s="101"/>
      <c r="I3344" s="101"/>
      <c r="J3344" s="101"/>
      <c r="K3344" s="101"/>
      <c r="L3344" s="101"/>
      <c r="M3344" s="101"/>
      <c r="N3344" s="101"/>
      <c r="O3344" s="101"/>
      <c r="P3344" s="101"/>
      <c r="Q3344" s="101"/>
      <c r="R3344" s="101"/>
      <c r="S3344" s="110"/>
      <c r="T3344" s="102"/>
      <c r="U3344" s="101"/>
      <c r="V3344" s="103"/>
      <c r="W3344" s="101"/>
    </row>
    <row r="3345" spans="1:23" x14ac:dyDescent="0.25">
      <c r="A3345" s="98"/>
      <c r="H3345" s="101"/>
      <c r="I3345" s="101"/>
      <c r="J3345" s="101"/>
      <c r="K3345" s="101"/>
      <c r="L3345" s="101"/>
      <c r="M3345" s="101"/>
      <c r="N3345" s="101"/>
      <c r="O3345" s="101"/>
      <c r="P3345" s="101"/>
      <c r="Q3345" s="101"/>
      <c r="R3345" s="101"/>
      <c r="S3345" s="110"/>
      <c r="T3345" s="102"/>
      <c r="U3345" s="101"/>
      <c r="V3345" s="103"/>
      <c r="W3345" s="101"/>
    </row>
    <row r="3346" spans="1:23" x14ac:dyDescent="0.25">
      <c r="A3346" s="98"/>
      <c r="H3346" s="101"/>
      <c r="I3346" s="101"/>
      <c r="J3346" s="101"/>
      <c r="K3346" s="101"/>
      <c r="L3346" s="101"/>
      <c r="M3346" s="101"/>
      <c r="N3346" s="101"/>
      <c r="O3346" s="101"/>
      <c r="P3346" s="101"/>
      <c r="Q3346" s="101"/>
      <c r="R3346" s="101"/>
      <c r="S3346" s="110"/>
      <c r="T3346" s="102"/>
      <c r="U3346" s="101"/>
      <c r="V3346" s="103"/>
      <c r="W3346" s="101"/>
    </row>
    <row r="3347" spans="1:23" x14ac:dyDescent="0.25">
      <c r="A3347" s="98"/>
      <c r="H3347" s="101"/>
      <c r="I3347" s="101"/>
      <c r="J3347" s="101"/>
      <c r="K3347" s="101"/>
      <c r="L3347" s="101"/>
      <c r="M3347" s="101"/>
      <c r="N3347" s="101"/>
      <c r="O3347" s="101"/>
      <c r="P3347" s="101"/>
      <c r="Q3347" s="101"/>
      <c r="R3347" s="101"/>
      <c r="S3347" s="110"/>
      <c r="T3347" s="102"/>
      <c r="U3347" s="101"/>
      <c r="V3347" s="103"/>
      <c r="W3347" s="101"/>
    </row>
    <row r="3348" spans="1:23" x14ac:dyDescent="0.25">
      <c r="A3348" s="98"/>
      <c r="H3348" s="101"/>
      <c r="I3348" s="101"/>
      <c r="J3348" s="101"/>
      <c r="K3348" s="101"/>
      <c r="L3348" s="101"/>
      <c r="M3348" s="101"/>
      <c r="N3348" s="101"/>
      <c r="O3348" s="101"/>
      <c r="P3348" s="101"/>
      <c r="Q3348" s="101"/>
      <c r="R3348" s="101"/>
      <c r="S3348" s="110"/>
      <c r="T3348" s="102"/>
      <c r="U3348" s="101"/>
      <c r="V3348" s="103"/>
      <c r="W3348" s="101"/>
    </row>
    <row r="3349" spans="1:23" x14ac:dyDescent="0.25">
      <c r="A3349" s="98"/>
      <c r="H3349" s="101"/>
      <c r="I3349" s="101"/>
      <c r="J3349" s="101"/>
      <c r="K3349" s="101"/>
      <c r="L3349" s="101"/>
      <c r="M3349" s="101"/>
      <c r="N3349" s="101"/>
      <c r="O3349" s="101"/>
      <c r="P3349" s="101"/>
      <c r="Q3349" s="101"/>
      <c r="R3349" s="101"/>
      <c r="S3349" s="110"/>
      <c r="T3349" s="102"/>
      <c r="U3349" s="101"/>
      <c r="V3349" s="103"/>
      <c r="W3349" s="101"/>
    </row>
    <row r="3350" spans="1:23" x14ac:dyDescent="0.25">
      <c r="A3350" s="98"/>
      <c r="H3350" s="101"/>
      <c r="I3350" s="101"/>
      <c r="J3350" s="101"/>
      <c r="K3350" s="101"/>
      <c r="L3350" s="101"/>
      <c r="M3350" s="101"/>
      <c r="N3350" s="101"/>
      <c r="O3350" s="101"/>
      <c r="P3350" s="101"/>
      <c r="Q3350" s="101"/>
      <c r="R3350" s="101"/>
      <c r="S3350" s="110"/>
      <c r="T3350" s="102"/>
      <c r="U3350" s="101"/>
      <c r="V3350" s="103"/>
      <c r="W3350" s="101"/>
    </row>
    <row r="3351" spans="1:23" x14ac:dyDescent="0.25">
      <c r="A3351" s="98"/>
      <c r="H3351" s="101"/>
      <c r="I3351" s="101"/>
      <c r="J3351" s="101"/>
      <c r="K3351" s="101"/>
      <c r="L3351" s="101"/>
      <c r="M3351" s="101"/>
      <c r="N3351" s="101"/>
      <c r="O3351" s="101"/>
      <c r="P3351" s="101"/>
      <c r="Q3351" s="101"/>
      <c r="R3351" s="101"/>
      <c r="S3351" s="110"/>
      <c r="T3351" s="102"/>
      <c r="U3351" s="101"/>
      <c r="V3351" s="103"/>
      <c r="W3351" s="101"/>
    </row>
    <row r="3352" spans="1:23" x14ac:dyDescent="0.25">
      <c r="A3352" s="98"/>
      <c r="H3352" s="101"/>
      <c r="I3352" s="101"/>
      <c r="J3352" s="101"/>
      <c r="K3352" s="101"/>
      <c r="L3352" s="101"/>
      <c r="M3352" s="101"/>
      <c r="N3352" s="101"/>
      <c r="O3352" s="101"/>
      <c r="P3352" s="101"/>
      <c r="Q3352" s="101"/>
      <c r="R3352" s="101"/>
      <c r="S3352" s="110"/>
      <c r="T3352" s="102"/>
      <c r="U3352" s="101"/>
      <c r="V3352" s="103"/>
      <c r="W3352" s="101"/>
    </row>
    <row r="3353" spans="1:23" x14ac:dyDescent="0.25">
      <c r="A3353" s="98"/>
      <c r="H3353" s="101"/>
      <c r="I3353" s="101"/>
      <c r="J3353" s="101"/>
      <c r="K3353" s="101"/>
      <c r="L3353" s="101"/>
      <c r="M3353" s="101"/>
      <c r="N3353" s="101"/>
      <c r="O3353" s="101"/>
      <c r="P3353" s="101"/>
      <c r="Q3353" s="101"/>
      <c r="R3353" s="101"/>
      <c r="S3353" s="110"/>
      <c r="T3353" s="102"/>
      <c r="U3353" s="101"/>
      <c r="V3353" s="103"/>
      <c r="W3353" s="101"/>
    </row>
    <row r="3354" spans="1:23" x14ac:dyDescent="0.25">
      <c r="A3354" s="98"/>
      <c r="H3354" s="101"/>
      <c r="I3354" s="101"/>
      <c r="J3354" s="101"/>
      <c r="K3354" s="101"/>
      <c r="L3354" s="101"/>
      <c r="M3354" s="101"/>
      <c r="N3354" s="101"/>
      <c r="O3354" s="101"/>
      <c r="P3354" s="101"/>
      <c r="Q3354" s="101"/>
      <c r="R3354" s="101"/>
      <c r="S3354" s="110"/>
      <c r="T3354" s="102"/>
      <c r="U3354" s="101"/>
      <c r="V3354" s="103"/>
      <c r="W3354" s="101"/>
    </row>
    <row r="3355" spans="1:23" x14ac:dyDescent="0.25">
      <c r="A3355" s="98"/>
      <c r="H3355" s="101"/>
      <c r="I3355" s="101"/>
      <c r="J3355" s="101"/>
      <c r="K3355" s="101"/>
      <c r="L3355" s="101"/>
      <c r="M3355" s="101"/>
      <c r="N3355" s="101"/>
      <c r="O3355" s="101"/>
      <c r="P3355" s="101"/>
      <c r="Q3355" s="101"/>
      <c r="R3355" s="101"/>
      <c r="S3355" s="110"/>
      <c r="T3355" s="102"/>
      <c r="U3355" s="101"/>
      <c r="V3355" s="103"/>
      <c r="W3355" s="101"/>
    </row>
    <row r="3356" spans="1:23" x14ac:dyDescent="0.25">
      <c r="A3356" s="98"/>
      <c r="H3356" s="101"/>
      <c r="I3356" s="101"/>
      <c r="J3356" s="101"/>
      <c r="K3356" s="101"/>
      <c r="L3356" s="101"/>
      <c r="M3356" s="101"/>
      <c r="N3356" s="101"/>
      <c r="O3356" s="101"/>
      <c r="P3356" s="101"/>
      <c r="Q3356" s="101"/>
      <c r="R3356" s="101"/>
      <c r="S3356" s="110"/>
      <c r="T3356" s="102"/>
      <c r="U3356" s="101"/>
      <c r="V3356" s="103"/>
      <c r="W3356" s="101"/>
    </row>
    <row r="3357" spans="1:23" x14ac:dyDescent="0.25">
      <c r="A3357" s="98"/>
      <c r="H3357" s="101"/>
      <c r="I3357" s="101"/>
      <c r="J3357" s="101"/>
      <c r="K3357" s="101"/>
      <c r="L3357" s="101"/>
      <c r="M3357" s="101"/>
      <c r="N3357" s="101"/>
      <c r="O3357" s="101"/>
      <c r="P3357" s="101"/>
      <c r="Q3357" s="101"/>
      <c r="R3357" s="101"/>
      <c r="S3357" s="110"/>
      <c r="T3357" s="102"/>
      <c r="U3357" s="101"/>
      <c r="V3357" s="103"/>
      <c r="W3357" s="101"/>
    </row>
    <row r="3358" spans="1:23" x14ac:dyDescent="0.25">
      <c r="A3358" s="98"/>
      <c r="H3358" s="101"/>
      <c r="I3358" s="101"/>
      <c r="J3358" s="101"/>
      <c r="K3358" s="101"/>
      <c r="L3358" s="101"/>
      <c r="M3358" s="101"/>
      <c r="N3358" s="101"/>
      <c r="O3358" s="101"/>
      <c r="P3358" s="101"/>
      <c r="Q3358" s="101"/>
      <c r="R3358" s="101"/>
      <c r="S3358" s="110"/>
      <c r="T3358" s="102"/>
      <c r="U3358" s="101"/>
      <c r="V3358" s="103"/>
      <c r="W3358" s="101"/>
    </row>
    <row r="3359" spans="1:23" x14ac:dyDescent="0.25">
      <c r="A3359" s="98"/>
      <c r="H3359" s="101"/>
      <c r="I3359" s="101"/>
      <c r="J3359" s="101"/>
      <c r="K3359" s="101"/>
      <c r="L3359" s="101"/>
      <c r="M3359" s="101"/>
      <c r="N3359" s="101"/>
      <c r="O3359" s="101"/>
      <c r="P3359" s="101"/>
      <c r="Q3359" s="101"/>
      <c r="R3359" s="101"/>
      <c r="S3359" s="110"/>
      <c r="T3359" s="102"/>
      <c r="U3359" s="101"/>
      <c r="V3359" s="103"/>
      <c r="W3359" s="101"/>
    </row>
    <row r="3360" spans="1:23" x14ac:dyDescent="0.25">
      <c r="A3360" s="98"/>
      <c r="H3360" s="101"/>
      <c r="I3360" s="101"/>
      <c r="J3360" s="101"/>
      <c r="K3360" s="101"/>
      <c r="L3360" s="101"/>
      <c r="M3360" s="101"/>
      <c r="N3360" s="101"/>
      <c r="O3360" s="101"/>
      <c r="P3360" s="101"/>
      <c r="Q3360" s="101"/>
      <c r="R3360" s="101"/>
      <c r="S3360" s="110"/>
      <c r="T3360" s="102"/>
      <c r="U3360" s="101"/>
      <c r="V3360" s="103"/>
      <c r="W3360" s="101"/>
    </row>
    <row r="3361" spans="1:23" x14ac:dyDescent="0.25">
      <c r="A3361" s="98"/>
      <c r="H3361" s="101"/>
      <c r="I3361" s="101"/>
      <c r="J3361" s="101"/>
      <c r="K3361" s="101"/>
      <c r="L3361" s="101"/>
      <c r="M3361" s="101"/>
      <c r="N3361" s="101"/>
      <c r="O3361" s="101"/>
      <c r="P3361" s="101"/>
      <c r="Q3361" s="101"/>
      <c r="R3361" s="101"/>
      <c r="S3361" s="110"/>
      <c r="T3361" s="102"/>
      <c r="U3361" s="101"/>
      <c r="V3361" s="103"/>
      <c r="W3361" s="101"/>
    </row>
    <row r="3362" spans="1:23" x14ac:dyDescent="0.25">
      <c r="A3362" s="98"/>
      <c r="H3362" s="101"/>
      <c r="I3362" s="101"/>
      <c r="J3362" s="101"/>
      <c r="K3362" s="101"/>
      <c r="L3362" s="101"/>
      <c r="M3362" s="101"/>
      <c r="N3362" s="101"/>
      <c r="O3362" s="101"/>
      <c r="P3362" s="101"/>
      <c r="Q3362" s="101"/>
      <c r="R3362" s="101"/>
      <c r="S3362" s="110"/>
      <c r="T3362" s="102"/>
      <c r="U3362" s="101"/>
      <c r="V3362" s="103"/>
      <c r="W3362" s="101"/>
    </row>
    <row r="3363" spans="1:23" x14ac:dyDescent="0.25">
      <c r="A3363" s="98"/>
      <c r="H3363" s="101"/>
      <c r="I3363" s="101"/>
      <c r="J3363" s="101"/>
      <c r="K3363" s="101"/>
      <c r="L3363" s="101"/>
      <c r="M3363" s="101"/>
      <c r="N3363" s="101"/>
      <c r="O3363" s="101"/>
      <c r="P3363" s="101"/>
      <c r="Q3363" s="101"/>
      <c r="R3363" s="101"/>
      <c r="S3363" s="110"/>
      <c r="T3363" s="102"/>
      <c r="U3363" s="101"/>
      <c r="V3363" s="103"/>
      <c r="W3363" s="101"/>
    </row>
    <row r="3364" spans="1:23" x14ac:dyDescent="0.25">
      <c r="A3364" s="98"/>
      <c r="H3364" s="101"/>
      <c r="I3364" s="101"/>
      <c r="J3364" s="101"/>
      <c r="K3364" s="101"/>
      <c r="L3364" s="101"/>
      <c r="M3364" s="101"/>
      <c r="N3364" s="101"/>
      <c r="O3364" s="101"/>
      <c r="P3364" s="101"/>
      <c r="Q3364" s="101"/>
      <c r="R3364" s="101"/>
      <c r="S3364" s="110"/>
      <c r="T3364" s="102"/>
      <c r="U3364" s="101"/>
      <c r="V3364" s="103"/>
      <c r="W3364" s="101"/>
    </row>
    <row r="3365" spans="1:23" x14ac:dyDescent="0.25">
      <c r="A3365" s="98"/>
      <c r="H3365" s="101"/>
      <c r="I3365" s="101"/>
      <c r="J3365" s="101"/>
      <c r="K3365" s="101"/>
      <c r="L3365" s="101"/>
      <c r="M3365" s="101"/>
      <c r="N3365" s="101"/>
      <c r="O3365" s="101"/>
      <c r="P3365" s="101"/>
      <c r="Q3365" s="101"/>
      <c r="R3365" s="101"/>
      <c r="S3365" s="110"/>
      <c r="T3365" s="102"/>
      <c r="U3365" s="101"/>
      <c r="V3365" s="103"/>
      <c r="W3365" s="101"/>
    </row>
    <row r="3366" spans="1:23" x14ac:dyDescent="0.25">
      <c r="A3366" s="98"/>
      <c r="H3366" s="101"/>
      <c r="I3366" s="101"/>
      <c r="J3366" s="101"/>
      <c r="K3366" s="101"/>
      <c r="L3366" s="101"/>
      <c r="M3366" s="101"/>
      <c r="N3366" s="101"/>
      <c r="O3366" s="101"/>
      <c r="P3366" s="101"/>
      <c r="Q3366" s="101"/>
      <c r="R3366" s="101"/>
      <c r="S3366" s="110"/>
      <c r="T3366" s="102"/>
      <c r="U3366" s="101"/>
      <c r="V3366" s="103"/>
      <c r="W3366" s="101"/>
    </row>
    <row r="3367" spans="1:23" x14ac:dyDescent="0.25">
      <c r="A3367" s="98"/>
      <c r="H3367" s="101"/>
      <c r="I3367" s="101"/>
      <c r="J3367" s="101"/>
      <c r="K3367" s="101"/>
      <c r="L3367" s="101"/>
      <c r="M3367" s="101"/>
      <c r="N3367" s="101"/>
      <c r="O3367" s="101"/>
      <c r="P3367" s="101"/>
      <c r="Q3367" s="101"/>
      <c r="R3367" s="101"/>
      <c r="S3367" s="110"/>
      <c r="T3367" s="102"/>
      <c r="U3367" s="101"/>
      <c r="V3367" s="103"/>
      <c r="W3367" s="101"/>
    </row>
    <row r="3368" spans="1:23" x14ac:dyDescent="0.25">
      <c r="A3368" s="98"/>
      <c r="H3368" s="101"/>
      <c r="I3368" s="101"/>
      <c r="J3368" s="101"/>
      <c r="K3368" s="101"/>
      <c r="L3368" s="101"/>
      <c r="M3368" s="101"/>
      <c r="N3368" s="101"/>
      <c r="O3368" s="101"/>
      <c r="P3368" s="101"/>
      <c r="Q3368" s="101"/>
      <c r="R3368" s="101"/>
      <c r="S3368" s="110"/>
      <c r="T3368" s="102"/>
      <c r="U3368" s="101"/>
      <c r="V3368" s="103"/>
      <c r="W3368" s="101"/>
    </row>
    <row r="3369" spans="1:23" x14ac:dyDescent="0.25">
      <c r="A3369" s="98"/>
      <c r="H3369" s="101"/>
      <c r="I3369" s="101"/>
      <c r="J3369" s="101"/>
      <c r="K3369" s="101"/>
      <c r="L3369" s="101"/>
      <c r="M3369" s="101"/>
      <c r="N3369" s="101"/>
      <c r="O3369" s="101"/>
      <c r="P3369" s="101"/>
      <c r="Q3369" s="101"/>
      <c r="R3369" s="101"/>
      <c r="S3369" s="110"/>
      <c r="T3369" s="102"/>
      <c r="U3369" s="101"/>
      <c r="V3369" s="103"/>
      <c r="W3369" s="101"/>
    </row>
    <row r="3370" spans="1:23" x14ac:dyDescent="0.25">
      <c r="A3370" s="98"/>
      <c r="H3370" s="101"/>
      <c r="I3370" s="101"/>
      <c r="J3370" s="101"/>
      <c r="K3370" s="101"/>
      <c r="L3370" s="101"/>
      <c r="M3370" s="101"/>
      <c r="N3370" s="101"/>
      <c r="O3370" s="101"/>
      <c r="P3370" s="101"/>
      <c r="Q3370" s="101"/>
      <c r="R3370" s="101"/>
      <c r="S3370" s="110"/>
      <c r="T3370" s="102"/>
      <c r="U3370" s="101"/>
      <c r="V3370" s="103"/>
      <c r="W3370" s="101"/>
    </row>
    <row r="3371" spans="1:23" x14ac:dyDescent="0.25">
      <c r="A3371" s="98"/>
      <c r="H3371" s="101"/>
      <c r="I3371" s="101"/>
      <c r="J3371" s="101"/>
      <c r="K3371" s="101"/>
      <c r="L3371" s="101"/>
      <c r="M3371" s="101"/>
      <c r="N3371" s="101"/>
      <c r="O3371" s="101"/>
      <c r="P3371" s="101"/>
      <c r="Q3371" s="101"/>
      <c r="R3371" s="101"/>
      <c r="S3371" s="110"/>
      <c r="T3371" s="102"/>
      <c r="U3371" s="101"/>
      <c r="V3371" s="103"/>
      <c r="W3371" s="101"/>
    </row>
    <row r="3372" spans="1:23" x14ac:dyDescent="0.25">
      <c r="A3372" s="98"/>
      <c r="H3372" s="101"/>
      <c r="I3372" s="101"/>
      <c r="J3372" s="101"/>
      <c r="K3372" s="101"/>
      <c r="L3372" s="101"/>
      <c r="M3372" s="101"/>
      <c r="N3372" s="101"/>
      <c r="O3372" s="101"/>
      <c r="P3372" s="101"/>
      <c r="Q3372" s="101"/>
      <c r="R3372" s="101"/>
      <c r="S3372" s="110"/>
      <c r="T3372" s="102"/>
      <c r="U3372" s="101"/>
      <c r="V3372" s="103"/>
      <c r="W3372" s="101"/>
    </row>
    <row r="3373" spans="1:23" x14ac:dyDescent="0.25">
      <c r="A3373" s="98"/>
      <c r="H3373" s="101"/>
      <c r="I3373" s="101"/>
      <c r="J3373" s="101"/>
      <c r="K3373" s="101"/>
      <c r="L3373" s="101"/>
      <c r="M3373" s="101"/>
      <c r="N3373" s="101"/>
      <c r="O3373" s="101"/>
      <c r="P3373" s="101"/>
      <c r="Q3373" s="101"/>
      <c r="R3373" s="101"/>
      <c r="S3373" s="110"/>
      <c r="T3373" s="102"/>
      <c r="U3373" s="101"/>
      <c r="V3373" s="103"/>
      <c r="W3373" s="101"/>
    </row>
    <row r="3374" spans="1:23" x14ac:dyDescent="0.25">
      <c r="A3374" s="98"/>
      <c r="H3374" s="101"/>
      <c r="I3374" s="101"/>
      <c r="J3374" s="101"/>
      <c r="K3374" s="101"/>
      <c r="L3374" s="101"/>
      <c r="M3374" s="101"/>
      <c r="N3374" s="101"/>
      <c r="O3374" s="101"/>
      <c r="P3374" s="101"/>
      <c r="Q3374" s="101"/>
      <c r="R3374" s="101"/>
      <c r="S3374" s="110"/>
      <c r="T3374" s="102"/>
      <c r="U3374" s="101"/>
      <c r="V3374" s="103"/>
      <c r="W3374" s="101"/>
    </row>
    <row r="3375" spans="1:23" x14ac:dyDescent="0.25">
      <c r="A3375" s="98"/>
      <c r="H3375" s="101"/>
      <c r="I3375" s="101"/>
      <c r="J3375" s="101"/>
      <c r="K3375" s="101"/>
      <c r="L3375" s="101"/>
      <c r="M3375" s="101"/>
      <c r="N3375" s="101"/>
      <c r="O3375" s="101"/>
      <c r="P3375" s="101"/>
      <c r="Q3375" s="101"/>
      <c r="R3375" s="101"/>
      <c r="S3375" s="110"/>
      <c r="T3375" s="102"/>
      <c r="U3375" s="101"/>
      <c r="V3375" s="103"/>
      <c r="W3375" s="101"/>
    </row>
    <row r="3376" spans="1:23" x14ac:dyDescent="0.25">
      <c r="A3376" s="98"/>
      <c r="H3376" s="101"/>
      <c r="I3376" s="101"/>
      <c r="J3376" s="101"/>
      <c r="K3376" s="101"/>
      <c r="L3376" s="101"/>
      <c r="M3376" s="101"/>
      <c r="N3376" s="101"/>
      <c r="O3376" s="101"/>
      <c r="P3376" s="101"/>
      <c r="Q3376" s="101"/>
      <c r="R3376" s="101"/>
      <c r="S3376" s="110"/>
      <c r="T3376" s="102"/>
      <c r="U3376" s="101"/>
      <c r="V3376" s="103"/>
      <c r="W3376" s="101"/>
    </row>
    <row r="3377" spans="1:23" x14ac:dyDescent="0.25">
      <c r="A3377" s="98"/>
      <c r="H3377" s="101"/>
      <c r="I3377" s="101"/>
      <c r="J3377" s="101"/>
      <c r="K3377" s="101"/>
      <c r="L3377" s="101"/>
      <c r="M3377" s="101"/>
      <c r="N3377" s="101"/>
      <c r="O3377" s="101"/>
      <c r="P3377" s="101"/>
      <c r="Q3377" s="101"/>
      <c r="R3377" s="101"/>
      <c r="S3377" s="110"/>
      <c r="T3377" s="102"/>
      <c r="U3377" s="101"/>
      <c r="V3377" s="103"/>
      <c r="W3377" s="101"/>
    </row>
    <row r="3378" spans="1:23" x14ac:dyDescent="0.25">
      <c r="A3378" s="98"/>
      <c r="H3378" s="101"/>
      <c r="I3378" s="101"/>
      <c r="J3378" s="101"/>
      <c r="K3378" s="101"/>
      <c r="L3378" s="101"/>
      <c r="M3378" s="101"/>
      <c r="N3378" s="101"/>
      <c r="O3378" s="101"/>
      <c r="P3378" s="101"/>
      <c r="Q3378" s="101"/>
      <c r="R3378" s="101"/>
      <c r="S3378" s="110"/>
      <c r="T3378" s="102"/>
      <c r="U3378" s="101"/>
      <c r="V3378" s="103"/>
      <c r="W3378" s="101"/>
    </row>
    <row r="3379" spans="1:23" x14ac:dyDescent="0.25">
      <c r="A3379" s="98"/>
      <c r="H3379" s="101"/>
      <c r="I3379" s="101"/>
      <c r="J3379" s="101"/>
      <c r="K3379" s="101"/>
      <c r="L3379" s="101"/>
      <c r="M3379" s="101"/>
      <c r="N3379" s="101"/>
      <c r="O3379" s="101"/>
      <c r="P3379" s="101"/>
      <c r="Q3379" s="101"/>
      <c r="R3379" s="101"/>
      <c r="S3379" s="110"/>
      <c r="T3379" s="102"/>
      <c r="U3379" s="101"/>
      <c r="V3379" s="103"/>
      <c r="W3379" s="101"/>
    </row>
    <row r="3380" spans="1:23" x14ac:dyDescent="0.25">
      <c r="A3380" s="98"/>
      <c r="H3380" s="101"/>
      <c r="I3380" s="101"/>
      <c r="J3380" s="101"/>
      <c r="K3380" s="101"/>
      <c r="L3380" s="101"/>
      <c r="M3380" s="101"/>
      <c r="N3380" s="101"/>
      <c r="O3380" s="101"/>
      <c r="P3380" s="101"/>
      <c r="Q3380" s="101"/>
      <c r="R3380" s="101"/>
      <c r="S3380" s="110"/>
      <c r="T3380" s="102"/>
      <c r="U3380" s="101"/>
      <c r="V3380" s="103"/>
      <c r="W3380" s="101"/>
    </row>
    <row r="3381" spans="1:23" x14ac:dyDescent="0.25">
      <c r="A3381" s="98"/>
      <c r="H3381" s="101"/>
      <c r="I3381" s="101"/>
      <c r="J3381" s="101"/>
      <c r="K3381" s="101"/>
      <c r="L3381" s="101"/>
      <c r="M3381" s="101"/>
      <c r="N3381" s="101"/>
      <c r="O3381" s="101"/>
      <c r="P3381" s="101"/>
      <c r="Q3381" s="101"/>
      <c r="R3381" s="101"/>
      <c r="S3381" s="110"/>
      <c r="T3381" s="102"/>
      <c r="U3381" s="101"/>
      <c r="V3381" s="103"/>
      <c r="W3381" s="101"/>
    </row>
    <row r="3382" spans="1:23" x14ac:dyDescent="0.25">
      <c r="A3382" s="98"/>
      <c r="H3382" s="101"/>
      <c r="I3382" s="101"/>
      <c r="J3382" s="101"/>
      <c r="K3382" s="101"/>
      <c r="L3382" s="101"/>
      <c r="M3382" s="101"/>
      <c r="N3382" s="101"/>
      <c r="O3382" s="101"/>
      <c r="P3382" s="101"/>
      <c r="Q3382" s="101"/>
      <c r="R3382" s="101"/>
      <c r="S3382" s="110"/>
      <c r="T3382" s="102"/>
      <c r="U3382" s="101"/>
      <c r="V3382" s="103"/>
      <c r="W3382" s="101"/>
    </row>
    <row r="3383" spans="1:23" x14ac:dyDescent="0.25">
      <c r="A3383" s="98"/>
      <c r="H3383" s="101"/>
      <c r="I3383" s="101"/>
      <c r="J3383" s="101"/>
      <c r="K3383" s="101"/>
      <c r="L3383" s="101"/>
      <c r="M3383" s="101"/>
      <c r="N3383" s="101"/>
      <c r="O3383" s="101"/>
      <c r="P3383" s="101"/>
      <c r="Q3383" s="101"/>
      <c r="R3383" s="101"/>
      <c r="S3383" s="110"/>
      <c r="T3383" s="102"/>
      <c r="U3383" s="101"/>
      <c r="V3383" s="103"/>
      <c r="W3383" s="101"/>
    </row>
    <row r="3384" spans="1:23" x14ac:dyDescent="0.25">
      <c r="A3384" s="98"/>
      <c r="H3384" s="101"/>
      <c r="I3384" s="101"/>
      <c r="J3384" s="101"/>
      <c r="K3384" s="101"/>
      <c r="L3384" s="101"/>
      <c r="M3384" s="101"/>
      <c r="N3384" s="101"/>
      <c r="O3384" s="101"/>
      <c r="P3384" s="101"/>
      <c r="Q3384" s="101"/>
      <c r="R3384" s="101"/>
      <c r="S3384" s="110"/>
      <c r="T3384" s="102"/>
      <c r="U3384" s="101"/>
      <c r="V3384" s="103"/>
      <c r="W3384" s="101"/>
    </row>
    <row r="3385" spans="1:23" x14ac:dyDescent="0.25">
      <c r="A3385" s="98"/>
      <c r="H3385" s="101"/>
      <c r="I3385" s="101"/>
      <c r="J3385" s="101"/>
      <c r="K3385" s="101"/>
      <c r="L3385" s="101"/>
      <c r="M3385" s="101"/>
      <c r="N3385" s="101"/>
      <c r="O3385" s="101"/>
      <c r="P3385" s="101"/>
      <c r="Q3385" s="101"/>
      <c r="R3385" s="101"/>
      <c r="S3385" s="110"/>
      <c r="T3385" s="102"/>
      <c r="U3385" s="101"/>
      <c r="V3385" s="103"/>
      <c r="W3385" s="101"/>
    </row>
    <row r="3386" spans="1:23" x14ac:dyDescent="0.25">
      <c r="A3386" s="98"/>
      <c r="H3386" s="101"/>
      <c r="I3386" s="101"/>
      <c r="J3386" s="101"/>
      <c r="K3386" s="101"/>
      <c r="L3386" s="101"/>
      <c r="M3386" s="101"/>
      <c r="N3386" s="101"/>
      <c r="O3386" s="101"/>
      <c r="P3386" s="101"/>
      <c r="Q3386" s="101"/>
      <c r="R3386" s="101"/>
      <c r="S3386" s="110"/>
      <c r="T3386" s="102"/>
      <c r="U3386" s="101"/>
      <c r="V3386" s="103"/>
      <c r="W3386" s="101"/>
    </row>
    <row r="3387" spans="1:23" x14ac:dyDescent="0.25">
      <c r="A3387" s="98"/>
      <c r="H3387" s="101"/>
      <c r="I3387" s="101"/>
      <c r="J3387" s="101"/>
      <c r="K3387" s="101"/>
      <c r="L3387" s="101"/>
      <c r="M3387" s="101"/>
      <c r="N3387" s="101"/>
      <c r="O3387" s="101"/>
      <c r="P3387" s="101"/>
      <c r="Q3387" s="101"/>
      <c r="R3387" s="101"/>
      <c r="S3387" s="110"/>
      <c r="T3387" s="102"/>
      <c r="U3387" s="101"/>
      <c r="V3387" s="103"/>
      <c r="W3387" s="101"/>
    </row>
    <row r="3388" spans="1:23" x14ac:dyDescent="0.25">
      <c r="A3388" s="98"/>
      <c r="H3388" s="101"/>
      <c r="I3388" s="101"/>
      <c r="J3388" s="101"/>
      <c r="K3388" s="101"/>
      <c r="L3388" s="101"/>
      <c r="M3388" s="101"/>
      <c r="N3388" s="101"/>
      <c r="O3388" s="101"/>
      <c r="P3388" s="101"/>
      <c r="Q3388" s="101"/>
      <c r="R3388" s="101"/>
      <c r="S3388" s="110"/>
      <c r="T3388" s="102"/>
      <c r="U3388" s="101"/>
      <c r="V3388" s="103"/>
      <c r="W3388" s="101"/>
    </row>
    <row r="3389" spans="1:23" x14ac:dyDescent="0.25">
      <c r="A3389" s="98"/>
      <c r="H3389" s="101"/>
      <c r="I3389" s="101"/>
      <c r="J3389" s="101"/>
      <c r="K3389" s="101"/>
      <c r="L3389" s="101"/>
      <c r="M3389" s="101"/>
      <c r="N3389" s="101"/>
      <c r="O3389" s="101"/>
      <c r="P3389" s="101"/>
      <c r="Q3389" s="101"/>
      <c r="R3389" s="101"/>
      <c r="S3389" s="110"/>
      <c r="T3389" s="102"/>
      <c r="U3389" s="101"/>
      <c r="V3389" s="103"/>
      <c r="W3389" s="101"/>
    </row>
    <row r="3390" spans="1:23" x14ac:dyDescent="0.25">
      <c r="A3390" s="98"/>
      <c r="H3390" s="101"/>
      <c r="I3390" s="101"/>
      <c r="J3390" s="101"/>
      <c r="K3390" s="101"/>
      <c r="L3390" s="101"/>
      <c r="M3390" s="101"/>
      <c r="N3390" s="101"/>
      <c r="O3390" s="101"/>
      <c r="P3390" s="101"/>
      <c r="Q3390" s="101"/>
      <c r="R3390" s="101"/>
      <c r="S3390" s="110"/>
      <c r="T3390" s="102"/>
      <c r="U3390" s="101"/>
      <c r="V3390" s="103"/>
      <c r="W3390" s="101"/>
    </row>
    <row r="3391" spans="1:23" x14ac:dyDescent="0.25">
      <c r="A3391" s="98"/>
      <c r="H3391" s="101"/>
      <c r="I3391" s="101"/>
      <c r="J3391" s="101"/>
      <c r="K3391" s="101"/>
      <c r="L3391" s="101"/>
      <c r="M3391" s="101"/>
      <c r="N3391" s="101"/>
      <c r="O3391" s="101"/>
      <c r="P3391" s="101"/>
      <c r="Q3391" s="101"/>
      <c r="R3391" s="101"/>
      <c r="S3391" s="110"/>
      <c r="T3391" s="102"/>
      <c r="U3391" s="101"/>
      <c r="V3391" s="103"/>
      <c r="W3391" s="101"/>
    </row>
    <row r="3392" spans="1:23" x14ac:dyDescent="0.25">
      <c r="A3392" s="98"/>
      <c r="H3392" s="101"/>
      <c r="I3392" s="101"/>
      <c r="J3392" s="101"/>
      <c r="K3392" s="101"/>
      <c r="L3392" s="101"/>
      <c r="M3392" s="101"/>
      <c r="N3392" s="101"/>
      <c r="O3392" s="101"/>
      <c r="P3392" s="101"/>
      <c r="Q3392" s="101"/>
      <c r="R3392" s="101"/>
      <c r="S3392" s="110"/>
      <c r="T3392" s="102"/>
      <c r="U3392" s="101"/>
      <c r="V3392" s="103"/>
      <c r="W3392" s="101"/>
    </row>
    <row r="3393" spans="1:23" x14ac:dyDescent="0.25">
      <c r="A3393" s="98"/>
      <c r="H3393" s="101"/>
      <c r="I3393" s="101"/>
      <c r="J3393" s="101"/>
      <c r="K3393" s="101"/>
      <c r="L3393" s="101"/>
      <c r="M3393" s="101"/>
      <c r="N3393" s="101"/>
      <c r="O3393" s="101"/>
      <c r="P3393" s="101"/>
      <c r="Q3393" s="101"/>
      <c r="R3393" s="101"/>
      <c r="S3393" s="110"/>
      <c r="T3393" s="102"/>
      <c r="U3393" s="101"/>
      <c r="V3393" s="103"/>
      <c r="W3393" s="101"/>
    </row>
    <row r="3394" spans="1:23" x14ac:dyDescent="0.25">
      <c r="A3394" s="98"/>
      <c r="H3394" s="101"/>
      <c r="I3394" s="101"/>
      <c r="J3394" s="101"/>
      <c r="K3394" s="101"/>
      <c r="L3394" s="101"/>
      <c r="M3394" s="101"/>
      <c r="N3394" s="101"/>
      <c r="O3394" s="101"/>
      <c r="P3394" s="101"/>
      <c r="Q3394" s="101"/>
      <c r="R3394" s="101"/>
      <c r="S3394" s="110"/>
      <c r="T3394" s="102"/>
      <c r="U3394" s="101"/>
      <c r="V3394" s="103"/>
      <c r="W3394" s="101"/>
    </row>
    <row r="3395" spans="1:23" x14ac:dyDescent="0.25">
      <c r="A3395" s="98"/>
      <c r="H3395" s="101"/>
      <c r="I3395" s="101"/>
      <c r="J3395" s="101"/>
      <c r="K3395" s="101"/>
      <c r="L3395" s="101"/>
      <c r="M3395" s="101"/>
      <c r="N3395" s="101"/>
      <c r="O3395" s="101"/>
      <c r="P3395" s="101"/>
      <c r="Q3395" s="101"/>
      <c r="R3395" s="101"/>
      <c r="S3395" s="110"/>
      <c r="T3395" s="102"/>
      <c r="U3395" s="101"/>
      <c r="V3395" s="103"/>
      <c r="W3395" s="101"/>
    </row>
    <row r="3396" spans="1:23" x14ac:dyDescent="0.25">
      <c r="A3396" s="98"/>
      <c r="H3396" s="101"/>
      <c r="I3396" s="101"/>
      <c r="J3396" s="101"/>
      <c r="K3396" s="101"/>
      <c r="L3396" s="101"/>
      <c r="M3396" s="101"/>
      <c r="N3396" s="101"/>
      <c r="O3396" s="101"/>
      <c r="P3396" s="101"/>
      <c r="Q3396" s="101"/>
      <c r="R3396" s="101"/>
      <c r="S3396" s="110"/>
      <c r="T3396" s="102"/>
      <c r="U3396" s="101"/>
      <c r="V3396" s="103"/>
      <c r="W3396" s="101"/>
    </row>
    <row r="3397" spans="1:23" x14ac:dyDescent="0.25">
      <c r="A3397" s="98"/>
      <c r="H3397" s="101"/>
      <c r="I3397" s="101"/>
      <c r="J3397" s="101"/>
      <c r="K3397" s="101"/>
      <c r="L3397" s="101"/>
      <c r="M3397" s="101"/>
      <c r="N3397" s="101"/>
      <c r="O3397" s="101"/>
      <c r="P3397" s="101"/>
      <c r="Q3397" s="101"/>
      <c r="R3397" s="101"/>
      <c r="S3397" s="110"/>
      <c r="T3397" s="102"/>
      <c r="U3397" s="101"/>
      <c r="V3397" s="103"/>
      <c r="W3397" s="101"/>
    </row>
    <row r="3398" spans="1:23" x14ac:dyDescent="0.25">
      <c r="A3398" s="98"/>
      <c r="H3398" s="101"/>
      <c r="I3398" s="101"/>
      <c r="J3398" s="101"/>
      <c r="K3398" s="101"/>
      <c r="L3398" s="101"/>
      <c r="M3398" s="101"/>
      <c r="N3398" s="101"/>
      <c r="O3398" s="101"/>
      <c r="P3398" s="101"/>
      <c r="Q3398" s="101"/>
      <c r="R3398" s="101"/>
      <c r="S3398" s="110"/>
      <c r="T3398" s="102"/>
      <c r="U3398" s="101"/>
      <c r="V3398" s="103"/>
      <c r="W3398" s="101"/>
    </row>
    <row r="3399" spans="1:23" x14ac:dyDescent="0.25">
      <c r="A3399" s="98"/>
      <c r="H3399" s="101"/>
      <c r="I3399" s="101"/>
      <c r="J3399" s="101"/>
      <c r="K3399" s="101"/>
      <c r="L3399" s="101"/>
      <c r="M3399" s="101"/>
      <c r="N3399" s="101"/>
      <c r="O3399" s="101"/>
      <c r="P3399" s="101"/>
      <c r="Q3399" s="101"/>
      <c r="R3399" s="101"/>
      <c r="S3399" s="110"/>
      <c r="T3399" s="102"/>
      <c r="U3399" s="101"/>
      <c r="V3399" s="103"/>
      <c r="W3399" s="101"/>
    </row>
    <row r="3400" spans="1:23" x14ac:dyDescent="0.25">
      <c r="A3400" s="98"/>
      <c r="H3400" s="101"/>
      <c r="I3400" s="101"/>
      <c r="J3400" s="101"/>
      <c r="K3400" s="101"/>
      <c r="L3400" s="101"/>
      <c r="M3400" s="101"/>
      <c r="N3400" s="101"/>
      <c r="O3400" s="101"/>
      <c r="P3400" s="101"/>
      <c r="Q3400" s="101"/>
      <c r="R3400" s="101"/>
      <c r="S3400" s="110"/>
      <c r="T3400" s="102"/>
      <c r="U3400" s="101"/>
      <c r="V3400" s="103"/>
      <c r="W3400" s="101"/>
    </row>
    <row r="3401" spans="1:23" x14ac:dyDescent="0.25">
      <c r="A3401" s="98"/>
      <c r="H3401" s="101"/>
      <c r="I3401" s="101"/>
      <c r="J3401" s="101"/>
      <c r="K3401" s="101"/>
      <c r="L3401" s="101"/>
      <c r="M3401" s="101"/>
      <c r="N3401" s="101"/>
      <c r="O3401" s="101"/>
      <c r="P3401" s="101"/>
      <c r="Q3401" s="101"/>
      <c r="R3401" s="101"/>
      <c r="S3401" s="110"/>
      <c r="T3401" s="102"/>
      <c r="U3401" s="101"/>
      <c r="V3401" s="103"/>
      <c r="W3401" s="101"/>
    </row>
    <row r="3402" spans="1:23" x14ac:dyDescent="0.25">
      <c r="A3402" s="98"/>
      <c r="H3402" s="101"/>
      <c r="I3402" s="101"/>
      <c r="J3402" s="101"/>
      <c r="K3402" s="101"/>
      <c r="L3402" s="101"/>
      <c r="M3402" s="101"/>
      <c r="N3402" s="101"/>
      <c r="O3402" s="101"/>
      <c r="P3402" s="101"/>
      <c r="Q3402" s="101"/>
      <c r="R3402" s="101"/>
      <c r="S3402" s="110"/>
      <c r="T3402" s="102"/>
      <c r="U3402" s="101"/>
      <c r="V3402" s="103"/>
      <c r="W3402" s="101"/>
    </row>
    <row r="3403" spans="1:23" x14ac:dyDescent="0.25">
      <c r="A3403" s="98"/>
      <c r="H3403" s="101"/>
      <c r="I3403" s="101"/>
      <c r="J3403" s="101"/>
      <c r="K3403" s="101"/>
      <c r="L3403" s="101"/>
      <c r="M3403" s="101"/>
      <c r="N3403" s="101"/>
      <c r="O3403" s="101"/>
      <c r="P3403" s="101"/>
      <c r="Q3403" s="101"/>
      <c r="R3403" s="101"/>
      <c r="S3403" s="110"/>
      <c r="T3403" s="102"/>
      <c r="U3403" s="101"/>
      <c r="V3403" s="103"/>
      <c r="W3403" s="101"/>
    </row>
    <row r="3404" spans="1:23" x14ac:dyDescent="0.25">
      <c r="A3404" s="98"/>
      <c r="H3404" s="101"/>
      <c r="I3404" s="101"/>
      <c r="J3404" s="101"/>
      <c r="K3404" s="101"/>
      <c r="L3404" s="101"/>
      <c r="M3404" s="101"/>
      <c r="N3404" s="101"/>
      <c r="O3404" s="101"/>
      <c r="P3404" s="101"/>
      <c r="Q3404" s="101"/>
      <c r="R3404" s="101"/>
      <c r="S3404" s="110"/>
      <c r="T3404" s="102"/>
      <c r="U3404" s="101"/>
      <c r="V3404" s="103"/>
      <c r="W3404" s="101"/>
    </row>
    <row r="3405" spans="1:23" x14ac:dyDescent="0.25">
      <c r="A3405" s="98"/>
      <c r="H3405" s="101"/>
      <c r="I3405" s="101"/>
      <c r="J3405" s="101"/>
      <c r="K3405" s="101"/>
      <c r="L3405" s="101"/>
      <c r="M3405" s="101"/>
      <c r="N3405" s="101"/>
      <c r="O3405" s="101"/>
      <c r="P3405" s="101"/>
      <c r="Q3405" s="101"/>
      <c r="R3405" s="101"/>
      <c r="S3405" s="110"/>
      <c r="T3405" s="102"/>
      <c r="U3405" s="101"/>
      <c r="V3405" s="103"/>
      <c r="W3405" s="101"/>
    </row>
    <row r="3406" spans="1:23" x14ac:dyDescent="0.25">
      <c r="A3406" s="98"/>
      <c r="H3406" s="101"/>
      <c r="I3406" s="101"/>
      <c r="J3406" s="101"/>
      <c r="K3406" s="101"/>
      <c r="L3406" s="101"/>
      <c r="M3406" s="101"/>
      <c r="N3406" s="101"/>
      <c r="O3406" s="101"/>
      <c r="P3406" s="101"/>
      <c r="Q3406" s="101"/>
      <c r="R3406" s="101"/>
      <c r="S3406" s="110"/>
      <c r="T3406" s="102"/>
      <c r="U3406" s="101"/>
      <c r="V3406" s="103"/>
      <c r="W3406" s="101"/>
    </row>
    <row r="3407" spans="1:23" x14ac:dyDescent="0.25">
      <c r="A3407" s="98"/>
      <c r="H3407" s="101"/>
      <c r="I3407" s="101"/>
      <c r="J3407" s="101"/>
      <c r="K3407" s="101"/>
      <c r="L3407" s="101"/>
      <c r="M3407" s="101"/>
      <c r="N3407" s="101"/>
      <c r="O3407" s="101"/>
      <c r="P3407" s="101"/>
      <c r="Q3407" s="101"/>
      <c r="R3407" s="101"/>
      <c r="S3407" s="110"/>
      <c r="T3407" s="102"/>
      <c r="U3407" s="101"/>
      <c r="V3407" s="103"/>
      <c r="W3407" s="101"/>
    </row>
    <row r="3408" spans="1:23" x14ac:dyDescent="0.25">
      <c r="A3408" s="98"/>
      <c r="H3408" s="101"/>
      <c r="I3408" s="101"/>
      <c r="J3408" s="101"/>
      <c r="K3408" s="101"/>
      <c r="L3408" s="101"/>
      <c r="M3408" s="101"/>
      <c r="N3408" s="101"/>
      <c r="O3408" s="101"/>
      <c r="P3408" s="101"/>
      <c r="Q3408" s="101"/>
      <c r="R3408" s="101"/>
      <c r="S3408" s="110"/>
      <c r="T3408" s="102"/>
      <c r="U3408" s="101"/>
      <c r="V3408" s="103"/>
      <c r="W3408" s="101"/>
    </row>
    <row r="3409" spans="1:23" x14ac:dyDescent="0.25">
      <c r="A3409" s="98"/>
      <c r="H3409" s="101"/>
      <c r="I3409" s="101"/>
      <c r="J3409" s="101"/>
      <c r="K3409" s="101"/>
      <c r="L3409" s="101"/>
      <c r="M3409" s="101"/>
      <c r="N3409" s="101"/>
      <c r="O3409" s="101"/>
      <c r="P3409" s="101"/>
      <c r="Q3409" s="101"/>
      <c r="R3409" s="101"/>
      <c r="S3409" s="110"/>
      <c r="T3409" s="102"/>
      <c r="U3409" s="101"/>
      <c r="V3409" s="103"/>
      <c r="W3409" s="101"/>
    </row>
    <row r="3410" spans="1:23" x14ac:dyDescent="0.25">
      <c r="A3410" s="98"/>
      <c r="H3410" s="101"/>
      <c r="I3410" s="101"/>
      <c r="J3410" s="101"/>
      <c r="K3410" s="101"/>
      <c r="L3410" s="101"/>
      <c r="M3410" s="101"/>
      <c r="N3410" s="101"/>
      <c r="O3410" s="101"/>
      <c r="P3410" s="101"/>
      <c r="Q3410" s="101"/>
      <c r="R3410" s="101"/>
      <c r="S3410" s="110"/>
      <c r="T3410" s="102"/>
      <c r="U3410" s="101"/>
      <c r="V3410" s="103"/>
      <c r="W3410" s="101"/>
    </row>
    <row r="3411" spans="1:23" x14ac:dyDescent="0.25">
      <c r="A3411" s="98"/>
      <c r="H3411" s="101"/>
      <c r="I3411" s="101"/>
      <c r="J3411" s="101"/>
      <c r="K3411" s="101"/>
      <c r="L3411" s="101"/>
      <c r="M3411" s="101"/>
      <c r="N3411" s="101"/>
      <c r="O3411" s="101"/>
      <c r="P3411" s="101"/>
      <c r="Q3411" s="101"/>
      <c r="R3411" s="101"/>
      <c r="S3411" s="110"/>
      <c r="T3411" s="102"/>
      <c r="U3411" s="101"/>
      <c r="V3411" s="103"/>
      <c r="W3411" s="101"/>
    </row>
    <row r="3412" spans="1:23" x14ac:dyDescent="0.25">
      <c r="A3412" s="98"/>
      <c r="H3412" s="101"/>
      <c r="I3412" s="101"/>
      <c r="J3412" s="101"/>
      <c r="K3412" s="101"/>
      <c r="L3412" s="101"/>
      <c r="M3412" s="101"/>
      <c r="N3412" s="101"/>
      <c r="O3412" s="101"/>
      <c r="P3412" s="101"/>
      <c r="Q3412" s="101"/>
      <c r="R3412" s="101"/>
      <c r="S3412" s="110"/>
      <c r="T3412" s="102"/>
      <c r="U3412" s="101"/>
      <c r="V3412" s="103"/>
      <c r="W3412" s="101"/>
    </row>
    <row r="3413" spans="1:23" x14ac:dyDescent="0.25">
      <c r="A3413" s="98"/>
      <c r="H3413" s="101"/>
      <c r="I3413" s="101"/>
      <c r="J3413" s="101"/>
      <c r="K3413" s="101"/>
      <c r="L3413" s="101"/>
      <c r="M3413" s="101"/>
      <c r="N3413" s="101"/>
      <c r="O3413" s="101"/>
      <c r="P3413" s="101"/>
      <c r="Q3413" s="101"/>
      <c r="R3413" s="101"/>
      <c r="S3413" s="110"/>
      <c r="T3413" s="102"/>
      <c r="U3413" s="101"/>
      <c r="V3413" s="103"/>
      <c r="W3413" s="101"/>
    </row>
    <row r="3414" spans="1:23" x14ac:dyDescent="0.25">
      <c r="A3414" s="98"/>
      <c r="H3414" s="101"/>
      <c r="I3414" s="101"/>
      <c r="J3414" s="101"/>
      <c r="K3414" s="101"/>
      <c r="L3414" s="101"/>
      <c r="M3414" s="101"/>
      <c r="N3414" s="101"/>
      <c r="O3414" s="101"/>
      <c r="P3414" s="101"/>
      <c r="Q3414" s="101"/>
      <c r="R3414" s="101"/>
      <c r="S3414" s="110"/>
      <c r="T3414" s="102"/>
      <c r="U3414" s="101"/>
      <c r="V3414" s="103"/>
      <c r="W3414" s="101"/>
    </row>
    <row r="3415" spans="1:23" x14ac:dyDescent="0.25">
      <c r="A3415" s="98"/>
      <c r="H3415" s="101"/>
      <c r="I3415" s="101"/>
      <c r="J3415" s="101"/>
      <c r="K3415" s="101"/>
      <c r="L3415" s="101"/>
      <c r="M3415" s="101"/>
      <c r="N3415" s="101"/>
      <c r="O3415" s="101"/>
      <c r="P3415" s="101"/>
      <c r="Q3415" s="101"/>
      <c r="R3415" s="101"/>
      <c r="S3415" s="110"/>
      <c r="T3415" s="102"/>
      <c r="U3415" s="101"/>
      <c r="V3415" s="103"/>
      <c r="W3415" s="101"/>
    </row>
    <row r="3416" spans="1:23" x14ac:dyDescent="0.25">
      <c r="A3416" s="98"/>
      <c r="H3416" s="101"/>
      <c r="I3416" s="101"/>
      <c r="J3416" s="101"/>
      <c r="K3416" s="101"/>
      <c r="L3416" s="101"/>
      <c r="M3416" s="101"/>
      <c r="N3416" s="101"/>
      <c r="O3416" s="101"/>
      <c r="P3416" s="101"/>
      <c r="Q3416" s="101"/>
      <c r="R3416" s="101"/>
      <c r="S3416" s="110"/>
      <c r="T3416" s="102"/>
      <c r="U3416" s="101"/>
      <c r="V3416" s="103"/>
      <c r="W3416" s="101"/>
    </row>
    <row r="3417" spans="1:23" x14ac:dyDescent="0.25">
      <c r="A3417" s="98"/>
      <c r="H3417" s="101"/>
      <c r="I3417" s="101"/>
      <c r="J3417" s="101"/>
      <c r="K3417" s="101"/>
      <c r="L3417" s="101"/>
      <c r="M3417" s="101"/>
      <c r="N3417" s="101"/>
      <c r="O3417" s="101"/>
      <c r="P3417" s="101"/>
      <c r="Q3417" s="101"/>
      <c r="R3417" s="101"/>
      <c r="S3417" s="110"/>
      <c r="T3417" s="102"/>
      <c r="U3417" s="101"/>
      <c r="V3417" s="103"/>
      <c r="W3417" s="101"/>
    </row>
    <row r="3418" spans="1:23" x14ac:dyDescent="0.25">
      <c r="A3418" s="98"/>
      <c r="H3418" s="101"/>
      <c r="I3418" s="101"/>
      <c r="J3418" s="101"/>
      <c r="K3418" s="101"/>
      <c r="L3418" s="101"/>
      <c r="M3418" s="101"/>
      <c r="N3418" s="101"/>
      <c r="O3418" s="101"/>
      <c r="P3418" s="101"/>
      <c r="Q3418" s="101"/>
      <c r="R3418" s="101"/>
      <c r="S3418" s="110"/>
      <c r="T3418" s="102"/>
      <c r="U3418" s="101"/>
      <c r="V3418" s="103"/>
      <c r="W3418" s="101"/>
    </row>
    <row r="3419" spans="1:23" x14ac:dyDescent="0.25">
      <c r="A3419" s="98"/>
      <c r="H3419" s="101"/>
      <c r="I3419" s="101"/>
      <c r="J3419" s="101"/>
      <c r="K3419" s="101"/>
      <c r="L3419" s="101"/>
      <c r="M3419" s="101"/>
      <c r="N3419" s="101"/>
      <c r="O3419" s="101"/>
      <c r="P3419" s="101"/>
      <c r="Q3419" s="101"/>
      <c r="R3419" s="101"/>
      <c r="S3419" s="110"/>
      <c r="T3419" s="102"/>
      <c r="U3419" s="101"/>
      <c r="V3419" s="103"/>
      <c r="W3419" s="101"/>
    </row>
    <row r="3420" spans="1:23" x14ac:dyDescent="0.25">
      <c r="A3420" s="98"/>
      <c r="H3420" s="101"/>
      <c r="I3420" s="101"/>
      <c r="J3420" s="101"/>
      <c r="K3420" s="101"/>
      <c r="L3420" s="101"/>
      <c r="M3420" s="101"/>
      <c r="N3420" s="101"/>
      <c r="O3420" s="101"/>
      <c r="P3420" s="101"/>
      <c r="Q3420" s="101"/>
      <c r="R3420" s="101"/>
      <c r="S3420" s="110"/>
      <c r="T3420" s="102"/>
      <c r="U3420" s="101"/>
      <c r="V3420" s="103"/>
      <c r="W3420" s="101"/>
    </row>
    <row r="3421" spans="1:23" x14ac:dyDescent="0.25">
      <c r="A3421" s="98"/>
      <c r="H3421" s="101"/>
      <c r="I3421" s="101"/>
      <c r="J3421" s="101"/>
      <c r="K3421" s="101"/>
      <c r="L3421" s="101"/>
      <c r="M3421" s="101"/>
      <c r="N3421" s="101"/>
      <c r="O3421" s="101"/>
      <c r="P3421" s="101"/>
      <c r="Q3421" s="101"/>
      <c r="R3421" s="101"/>
      <c r="S3421" s="110"/>
      <c r="T3421" s="102"/>
      <c r="U3421" s="101"/>
      <c r="V3421" s="103"/>
      <c r="W3421" s="101"/>
    </row>
    <row r="3422" spans="1:23" x14ac:dyDescent="0.25">
      <c r="A3422" s="98"/>
      <c r="H3422" s="101"/>
      <c r="I3422" s="101"/>
      <c r="J3422" s="101"/>
      <c r="K3422" s="101"/>
      <c r="L3422" s="101"/>
      <c r="M3422" s="101"/>
      <c r="N3422" s="101"/>
      <c r="O3422" s="101"/>
      <c r="P3422" s="101"/>
      <c r="Q3422" s="101"/>
      <c r="R3422" s="101"/>
      <c r="S3422" s="110"/>
      <c r="T3422" s="102"/>
      <c r="U3422" s="101"/>
      <c r="V3422" s="103"/>
      <c r="W3422" s="101"/>
    </row>
    <row r="3423" spans="1:23" x14ac:dyDescent="0.25">
      <c r="A3423" s="98"/>
      <c r="H3423" s="101"/>
      <c r="I3423" s="101"/>
      <c r="J3423" s="101"/>
      <c r="K3423" s="101"/>
      <c r="L3423" s="101"/>
      <c r="M3423" s="101"/>
      <c r="N3423" s="101"/>
      <c r="O3423" s="101"/>
      <c r="P3423" s="101"/>
      <c r="Q3423" s="101"/>
      <c r="R3423" s="101"/>
      <c r="S3423" s="110"/>
      <c r="T3423" s="102"/>
      <c r="U3423" s="101"/>
      <c r="V3423" s="103"/>
      <c r="W3423" s="101"/>
    </row>
    <row r="3424" spans="1:23" x14ac:dyDescent="0.25">
      <c r="A3424" s="98"/>
      <c r="H3424" s="101"/>
      <c r="I3424" s="101"/>
      <c r="J3424" s="101"/>
      <c r="K3424" s="101"/>
      <c r="L3424" s="101"/>
      <c r="M3424" s="101"/>
      <c r="N3424" s="101"/>
      <c r="O3424" s="101"/>
      <c r="P3424" s="101"/>
      <c r="Q3424" s="101"/>
      <c r="R3424" s="101"/>
      <c r="S3424" s="110"/>
      <c r="T3424" s="102"/>
      <c r="U3424" s="101"/>
      <c r="V3424" s="103"/>
      <c r="W3424" s="101"/>
    </row>
    <row r="3425" spans="1:23" x14ac:dyDescent="0.25">
      <c r="A3425" s="98"/>
      <c r="H3425" s="101"/>
      <c r="I3425" s="101"/>
      <c r="J3425" s="101"/>
      <c r="K3425" s="101"/>
      <c r="L3425" s="101"/>
      <c r="M3425" s="101"/>
      <c r="N3425" s="101"/>
      <c r="O3425" s="101"/>
      <c r="P3425" s="101"/>
      <c r="Q3425" s="101"/>
      <c r="R3425" s="101"/>
      <c r="S3425" s="110"/>
      <c r="T3425" s="102"/>
      <c r="U3425" s="101"/>
      <c r="V3425" s="103"/>
      <c r="W3425" s="101"/>
    </row>
    <row r="3426" spans="1:23" x14ac:dyDescent="0.25">
      <c r="A3426" s="98"/>
      <c r="H3426" s="101"/>
      <c r="I3426" s="101"/>
      <c r="J3426" s="101"/>
      <c r="K3426" s="101"/>
      <c r="L3426" s="101"/>
      <c r="M3426" s="101"/>
      <c r="N3426" s="101"/>
      <c r="O3426" s="101"/>
      <c r="P3426" s="101"/>
      <c r="Q3426" s="101"/>
      <c r="R3426" s="101"/>
      <c r="S3426" s="110"/>
      <c r="T3426" s="102"/>
      <c r="U3426" s="101"/>
      <c r="V3426" s="103"/>
      <c r="W3426" s="101"/>
    </row>
    <row r="3427" spans="1:23" x14ac:dyDescent="0.25">
      <c r="A3427" s="98"/>
      <c r="H3427" s="101"/>
      <c r="I3427" s="101"/>
      <c r="J3427" s="101"/>
      <c r="K3427" s="101"/>
      <c r="L3427" s="101"/>
      <c r="M3427" s="101"/>
      <c r="N3427" s="101"/>
      <c r="O3427" s="101"/>
      <c r="P3427" s="101"/>
      <c r="Q3427" s="101"/>
      <c r="R3427" s="101"/>
      <c r="S3427" s="110"/>
      <c r="T3427" s="102"/>
      <c r="U3427" s="101"/>
      <c r="V3427" s="103"/>
      <c r="W3427" s="101"/>
    </row>
    <row r="3428" spans="1:23" x14ac:dyDescent="0.25">
      <c r="A3428" s="98"/>
      <c r="H3428" s="101"/>
      <c r="I3428" s="101"/>
      <c r="J3428" s="101"/>
      <c r="K3428" s="101"/>
      <c r="L3428" s="101"/>
      <c r="M3428" s="101"/>
      <c r="N3428" s="101"/>
      <c r="O3428" s="101"/>
      <c r="P3428" s="101"/>
      <c r="Q3428" s="101"/>
      <c r="R3428" s="101"/>
      <c r="S3428" s="110"/>
      <c r="T3428" s="102"/>
      <c r="U3428" s="101"/>
      <c r="V3428" s="103"/>
      <c r="W3428" s="101"/>
    </row>
    <row r="3429" spans="1:23" x14ac:dyDescent="0.25">
      <c r="A3429" s="98"/>
      <c r="H3429" s="101"/>
      <c r="I3429" s="101"/>
      <c r="J3429" s="101"/>
      <c r="K3429" s="101"/>
      <c r="L3429" s="101"/>
      <c r="M3429" s="101"/>
      <c r="N3429" s="101"/>
      <c r="O3429" s="101"/>
      <c r="P3429" s="101"/>
      <c r="Q3429" s="101"/>
      <c r="R3429" s="101"/>
      <c r="S3429" s="110"/>
      <c r="T3429" s="102"/>
      <c r="U3429" s="101"/>
      <c r="V3429" s="103"/>
      <c r="W3429" s="101"/>
    </row>
    <row r="3430" spans="1:23" x14ac:dyDescent="0.25">
      <c r="A3430" s="98"/>
      <c r="H3430" s="101"/>
      <c r="I3430" s="101"/>
      <c r="J3430" s="101"/>
      <c r="K3430" s="101"/>
      <c r="L3430" s="101"/>
      <c r="M3430" s="101"/>
      <c r="N3430" s="101"/>
      <c r="O3430" s="101"/>
      <c r="P3430" s="101"/>
      <c r="Q3430" s="101"/>
      <c r="R3430" s="101"/>
      <c r="S3430" s="110"/>
      <c r="T3430" s="102"/>
      <c r="U3430" s="101"/>
      <c r="V3430" s="103"/>
      <c r="W3430" s="101"/>
    </row>
    <row r="3431" spans="1:23" x14ac:dyDescent="0.25">
      <c r="A3431" s="98"/>
      <c r="H3431" s="101"/>
      <c r="I3431" s="101"/>
      <c r="J3431" s="101"/>
      <c r="K3431" s="101"/>
      <c r="L3431" s="101"/>
      <c r="M3431" s="101"/>
      <c r="N3431" s="101"/>
      <c r="O3431" s="101"/>
      <c r="P3431" s="101"/>
      <c r="Q3431" s="101"/>
      <c r="R3431" s="101"/>
      <c r="S3431" s="110"/>
      <c r="T3431" s="102"/>
      <c r="U3431" s="101"/>
      <c r="V3431" s="103"/>
      <c r="W3431" s="101"/>
    </row>
    <row r="3432" spans="1:23" x14ac:dyDescent="0.25">
      <c r="A3432" s="98"/>
      <c r="H3432" s="101"/>
      <c r="I3432" s="101"/>
      <c r="J3432" s="101"/>
      <c r="K3432" s="101"/>
      <c r="L3432" s="101"/>
      <c r="M3432" s="101"/>
      <c r="N3432" s="101"/>
      <c r="O3432" s="101"/>
      <c r="P3432" s="101"/>
      <c r="Q3432" s="101"/>
      <c r="R3432" s="101"/>
      <c r="S3432" s="110"/>
      <c r="T3432" s="102"/>
      <c r="U3432" s="101"/>
      <c r="V3432" s="103"/>
      <c r="W3432" s="101"/>
    </row>
    <row r="3433" spans="1:23" x14ac:dyDescent="0.25">
      <c r="A3433" s="98"/>
      <c r="H3433" s="101"/>
      <c r="I3433" s="101"/>
      <c r="J3433" s="101"/>
      <c r="K3433" s="101"/>
      <c r="L3433" s="101"/>
      <c r="M3433" s="101"/>
      <c r="N3433" s="101"/>
      <c r="O3433" s="101"/>
      <c r="P3433" s="101"/>
      <c r="Q3433" s="101"/>
      <c r="R3433" s="101"/>
      <c r="S3433" s="110"/>
      <c r="T3433" s="102"/>
      <c r="U3433" s="101"/>
      <c r="V3433" s="103"/>
      <c r="W3433" s="101"/>
    </row>
    <row r="3434" spans="1:23" x14ac:dyDescent="0.25">
      <c r="A3434" s="98"/>
      <c r="H3434" s="101"/>
      <c r="I3434" s="101"/>
      <c r="J3434" s="101"/>
      <c r="K3434" s="101"/>
      <c r="L3434" s="101"/>
      <c r="M3434" s="101"/>
      <c r="N3434" s="101"/>
      <c r="O3434" s="101"/>
      <c r="P3434" s="101"/>
      <c r="Q3434" s="101"/>
      <c r="R3434" s="101"/>
      <c r="S3434" s="110"/>
      <c r="T3434" s="102"/>
      <c r="U3434" s="101"/>
      <c r="V3434" s="103"/>
      <c r="W3434" s="101"/>
    </row>
    <row r="3435" spans="1:23" x14ac:dyDescent="0.25">
      <c r="A3435" s="98"/>
      <c r="H3435" s="101"/>
      <c r="I3435" s="101"/>
      <c r="J3435" s="101"/>
      <c r="K3435" s="101"/>
      <c r="L3435" s="101"/>
      <c r="M3435" s="101"/>
      <c r="N3435" s="101"/>
      <c r="O3435" s="101"/>
      <c r="P3435" s="101"/>
      <c r="Q3435" s="101"/>
      <c r="R3435" s="101"/>
      <c r="S3435" s="110"/>
      <c r="T3435" s="102"/>
      <c r="U3435" s="101"/>
      <c r="V3435" s="103"/>
      <c r="W3435" s="101"/>
    </row>
    <row r="3436" spans="1:23" x14ac:dyDescent="0.25">
      <c r="A3436" s="98"/>
      <c r="H3436" s="101"/>
      <c r="I3436" s="101"/>
      <c r="J3436" s="101"/>
      <c r="K3436" s="101"/>
      <c r="L3436" s="101"/>
      <c r="M3436" s="101"/>
      <c r="N3436" s="101"/>
      <c r="O3436" s="101"/>
      <c r="P3436" s="101"/>
      <c r="Q3436" s="101"/>
      <c r="R3436" s="101"/>
      <c r="S3436" s="110"/>
      <c r="T3436" s="102"/>
      <c r="U3436" s="101"/>
      <c r="V3436" s="103"/>
      <c r="W3436" s="101"/>
    </row>
    <row r="3437" spans="1:23" x14ac:dyDescent="0.25">
      <c r="A3437" s="98"/>
      <c r="H3437" s="101"/>
      <c r="I3437" s="101"/>
      <c r="J3437" s="101"/>
      <c r="K3437" s="101"/>
      <c r="L3437" s="101"/>
      <c r="M3437" s="101"/>
      <c r="N3437" s="101"/>
      <c r="O3437" s="101"/>
      <c r="P3437" s="101"/>
      <c r="Q3437" s="101"/>
      <c r="R3437" s="101"/>
      <c r="S3437" s="110"/>
      <c r="T3437" s="102"/>
      <c r="U3437" s="101"/>
      <c r="V3437" s="103"/>
      <c r="W3437" s="101"/>
    </row>
    <row r="3438" spans="1:23" x14ac:dyDescent="0.25">
      <c r="A3438" s="98"/>
      <c r="H3438" s="101"/>
      <c r="I3438" s="101"/>
      <c r="J3438" s="101"/>
      <c r="K3438" s="101"/>
      <c r="L3438" s="101"/>
      <c r="M3438" s="101"/>
      <c r="N3438" s="101"/>
      <c r="O3438" s="101"/>
      <c r="P3438" s="101"/>
      <c r="Q3438" s="101"/>
      <c r="R3438" s="101"/>
      <c r="S3438" s="110"/>
      <c r="T3438" s="102"/>
      <c r="U3438" s="101"/>
      <c r="V3438" s="103"/>
      <c r="W3438" s="101"/>
    </row>
    <row r="3439" spans="1:23" x14ac:dyDescent="0.25">
      <c r="A3439" s="98"/>
      <c r="H3439" s="101"/>
      <c r="I3439" s="101"/>
      <c r="J3439" s="101"/>
      <c r="K3439" s="101"/>
      <c r="L3439" s="101"/>
      <c r="M3439" s="101"/>
      <c r="N3439" s="101"/>
      <c r="O3439" s="101"/>
      <c r="P3439" s="101"/>
      <c r="Q3439" s="101"/>
      <c r="R3439" s="101"/>
      <c r="S3439" s="110"/>
      <c r="T3439" s="102"/>
      <c r="U3439" s="101"/>
      <c r="V3439" s="103"/>
      <c r="W3439" s="101"/>
    </row>
    <row r="3440" spans="1:23" x14ac:dyDescent="0.25">
      <c r="A3440" s="98"/>
      <c r="H3440" s="101"/>
      <c r="I3440" s="101"/>
      <c r="J3440" s="101"/>
      <c r="K3440" s="101"/>
      <c r="L3440" s="101"/>
      <c r="M3440" s="101"/>
      <c r="N3440" s="101"/>
      <c r="O3440" s="101"/>
      <c r="P3440" s="101"/>
      <c r="Q3440" s="101"/>
      <c r="R3440" s="101"/>
      <c r="S3440" s="110"/>
      <c r="T3440" s="102"/>
      <c r="U3440" s="101"/>
      <c r="V3440" s="103"/>
      <c r="W3440" s="101"/>
    </row>
    <row r="3441" spans="1:23" x14ac:dyDescent="0.25">
      <c r="A3441" s="98"/>
      <c r="H3441" s="101"/>
      <c r="I3441" s="101"/>
      <c r="J3441" s="101"/>
      <c r="K3441" s="101"/>
      <c r="L3441" s="101"/>
      <c r="M3441" s="101"/>
      <c r="N3441" s="101"/>
      <c r="O3441" s="101"/>
      <c r="P3441" s="101"/>
      <c r="Q3441" s="101"/>
      <c r="R3441" s="101"/>
      <c r="S3441" s="110"/>
      <c r="T3441" s="102"/>
      <c r="U3441" s="101"/>
      <c r="V3441" s="103"/>
      <c r="W3441" s="101"/>
    </row>
    <row r="3442" spans="1:23" x14ac:dyDescent="0.25">
      <c r="A3442" s="98"/>
      <c r="H3442" s="101"/>
      <c r="I3442" s="101"/>
      <c r="J3442" s="101"/>
      <c r="K3442" s="101"/>
      <c r="L3442" s="101"/>
      <c r="M3442" s="101"/>
      <c r="N3442" s="101"/>
      <c r="O3442" s="101"/>
      <c r="P3442" s="101"/>
      <c r="Q3442" s="101"/>
      <c r="R3442" s="101"/>
      <c r="S3442" s="110"/>
      <c r="T3442" s="102"/>
      <c r="U3442" s="101"/>
      <c r="V3442" s="103"/>
      <c r="W3442" s="101"/>
    </row>
    <row r="3443" spans="1:23" x14ac:dyDescent="0.25">
      <c r="A3443" s="98"/>
      <c r="H3443" s="101"/>
      <c r="I3443" s="101"/>
      <c r="J3443" s="101"/>
      <c r="K3443" s="101"/>
      <c r="L3443" s="101"/>
      <c r="M3443" s="101"/>
      <c r="N3443" s="101"/>
      <c r="O3443" s="101"/>
      <c r="P3443" s="101"/>
      <c r="Q3443" s="101"/>
      <c r="R3443" s="101"/>
      <c r="S3443" s="110"/>
      <c r="T3443" s="102"/>
      <c r="U3443" s="101"/>
      <c r="V3443" s="103"/>
      <c r="W3443" s="101"/>
    </row>
    <row r="3444" spans="1:23" x14ac:dyDescent="0.25">
      <c r="A3444" s="98"/>
      <c r="H3444" s="101"/>
      <c r="I3444" s="101"/>
      <c r="J3444" s="101"/>
      <c r="K3444" s="101"/>
      <c r="L3444" s="101"/>
      <c r="M3444" s="101"/>
      <c r="N3444" s="101"/>
      <c r="O3444" s="101"/>
      <c r="P3444" s="101"/>
      <c r="Q3444" s="101"/>
      <c r="R3444" s="101"/>
      <c r="S3444" s="110"/>
      <c r="T3444" s="102"/>
      <c r="U3444" s="101"/>
      <c r="V3444" s="103"/>
      <c r="W3444" s="101"/>
    </row>
    <row r="3445" spans="1:23" x14ac:dyDescent="0.25">
      <c r="A3445" s="98"/>
      <c r="H3445" s="101"/>
      <c r="I3445" s="101"/>
      <c r="J3445" s="101"/>
      <c r="K3445" s="101"/>
      <c r="L3445" s="101"/>
      <c r="M3445" s="101"/>
      <c r="N3445" s="101"/>
      <c r="O3445" s="101"/>
      <c r="P3445" s="101"/>
      <c r="Q3445" s="101"/>
      <c r="R3445" s="101"/>
      <c r="S3445" s="110"/>
      <c r="T3445" s="102"/>
      <c r="U3445" s="101"/>
      <c r="V3445" s="103"/>
      <c r="W3445" s="101"/>
    </row>
    <row r="3446" spans="1:23" x14ac:dyDescent="0.25">
      <c r="A3446" s="98"/>
      <c r="H3446" s="101"/>
      <c r="I3446" s="101"/>
      <c r="J3446" s="101"/>
      <c r="K3446" s="101"/>
      <c r="L3446" s="101"/>
      <c r="M3446" s="101"/>
      <c r="N3446" s="101"/>
      <c r="O3446" s="101"/>
      <c r="P3446" s="101"/>
      <c r="Q3446" s="101"/>
      <c r="R3446" s="101"/>
      <c r="S3446" s="110"/>
      <c r="T3446" s="102"/>
      <c r="U3446" s="101"/>
      <c r="V3446" s="103"/>
      <c r="W3446" s="101"/>
    </row>
    <row r="3447" spans="1:23" x14ac:dyDescent="0.25">
      <c r="A3447" s="98"/>
      <c r="H3447" s="101"/>
      <c r="I3447" s="101"/>
      <c r="J3447" s="101"/>
      <c r="K3447" s="101"/>
      <c r="L3447" s="101"/>
      <c r="M3447" s="101"/>
      <c r="N3447" s="101"/>
      <c r="O3447" s="101"/>
      <c r="P3447" s="101"/>
      <c r="Q3447" s="101"/>
      <c r="R3447" s="101"/>
      <c r="S3447" s="110"/>
      <c r="T3447" s="102"/>
      <c r="U3447" s="101"/>
      <c r="V3447" s="103"/>
      <c r="W3447" s="101"/>
    </row>
    <row r="3448" spans="1:23" x14ac:dyDescent="0.25">
      <c r="A3448" s="98"/>
      <c r="H3448" s="101"/>
      <c r="I3448" s="101"/>
      <c r="J3448" s="101"/>
      <c r="K3448" s="101"/>
      <c r="L3448" s="101"/>
      <c r="M3448" s="101"/>
      <c r="N3448" s="101"/>
      <c r="O3448" s="101"/>
      <c r="P3448" s="101"/>
      <c r="Q3448" s="101"/>
      <c r="R3448" s="101"/>
      <c r="S3448" s="110"/>
      <c r="T3448" s="102"/>
      <c r="U3448" s="101"/>
      <c r="V3448" s="103"/>
      <c r="W3448" s="101"/>
    </row>
    <row r="3449" spans="1:23" x14ac:dyDescent="0.25">
      <c r="A3449" s="98"/>
      <c r="H3449" s="101"/>
      <c r="I3449" s="101"/>
      <c r="J3449" s="101"/>
      <c r="K3449" s="101"/>
      <c r="L3449" s="101"/>
      <c r="M3449" s="101"/>
      <c r="N3449" s="101"/>
      <c r="O3449" s="101"/>
      <c r="P3449" s="101"/>
      <c r="Q3449" s="101"/>
      <c r="R3449" s="101"/>
      <c r="S3449" s="110"/>
      <c r="T3449" s="102"/>
      <c r="U3449" s="101"/>
      <c r="V3449" s="103"/>
      <c r="W3449" s="101"/>
    </row>
    <row r="3450" spans="1:23" x14ac:dyDescent="0.25">
      <c r="A3450" s="98"/>
      <c r="H3450" s="101"/>
      <c r="I3450" s="101"/>
      <c r="J3450" s="101"/>
      <c r="K3450" s="101"/>
      <c r="L3450" s="101"/>
      <c r="M3450" s="101"/>
      <c r="N3450" s="101"/>
      <c r="O3450" s="101"/>
      <c r="P3450" s="101"/>
      <c r="Q3450" s="101"/>
      <c r="R3450" s="101"/>
      <c r="S3450" s="110"/>
      <c r="T3450" s="102"/>
      <c r="U3450" s="101"/>
      <c r="V3450" s="103"/>
      <c r="W3450" s="101"/>
    </row>
    <row r="3451" spans="1:23" x14ac:dyDescent="0.25">
      <c r="A3451" s="98"/>
      <c r="H3451" s="101"/>
      <c r="I3451" s="101"/>
      <c r="J3451" s="101"/>
      <c r="K3451" s="101"/>
      <c r="L3451" s="101"/>
      <c r="M3451" s="101"/>
      <c r="N3451" s="101"/>
      <c r="O3451" s="101"/>
      <c r="P3451" s="101"/>
      <c r="Q3451" s="101"/>
      <c r="R3451" s="101"/>
      <c r="S3451" s="110"/>
      <c r="T3451" s="102"/>
      <c r="U3451" s="101"/>
      <c r="V3451" s="103"/>
      <c r="W3451" s="101"/>
    </row>
    <row r="3452" spans="1:23" x14ac:dyDescent="0.25">
      <c r="A3452" s="98"/>
      <c r="H3452" s="101"/>
      <c r="I3452" s="101"/>
      <c r="J3452" s="101"/>
      <c r="K3452" s="101"/>
      <c r="L3452" s="101"/>
      <c r="M3452" s="101"/>
      <c r="N3452" s="101"/>
      <c r="O3452" s="101"/>
      <c r="P3452" s="101"/>
      <c r="Q3452" s="101"/>
      <c r="R3452" s="101"/>
      <c r="S3452" s="110"/>
      <c r="T3452" s="102"/>
      <c r="U3452" s="101"/>
      <c r="V3452" s="103"/>
      <c r="W3452" s="101"/>
    </row>
    <row r="3453" spans="1:23" x14ac:dyDescent="0.25">
      <c r="A3453" s="98"/>
      <c r="H3453" s="101"/>
      <c r="I3453" s="101"/>
      <c r="J3453" s="101"/>
      <c r="K3453" s="101"/>
      <c r="L3453" s="101"/>
      <c r="M3453" s="101"/>
      <c r="N3453" s="101"/>
      <c r="O3453" s="101"/>
      <c r="P3453" s="101"/>
      <c r="Q3453" s="101"/>
      <c r="R3453" s="101"/>
      <c r="S3453" s="110"/>
      <c r="T3453" s="102"/>
      <c r="U3453" s="101"/>
      <c r="V3453" s="103"/>
      <c r="W3453" s="101"/>
    </row>
    <row r="3454" spans="1:23" x14ac:dyDescent="0.25">
      <c r="A3454" s="98"/>
      <c r="H3454" s="101"/>
      <c r="I3454" s="101"/>
      <c r="J3454" s="101"/>
      <c r="K3454" s="101"/>
      <c r="L3454" s="101"/>
      <c r="M3454" s="101"/>
      <c r="N3454" s="101"/>
      <c r="O3454" s="101"/>
      <c r="P3454" s="101"/>
      <c r="Q3454" s="101"/>
      <c r="R3454" s="101"/>
      <c r="S3454" s="110"/>
      <c r="T3454" s="102"/>
      <c r="U3454" s="101"/>
      <c r="V3454" s="103"/>
      <c r="W3454" s="101"/>
    </row>
    <row r="3455" spans="1:23" x14ac:dyDescent="0.25">
      <c r="A3455" s="98"/>
      <c r="H3455" s="101"/>
      <c r="I3455" s="101"/>
      <c r="J3455" s="101"/>
      <c r="K3455" s="101"/>
      <c r="L3455" s="101"/>
      <c r="M3455" s="101"/>
      <c r="N3455" s="101"/>
      <c r="O3455" s="101"/>
      <c r="P3455" s="101"/>
      <c r="Q3455" s="101"/>
      <c r="R3455" s="101"/>
      <c r="S3455" s="110"/>
      <c r="T3455" s="102"/>
      <c r="U3455" s="101"/>
      <c r="V3455" s="103"/>
      <c r="W3455" s="101"/>
    </row>
    <row r="3456" spans="1:23" x14ac:dyDescent="0.25">
      <c r="A3456" s="98"/>
      <c r="H3456" s="101"/>
      <c r="I3456" s="101"/>
      <c r="J3456" s="101"/>
      <c r="K3456" s="101"/>
      <c r="L3456" s="101"/>
      <c r="M3456" s="101"/>
      <c r="N3456" s="101"/>
      <c r="O3456" s="101"/>
      <c r="P3456" s="101"/>
      <c r="Q3456" s="101"/>
      <c r="R3456" s="101"/>
      <c r="S3456" s="110"/>
      <c r="T3456" s="102"/>
      <c r="U3456" s="101"/>
      <c r="V3456" s="103"/>
      <c r="W3456" s="101"/>
    </row>
    <row r="3457" spans="1:23" x14ac:dyDescent="0.25">
      <c r="A3457" s="98"/>
      <c r="H3457" s="101"/>
      <c r="I3457" s="101"/>
      <c r="J3457" s="101"/>
      <c r="K3457" s="101"/>
      <c r="L3457" s="101"/>
      <c r="M3457" s="101"/>
      <c r="N3457" s="101"/>
      <c r="O3457" s="101"/>
      <c r="P3457" s="101"/>
      <c r="Q3457" s="101"/>
      <c r="R3457" s="101"/>
      <c r="S3457" s="110"/>
      <c r="T3457" s="102"/>
      <c r="U3457" s="101"/>
      <c r="V3457" s="103"/>
      <c r="W3457" s="101"/>
    </row>
    <row r="3458" spans="1:23" x14ac:dyDescent="0.25">
      <c r="A3458" s="98"/>
      <c r="H3458" s="101"/>
      <c r="I3458" s="101"/>
      <c r="J3458" s="101"/>
      <c r="K3458" s="101"/>
      <c r="L3458" s="101"/>
      <c r="M3458" s="101"/>
      <c r="N3458" s="101"/>
      <c r="O3458" s="101"/>
      <c r="P3458" s="101"/>
      <c r="Q3458" s="101"/>
      <c r="R3458" s="101"/>
      <c r="S3458" s="110"/>
      <c r="T3458" s="102"/>
      <c r="U3458" s="101"/>
      <c r="V3458" s="103"/>
      <c r="W3458" s="101"/>
    </row>
    <row r="3459" spans="1:23" x14ac:dyDescent="0.25">
      <c r="A3459" s="98"/>
      <c r="H3459" s="101"/>
      <c r="I3459" s="101"/>
      <c r="J3459" s="101"/>
      <c r="K3459" s="101"/>
      <c r="L3459" s="101"/>
      <c r="M3459" s="101"/>
      <c r="N3459" s="101"/>
      <c r="O3459" s="101"/>
      <c r="P3459" s="101"/>
      <c r="Q3459" s="101"/>
      <c r="R3459" s="101"/>
      <c r="S3459" s="110"/>
      <c r="T3459" s="102"/>
      <c r="U3459" s="101"/>
      <c r="V3459" s="103"/>
      <c r="W3459" s="101"/>
    </row>
    <row r="3460" spans="1:23" x14ac:dyDescent="0.25">
      <c r="A3460" s="98"/>
      <c r="H3460" s="101"/>
      <c r="I3460" s="101"/>
      <c r="J3460" s="101"/>
      <c r="K3460" s="101"/>
      <c r="L3460" s="101"/>
      <c r="M3460" s="101"/>
      <c r="N3460" s="101"/>
      <c r="O3460" s="101"/>
      <c r="P3460" s="101"/>
      <c r="Q3460" s="101"/>
      <c r="R3460" s="101"/>
      <c r="S3460" s="110"/>
      <c r="T3460" s="102"/>
      <c r="U3460" s="101"/>
      <c r="V3460" s="103"/>
      <c r="W3460" s="101"/>
    </row>
    <row r="3461" spans="1:23" x14ac:dyDescent="0.25">
      <c r="A3461" s="98"/>
      <c r="H3461" s="101"/>
      <c r="I3461" s="101"/>
      <c r="J3461" s="101"/>
      <c r="K3461" s="101"/>
      <c r="L3461" s="101"/>
      <c r="M3461" s="101"/>
      <c r="N3461" s="101"/>
      <c r="O3461" s="101"/>
      <c r="P3461" s="101"/>
      <c r="Q3461" s="101"/>
      <c r="R3461" s="101"/>
      <c r="S3461" s="110"/>
      <c r="T3461" s="102"/>
      <c r="U3461" s="101"/>
      <c r="V3461" s="103"/>
      <c r="W3461" s="101"/>
    </row>
    <row r="3462" spans="1:23" x14ac:dyDescent="0.25">
      <c r="A3462" s="98"/>
      <c r="H3462" s="101"/>
      <c r="I3462" s="101"/>
      <c r="J3462" s="101"/>
      <c r="K3462" s="101"/>
      <c r="L3462" s="101"/>
      <c r="M3462" s="101"/>
      <c r="N3462" s="101"/>
      <c r="O3462" s="101"/>
      <c r="P3462" s="101"/>
      <c r="Q3462" s="101"/>
      <c r="R3462" s="101"/>
      <c r="S3462" s="110"/>
      <c r="T3462" s="102"/>
      <c r="U3462" s="101"/>
      <c r="V3462" s="103"/>
      <c r="W3462" s="101"/>
    </row>
    <row r="3463" spans="1:23" x14ac:dyDescent="0.25">
      <c r="A3463" s="98"/>
      <c r="H3463" s="101"/>
      <c r="I3463" s="101"/>
      <c r="J3463" s="101"/>
      <c r="K3463" s="101"/>
      <c r="L3463" s="101"/>
      <c r="M3463" s="101"/>
      <c r="N3463" s="101"/>
      <c r="O3463" s="101"/>
      <c r="P3463" s="101"/>
      <c r="Q3463" s="101"/>
      <c r="R3463" s="101"/>
      <c r="S3463" s="110"/>
      <c r="T3463" s="102"/>
      <c r="U3463" s="101"/>
      <c r="V3463" s="103"/>
      <c r="W3463" s="101"/>
    </row>
    <row r="3464" spans="1:23" x14ac:dyDescent="0.25">
      <c r="A3464" s="98"/>
      <c r="H3464" s="101"/>
      <c r="I3464" s="101"/>
      <c r="J3464" s="101"/>
      <c r="K3464" s="101"/>
      <c r="L3464" s="101"/>
      <c r="M3464" s="101"/>
      <c r="N3464" s="101"/>
      <c r="O3464" s="101"/>
      <c r="P3464" s="101"/>
      <c r="Q3464" s="101"/>
      <c r="R3464" s="101"/>
      <c r="S3464" s="110"/>
      <c r="T3464" s="102"/>
      <c r="U3464" s="101"/>
      <c r="V3464" s="103"/>
      <c r="W3464" s="101"/>
    </row>
    <row r="3465" spans="1:23" x14ac:dyDescent="0.25">
      <c r="A3465" s="98"/>
      <c r="H3465" s="101"/>
      <c r="I3465" s="101"/>
      <c r="J3465" s="101"/>
      <c r="K3465" s="101"/>
      <c r="L3465" s="101"/>
      <c r="M3465" s="101"/>
      <c r="N3465" s="101"/>
      <c r="O3465" s="101"/>
      <c r="P3465" s="101"/>
      <c r="Q3465" s="101"/>
      <c r="R3465" s="101"/>
      <c r="S3465" s="110"/>
      <c r="T3465" s="102"/>
      <c r="U3465" s="101"/>
      <c r="V3465" s="103"/>
      <c r="W3465" s="101"/>
    </row>
    <row r="3466" spans="1:23" x14ac:dyDescent="0.25">
      <c r="A3466" s="98"/>
      <c r="H3466" s="101"/>
      <c r="I3466" s="101"/>
      <c r="J3466" s="101"/>
      <c r="K3466" s="101"/>
      <c r="L3466" s="101"/>
      <c r="M3466" s="101"/>
      <c r="N3466" s="101"/>
      <c r="O3466" s="101"/>
      <c r="P3466" s="101"/>
      <c r="Q3466" s="101"/>
      <c r="R3466" s="101"/>
      <c r="S3466" s="110"/>
      <c r="T3466" s="102"/>
      <c r="U3466" s="101"/>
      <c r="V3466" s="103"/>
      <c r="W3466" s="101"/>
    </row>
    <row r="3467" spans="1:23" x14ac:dyDescent="0.25">
      <c r="A3467" s="98"/>
      <c r="H3467" s="101"/>
      <c r="I3467" s="101"/>
      <c r="J3467" s="101"/>
      <c r="K3467" s="101"/>
      <c r="L3467" s="101"/>
      <c r="M3467" s="101"/>
      <c r="N3467" s="101"/>
      <c r="O3467" s="101"/>
      <c r="P3467" s="101"/>
      <c r="Q3467" s="101"/>
      <c r="R3467" s="101"/>
      <c r="S3467" s="110"/>
      <c r="T3467" s="102"/>
      <c r="U3467" s="101"/>
      <c r="V3467" s="103"/>
      <c r="W3467" s="101"/>
    </row>
    <row r="3468" spans="1:23" x14ac:dyDescent="0.25">
      <c r="A3468" s="98"/>
      <c r="H3468" s="101"/>
      <c r="I3468" s="101"/>
      <c r="J3468" s="101"/>
      <c r="K3468" s="101"/>
      <c r="L3468" s="101"/>
      <c r="M3468" s="101"/>
      <c r="N3468" s="101"/>
      <c r="O3468" s="101"/>
      <c r="P3468" s="101"/>
      <c r="Q3468" s="101"/>
      <c r="R3468" s="101"/>
      <c r="S3468" s="110"/>
      <c r="T3468" s="102"/>
      <c r="U3468" s="101"/>
      <c r="V3468" s="103"/>
      <c r="W3468" s="101"/>
    </row>
    <row r="3469" spans="1:23" x14ac:dyDescent="0.25">
      <c r="A3469" s="98"/>
      <c r="H3469" s="101"/>
      <c r="I3469" s="101"/>
      <c r="J3469" s="101"/>
      <c r="K3469" s="101"/>
      <c r="L3469" s="101"/>
      <c r="M3469" s="101"/>
      <c r="N3469" s="101"/>
      <c r="O3469" s="101"/>
      <c r="P3469" s="101"/>
      <c r="Q3469" s="101"/>
      <c r="R3469" s="101"/>
      <c r="S3469" s="110"/>
      <c r="T3469" s="102"/>
      <c r="U3469" s="101"/>
      <c r="V3469" s="103"/>
      <c r="W3469" s="101"/>
    </row>
    <row r="3470" spans="1:23" x14ac:dyDescent="0.25">
      <c r="A3470" s="98"/>
      <c r="H3470" s="101"/>
      <c r="I3470" s="101"/>
      <c r="J3470" s="101"/>
      <c r="K3470" s="101"/>
      <c r="L3470" s="101"/>
      <c r="M3470" s="101"/>
      <c r="N3470" s="101"/>
      <c r="O3470" s="101"/>
      <c r="P3470" s="101"/>
      <c r="Q3470" s="101"/>
      <c r="R3470" s="101"/>
      <c r="S3470" s="110"/>
      <c r="T3470" s="102"/>
      <c r="U3470" s="101"/>
      <c r="V3470" s="103"/>
      <c r="W3470" s="101"/>
    </row>
    <row r="3471" spans="1:23" x14ac:dyDescent="0.25">
      <c r="A3471" s="98"/>
      <c r="H3471" s="101"/>
      <c r="I3471" s="101"/>
      <c r="J3471" s="101"/>
      <c r="K3471" s="101"/>
      <c r="L3471" s="101"/>
      <c r="M3471" s="101"/>
      <c r="N3471" s="101"/>
      <c r="O3471" s="101"/>
      <c r="P3471" s="101"/>
      <c r="Q3471" s="101"/>
      <c r="R3471" s="101"/>
      <c r="S3471" s="110"/>
      <c r="T3471" s="102"/>
      <c r="U3471" s="101"/>
      <c r="V3471" s="103"/>
      <c r="W3471" s="101"/>
    </row>
    <row r="3472" spans="1:23" x14ac:dyDescent="0.25">
      <c r="A3472" s="98"/>
      <c r="H3472" s="101"/>
      <c r="I3472" s="101"/>
      <c r="J3472" s="101"/>
      <c r="K3472" s="101"/>
      <c r="L3472" s="101"/>
      <c r="M3472" s="101"/>
      <c r="N3472" s="101"/>
      <c r="O3472" s="101"/>
      <c r="P3472" s="101"/>
      <c r="Q3472" s="101"/>
      <c r="R3472" s="101"/>
      <c r="S3472" s="110"/>
      <c r="T3472" s="102"/>
      <c r="U3472" s="101"/>
      <c r="V3472" s="103"/>
      <c r="W3472" s="101"/>
    </row>
    <row r="3473" spans="1:23" x14ac:dyDescent="0.25">
      <c r="A3473" s="98"/>
      <c r="H3473" s="101"/>
      <c r="I3473" s="101"/>
      <c r="J3473" s="101"/>
      <c r="K3473" s="101"/>
      <c r="L3473" s="101"/>
      <c r="M3473" s="101"/>
      <c r="N3473" s="101"/>
      <c r="O3473" s="101"/>
      <c r="P3473" s="101"/>
      <c r="Q3473" s="101"/>
      <c r="R3473" s="101"/>
      <c r="S3473" s="110"/>
      <c r="T3473" s="102"/>
      <c r="U3473" s="101"/>
      <c r="V3473" s="103"/>
      <c r="W3473" s="101"/>
    </row>
    <row r="3474" spans="1:23" x14ac:dyDescent="0.25">
      <c r="A3474" s="98"/>
      <c r="H3474" s="101"/>
      <c r="I3474" s="101"/>
      <c r="J3474" s="101"/>
      <c r="K3474" s="101"/>
      <c r="L3474" s="101"/>
      <c r="M3474" s="101"/>
      <c r="N3474" s="101"/>
      <c r="O3474" s="101"/>
      <c r="P3474" s="101"/>
      <c r="Q3474" s="101"/>
      <c r="R3474" s="101"/>
      <c r="S3474" s="110"/>
      <c r="T3474" s="102"/>
      <c r="U3474" s="101"/>
      <c r="V3474" s="103"/>
      <c r="W3474" s="101"/>
    </row>
    <row r="3475" spans="1:23" x14ac:dyDescent="0.25">
      <c r="A3475" s="98"/>
      <c r="H3475" s="101"/>
      <c r="I3475" s="101"/>
      <c r="J3475" s="101"/>
      <c r="K3475" s="101"/>
      <c r="L3475" s="101"/>
      <c r="M3475" s="101"/>
      <c r="N3475" s="101"/>
      <c r="O3475" s="101"/>
      <c r="P3475" s="101"/>
      <c r="Q3475" s="101"/>
      <c r="R3475" s="101"/>
      <c r="S3475" s="110"/>
      <c r="T3475" s="102"/>
      <c r="U3475" s="101"/>
      <c r="V3475" s="103"/>
      <c r="W3475" s="101"/>
    </row>
    <row r="3476" spans="1:23" x14ac:dyDescent="0.25">
      <c r="A3476" s="98"/>
      <c r="H3476" s="101"/>
      <c r="I3476" s="101"/>
      <c r="J3476" s="101"/>
      <c r="K3476" s="101"/>
      <c r="L3476" s="101"/>
      <c r="M3476" s="101"/>
      <c r="N3476" s="101"/>
      <c r="O3476" s="101"/>
      <c r="P3476" s="101"/>
      <c r="Q3476" s="101"/>
      <c r="R3476" s="101"/>
      <c r="S3476" s="110"/>
      <c r="T3476" s="102"/>
      <c r="U3476" s="101"/>
      <c r="V3476" s="103"/>
      <c r="W3476" s="101"/>
    </row>
    <row r="3477" spans="1:23" x14ac:dyDescent="0.25">
      <c r="A3477" s="98"/>
      <c r="H3477" s="101"/>
      <c r="I3477" s="101"/>
      <c r="J3477" s="101"/>
      <c r="K3477" s="101"/>
      <c r="L3477" s="101"/>
      <c r="M3477" s="101"/>
      <c r="N3477" s="101"/>
      <c r="O3477" s="101"/>
      <c r="P3477" s="101"/>
      <c r="Q3477" s="101"/>
      <c r="R3477" s="101"/>
      <c r="S3477" s="110"/>
      <c r="T3477" s="102"/>
      <c r="U3477" s="101"/>
      <c r="V3477" s="103"/>
      <c r="W3477" s="101"/>
    </row>
    <row r="3478" spans="1:23" x14ac:dyDescent="0.25">
      <c r="A3478" s="98"/>
      <c r="H3478" s="101"/>
      <c r="I3478" s="101"/>
      <c r="J3478" s="101"/>
      <c r="K3478" s="101"/>
      <c r="L3478" s="101"/>
      <c r="M3478" s="101"/>
      <c r="N3478" s="101"/>
      <c r="O3478" s="101"/>
      <c r="P3478" s="101"/>
      <c r="Q3478" s="101"/>
      <c r="R3478" s="101"/>
      <c r="S3478" s="110"/>
      <c r="T3478" s="102"/>
      <c r="U3478" s="101"/>
      <c r="V3478" s="103"/>
      <c r="W3478" s="101"/>
    </row>
    <row r="3479" spans="1:23" x14ac:dyDescent="0.25">
      <c r="A3479" s="98"/>
      <c r="H3479" s="101"/>
      <c r="I3479" s="101"/>
      <c r="J3479" s="101"/>
      <c r="K3479" s="101"/>
      <c r="L3479" s="101"/>
      <c r="M3479" s="101"/>
      <c r="N3479" s="101"/>
      <c r="O3479" s="101"/>
      <c r="P3479" s="101"/>
      <c r="Q3479" s="101"/>
      <c r="R3479" s="101"/>
      <c r="S3479" s="110"/>
      <c r="T3479" s="102"/>
      <c r="U3479" s="101"/>
      <c r="V3479" s="103"/>
      <c r="W3479" s="101"/>
    </row>
    <row r="3480" spans="1:23" x14ac:dyDescent="0.25">
      <c r="A3480" s="98"/>
      <c r="H3480" s="101"/>
      <c r="I3480" s="101"/>
      <c r="J3480" s="101"/>
      <c r="K3480" s="101"/>
      <c r="L3480" s="101"/>
      <c r="M3480" s="101"/>
      <c r="N3480" s="101"/>
      <c r="O3480" s="101"/>
      <c r="P3480" s="101"/>
      <c r="Q3480" s="101"/>
      <c r="R3480" s="101"/>
      <c r="S3480" s="110"/>
      <c r="T3480" s="102"/>
      <c r="U3480" s="101"/>
      <c r="V3480" s="103"/>
      <c r="W3480" s="101"/>
    </row>
    <row r="3481" spans="1:23" x14ac:dyDescent="0.25">
      <c r="A3481" s="98"/>
      <c r="H3481" s="101"/>
      <c r="I3481" s="101"/>
      <c r="J3481" s="101"/>
      <c r="K3481" s="101"/>
      <c r="L3481" s="101"/>
      <c r="M3481" s="101"/>
      <c r="N3481" s="101"/>
      <c r="O3481" s="101"/>
      <c r="P3481" s="101"/>
      <c r="Q3481" s="101"/>
      <c r="R3481" s="101"/>
      <c r="S3481" s="110"/>
      <c r="T3481" s="102"/>
      <c r="U3481" s="101"/>
      <c r="V3481" s="103"/>
      <c r="W3481" s="101"/>
    </row>
    <row r="3482" spans="1:23" x14ac:dyDescent="0.25">
      <c r="A3482" s="98"/>
      <c r="H3482" s="101"/>
      <c r="I3482" s="101"/>
      <c r="J3482" s="101"/>
      <c r="K3482" s="101"/>
      <c r="L3482" s="101"/>
      <c r="M3482" s="101"/>
      <c r="N3482" s="101"/>
      <c r="O3482" s="101"/>
      <c r="P3482" s="101"/>
      <c r="Q3482" s="101"/>
      <c r="R3482" s="101"/>
      <c r="S3482" s="110"/>
      <c r="T3482" s="102"/>
      <c r="U3482" s="101"/>
      <c r="V3482" s="103"/>
      <c r="W3482" s="101"/>
    </row>
    <row r="3483" spans="1:23" x14ac:dyDescent="0.25">
      <c r="A3483" s="98"/>
      <c r="H3483" s="101"/>
      <c r="I3483" s="101"/>
      <c r="J3483" s="101"/>
      <c r="K3483" s="101"/>
      <c r="L3483" s="101"/>
      <c r="M3483" s="101"/>
      <c r="N3483" s="101"/>
      <c r="O3483" s="101"/>
      <c r="P3483" s="101"/>
      <c r="Q3483" s="101"/>
      <c r="R3483" s="101"/>
      <c r="S3483" s="110"/>
      <c r="T3483" s="102"/>
      <c r="U3483" s="101"/>
      <c r="V3483" s="103"/>
      <c r="W3483" s="101"/>
    </row>
    <row r="3484" spans="1:23" x14ac:dyDescent="0.25">
      <c r="A3484" s="98"/>
      <c r="H3484" s="101"/>
      <c r="I3484" s="101"/>
      <c r="J3484" s="101"/>
      <c r="K3484" s="101"/>
      <c r="L3484" s="101"/>
      <c r="M3484" s="101"/>
      <c r="N3484" s="101"/>
      <c r="O3484" s="101"/>
      <c r="P3484" s="101"/>
      <c r="Q3484" s="101"/>
      <c r="R3484" s="101"/>
      <c r="S3484" s="110"/>
      <c r="T3484" s="102"/>
      <c r="U3484" s="101"/>
      <c r="V3484" s="103"/>
      <c r="W3484" s="101"/>
    </row>
    <row r="3485" spans="1:23" x14ac:dyDescent="0.25">
      <c r="A3485" s="98"/>
      <c r="H3485" s="101"/>
      <c r="I3485" s="101"/>
      <c r="J3485" s="101"/>
      <c r="K3485" s="101"/>
      <c r="L3485" s="101"/>
      <c r="M3485" s="101"/>
      <c r="N3485" s="101"/>
      <c r="O3485" s="101"/>
      <c r="P3485" s="101"/>
      <c r="Q3485" s="101"/>
      <c r="R3485" s="101"/>
      <c r="S3485" s="110"/>
      <c r="T3485" s="102"/>
      <c r="U3485" s="101"/>
      <c r="V3485" s="103"/>
      <c r="W3485" s="101"/>
    </row>
    <row r="3486" spans="1:23" x14ac:dyDescent="0.25">
      <c r="A3486" s="98"/>
      <c r="H3486" s="101"/>
      <c r="I3486" s="101"/>
      <c r="J3486" s="101"/>
      <c r="K3486" s="101"/>
      <c r="L3486" s="101"/>
      <c r="M3486" s="101"/>
      <c r="N3486" s="101"/>
      <c r="O3486" s="101"/>
      <c r="P3486" s="101"/>
      <c r="Q3486" s="101"/>
      <c r="R3486" s="101"/>
      <c r="S3486" s="110"/>
      <c r="T3486" s="102"/>
      <c r="U3486" s="101"/>
      <c r="V3486" s="103"/>
      <c r="W3486" s="101"/>
    </row>
    <row r="3487" spans="1:23" x14ac:dyDescent="0.25">
      <c r="A3487" s="98"/>
      <c r="H3487" s="101"/>
      <c r="I3487" s="101"/>
      <c r="J3487" s="101"/>
      <c r="K3487" s="101"/>
      <c r="L3487" s="101"/>
      <c r="M3487" s="101"/>
      <c r="N3487" s="101"/>
      <c r="O3487" s="101"/>
      <c r="P3487" s="101"/>
      <c r="Q3487" s="101"/>
      <c r="R3487" s="101"/>
      <c r="S3487" s="110"/>
      <c r="T3487" s="102"/>
      <c r="U3487" s="101"/>
      <c r="V3487" s="103"/>
      <c r="W3487" s="101"/>
    </row>
    <row r="3488" spans="1:23" x14ac:dyDescent="0.25">
      <c r="A3488" s="98"/>
      <c r="H3488" s="101"/>
      <c r="I3488" s="101"/>
      <c r="J3488" s="101"/>
      <c r="K3488" s="101"/>
      <c r="L3488" s="101"/>
      <c r="M3488" s="101"/>
      <c r="N3488" s="101"/>
      <c r="O3488" s="101"/>
      <c r="P3488" s="101"/>
      <c r="Q3488" s="101"/>
      <c r="R3488" s="101"/>
      <c r="S3488" s="110"/>
      <c r="T3488" s="102"/>
      <c r="U3488" s="101"/>
      <c r="V3488" s="103"/>
      <c r="W3488" s="101"/>
    </row>
    <row r="3489" spans="1:23" x14ac:dyDescent="0.25">
      <c r="A3489" s="98"/>
      <c r="H3489" s="101"/>
      <c r="I3489" s="101"/>
      <c r="J3489" s="101"/>
      <c r="K3489" s="101"/>
      <c r="L3489" s="101"/>
      <c r="M3489" s="101"/>
      <c r="N3489" s="101"/>
      <c r="O3489" s="101"/>
      <c r="P3489" s="101"/>
      <c r="Q3489" s="101"/>
      <c r="R3489" s="101"/>
      <c r="S3489" s="110"/>
      <c r="T3489" s="102"/>
      <c r="U3489" s="101"/>
      <c r="V3489" s="103"/>
      <c r="W3489" s="101"/>
    </row>
    <row r="3490" spans="1:23" x14ac:dyDescent="0.25">
      <c r="A3490" s="98"/>
      <c r="H3490" s="101"/>
      <c r="I3490" s="101"/>
      <c r="J3490" s="101"/>
      <c r="K3490" s="101"/>
      <c r="L3490" s="101"/>
      <c r="M3490" s="101"/>
      <c r="N3490" s="101"/>
      <c r="O3490" s="101"/>
      <c r="P3490" s="101"/>
      <c r="Q3490" s="101"/>
      <c r="R3490" s="101"/>
      <c r="S3490" s="110"/>
      <c r="T3490" s="102"/>
      <c r="U3490" s="101"/>
      <c r="V3490" s="103"/>
      <c r="W3490" s="101"/>
    </row>
    <row r="3491" spans="1:23" x14ac:dyDescent="0.25">
      <c r="A3491" s="98"/>
      <c r="H3491" s="101"/>
      <c r="I3491" s="101"/>
      <c r="J3491" s="101"/>
      <c r="K3491" s="101"/>
      <c r="L3491" s="101"/>
      <c r="M3491" s="101"/>
      <c r="N3491" s="101"/>
      <c r="O3491" s="101"/>
      <c r="P3491" s="101"/>
      <c r="Q3491" s="101"/>
      <c r="R3491" s="101"/>
      <c r="S3491" s="110"/>
      <c r="T3491" s="102"/>
      <c r="U3491" s="101"/>
      <c r="V3491" s="103"/>
      <c r="W3491" s="101"/>
    </row>
    <row r="3492" spans="1:23" x14ac:dyDescent="0.25">
      <c r="A3492" s="98"/>
      <c r="H3492" s="101"/>
      <c r="I3492" s="101"/>
      <c r="J3492" s="101"/>
      <c r="K3492" s="101"/>
      <c r="L3492" s="101"/>
      <c r="M3492" s="101"/>
      <c r="N3492" s="101"/>
      <c r="O3492" s="101"/>
      <c r="P3492" s="101"/>
      <c r="Q3492" s="101"/>
      <c r="R3492" s="101"/>
      <c r="S3492" s="110"/>
      <c r="T3492" s="102"/>
      <c r="U3492" s="101"/>
      <c r="V3492" s="103"/>
      <c r="W3492" s="101"/>
    </row>
    <row r="3493" spans="1:23" x14ac:dyDescent="0.25">
      <c r="A3493" s="98"/>
      <c r="H3493" s="101"/>
      <c r="I3493" s="101"/>
      <c r="J3493" s="101"/>
      <c r="K3493" s="101"/>
      <c r="L3493" s="101"/>
      <c r="M3493" s="101"/>
      <c r="N3493" s="101"/>
      <c r="O3493" s="101"/>
      <c r="P3493" s="101"/>
      <c r="Q3493" s="101"/>
      <c r="R3493" s="101"/>
      <c r="S3493" s="110"/>
      <c r="T3493" s="102"/>
      <c r="U3493" s="101"/>
      <c r="V3493" s="103"/>
      <c r="W3493" s="101"/>
    </row>
    <row r="3494" spans="1:23" x14ac:dyDescent="0.25">
      <c r="A3494" s="98"/>
      <c r="H3494" s="101"/>
      <c r="I3494" s="101"/>
      <c r="J3494" s="101"/>
      <c r="K3494" s="101"/>
      <c r="L3494" s="101"/>
      <c r="M3494" s="101"/>
      <c r="N3494" s="101"/>
      <c r="O3494" s="101"/>
      <c r="P3494" s="101"/>
      <c r="Q3494" s="101"/>
      <c r="R3494" s="101"/>
      <c r="S3494" s="110"/>
      <c r="T3494" s="102"/>
      <c r="U3494" s="101"/>
      <c r="V3494" s="103"/>
      <c r="W3494" s="101"/>
    </row>
    <row r="3495" spans="1:23" x14ac:dyDescent="0.25">
      <c r="A3495" s="98"/>
      <c r="H3495" s="101"/>
      <c r="I3495" s="101"/>
      <c r="J3495" s="101"/>
      <c r="K3495" s="101"/>
      <c r="L3495" s="101"/>
      <c r="M3495" s="101"/>
      <c r="N3495" s="101"/>
      <c r="O3495" s="101"/>
      <c r="P3495" s="101"/>
      <c r="Q3495" s="101"/>
      <c r="R3495" s="101"/>
      <c r="S3495" s="110"/>
      <c r="T3495" s="102"/>
      <c r="U3495" s="101"/>
      <c r="V3495" s="103"/>
      <c r="W3495" s="101"/>
    </row>
    <row r="3496" spans="1:23" x14ac:dyDescent="0.25">
      <c r="A3496" s="98"/>
      <c r="H3496" s="101"/>
      <c r="I3496" s="101"/>
      <c r="J3496" s="101"/>
      <c r="K3496" s="101"/>
      <c r="L3496" s="101"/>
      <c r="M3496" s="101"/>
      <c r="N3496" s="101"/>
      <c r="O3496" s="101"/>
      <c r="P3496" s="101"/>
      <c r="Q3496" s="101"/>
      <c r="R3496" s="101"/>
      <c r="S3496" s="110"/>
      <c r="T3496" s="102"/>
      <c r="U3496" s="101"/>
      <c r="V3496" s="103"/>
      <c r="W3496" s="101"/>
    </row>
    <row r="3497" spans="1:23" x14ac:dyDescent="0.25">
      <c r="A3497" s="98"/>
      <c r="H3497" s="101"/>
      <c r="I3497" s="101"/>
      <c r="J3497" s="101"/>
      <c r="K3497" s="101"/>
      <c r="L3497" s="101"/>
      <c r="M3497" s="101"/>
      <c r="N3497" s="101"/>
      <c r="O3497" s="101"/>
      <c r="P3497" s="101"/>
      <c r="Q3497" s="101"/>
      <c r="R3497" s="101"/>
      <c r="S3497" s="110"/>
      <c r="T3497" s="102"/>
      <c r="U3497" s="101"/>
      <c r="V3497" s="103"/>
      <c r="W3497" s="101"/>
    </row>
    <row r="3498" spans="1:23" x14ac:dyDescent="0.25">
      <c r="A3498" s="98"/>
      <c r="H3498" s="101"/>
      <c r="I3498" s="101"/>
      <c r="J3498" s="101"/>
      <c r="K3498" s="101"/>
      <c r="L3498" s="101"/>
      <c r="M3498" s="101"/>
      <c r="N3498" s="101"/>
      <c r="O3498" s="101"/>
      <c r="P3498" s="101"/>
      <c r="Q3498" s="101"/>
      <c r="R3498" s="101"/>
      <c r="S3498" s="110"/>
      <c r="T3498" s="102"/>
      <c r="U3498" s="101"/>
      <c r="V3498" s="103"/>
      <c r="W3498" s="101"/>
    </row>
    <row r="3499" spans="1:23" x14ac:dyDescent="0.25">
      <c r="A3499" s="98"/>
      <c r="H3499" s="101"/>
      <c r="I3499" s="101"/>
      <c r="J3499" s="101"/>
      <c r="K3499" s="101"/>
      <c r="L3499" s="101"/>
      <c r="M3499" s="101"/>
      <c r="N3499" s="101"/>
      <c r="O3499" s="101"/>
      <c r="P3499" s="101"/>
      <c r="Q3499" s="101"/>
      <c r="R3499" s="101"/>
      <c r="S3499" s="110"/>
      <c r="T3499" s="102"/>
      <c r="U3499" s="101"/>
      <c r="V3499" s="103"/>
      <c r="W3499" s="101"/>
    </row>
    <row r="3500" spans="1:23" x14ac:dyDescent="0.25">
      <c r="A3500" s="98"/>
      <c r="H3500" s="101"/>
      <c r="I3500" s="101"/>
      <c r="J3500" s="101"/>
      <c r="K3500" s="101"/>
      <c r="L3500" s="101"/>
      <c r="M3500" s="101"/>
      <c r="N3500" s="101"/>
      <c r="O3500" s="101"/>
      <c r="P3500" s="101"/>
      <c r="Q3500" s="101"/>
      <c r="R3500" s="101"/>
      <c r="S3500" s="110"/>
      <c r="T3500" s="102"/>
      <c r="U3500" s="101"/>
      <c r="V3500" s="103"/>
      <c r="W3500" s="101"/>
    </row>
  </sheetData>
  <autoFilter ref="A9:Y258"/>
  <sortState ref="A8:W241">
    <sortCondition ref="B8:B241"/>
  </sortState>
  <customSheetViews>
    <customSheetView guid="{1762FAF3-23CF-40D2-BD75-20B953FDC76D}" scale="70" showAutoFilter="1" hiddenColumns="1">
      <pane xSplit="3" ySplit="8" topLeftCell="E9" activePane="bottomRight" state="frozen"/>
      <selection pane="bottomRight" activeCell="Q10" sqref="Q10"/>
      <pageMargins left="0.7" right="0.7" top="0.75" bottom="0.75" header="0.3" footer="0.3"/>
      <pageSetup paperSize="9" orientation="portrait" r:id="rId1"/>
      <autoFilter ref="A8:W237"/>
    </customSheetView>
  </customSheetViews>
  <mergeCells count="1">
    <mergeCell ref="M8:O8"/>
  </mergeCells>
  <conditionalFormatting sqref="S1:S8">
    <cfRule type="cellIs" dxfId="127" priority="402" operator="lessThan">
      <formula>0</formula>
    </cfRule>
  </conditionalFormatting>
  <conditionalFormatting sqref="S1:S8">
    <cfRule type="cellIs" dxfId="126" priority="398" operator="lessThan">
      <formula>0</formula>
    </cfRule>
    <cfRule type="cellIs" dxfId="125" priority="399" operator="lessThan">
      <formula>0</formula>
    </cfRule>
    <cfRule type="cellIs" dxfId="124" priority="401" operator="lessThan">
      <formula>0</formula>
    </cfRule>
  </conditionalFormatting>
  <conditionalFormatting sqref="S1:S8">
    <cfRule type="cellIs" dxfId="123" priority="397" operator="lessThan">
      <formula>0</formula>
    </cfRule>
  </conditionalFormatting>
  <conditionalFormatting sqref="S1:S8">
    <cfRule type="cellIs" dxfId="122" priority="395" operator="lessThan">
      <formula>0</formula>
    </cfRule>
  </conditionalFormatting>
  <conditionalFormatting sqref="S1:S8">
    <cfRule type="cellIs" dxfId="121" priority="394" operator="lessThan">
      <formula>0</formula>
    </cfRule>
  </conditionalFormatting>
  <conditionalFormatting sqref="S1:S8">
    <cfRule type="cellIs" dxfId="120" priority="393" operator="lessThan">
      <formula>0</formula>
    </cfRule>
  </conditionalFormatting>
  <conditionalFormatting sqref="S1:S8">
    <cfRule type="cellIs" dxfId="119" priority="392" operator="lessThan">
      <formula>0</formula>
    </cfRule>
  </conditionalFormatting>
  <conditionalFormatting sqref="S1:S8">
    <cfRule type="cellIs" dxfId="118" priority="391" operator="lessThan">
      <formula>0</formula>
    </cfRule>
  </conditionalFormatting>
  <conditionalFormatting sqref="S1:S8">
    <cfRule type="cellIs" dxfId="117" priority="390" operator="lessThan">
      <formula>0</formula>
    </cfRule>
  </conditionalFormatting>
  <conditionalFormatting sqref="S1:S8">
    <cfRule type="cellIs" dxfId="116" priority="389" operator="lessThan">
      <formula>0</formula>
    </cfRule>
  </conditionalFormatting>
  <conditionalFormatting sqref="S1:S8">
    <cfRule type="cellIs" dxfId="115" priority="388" operator="lessThan">
      <formula>0</formula>
    </cfRule>
  </conditionalFormatting>
  <conditionalFormatting sqref="S1:S8">
    <cfRule type="cellIs" dxfId="114" priority="387" operator="lessThan">
      <formula>0</formula>
    </cfRule>
  </conditionalFormatting>
  <conditionalFormatting sqref="S1:S8">
    <cfRule type="cellIs" dxfId="113" priority="386" operator="lessThan">
      <formula>0</formula>
    </cfRule>
  </conditionalFormatting>
  <conditionalFormatting sqref="S1:S8">
    <cfRule type="cellIs" dxfId="112" priority="385" operator="lessThan">
      <formula>0</formula>
    </cfRule>
  </conditionalFormatting>
  <conditionalFormatting sqref="S1:S8">
    <cfRule type="cellIs" dxfId="111" priority="384" operator="lessThan">
      <formula>0</formula>
    </cfRule>
  </conditionalFormatting>
  <conditionalFormatting sqref="S1:S8">
    <cfRule type="cellIs" dxfId="110" priority="383" operator="lessThan">
      <formula>0</formula>
    </cfRule>
  </conditionalFormatting>
  <conditionalFormatting sqref="S1:S8">
    <cfRule type="cellIs" dxfId="109" priority="382" operator="lessThan">
      <formula>0</formula>
    </cfRule>
  </conditionalFormatting>
  <conditionalFormatting sqref="S1:S8">
    <cfRule type="cellIs" dxfId="108" priority="381" operator="lessThan">
      <formula>0</formula>
    </cfRule>
  </conditionalFormatting>
  <conditionalFormatting sqref="S1:S8">
    <cfRule type="cellIs" dxfId="107" priority="380" operator="lessThan">
      <formula>0</formula>
    </cfRule>
  </conditionalFormatting>
  <conditionalFormatting sqref="S1:S8">
    <cfRule type="cellIs" dxfId="106" priority="379" operator="lessThan">
      <formula>0</formula>
    </cfRule>
  </conditionalFormatting>
  <conditionalFormatting sqref="S1:T8 X1:X8 X10:X1048576">
    <cfRule type="cellIs" dxfId="105" priority="378" operator="lessThan">
      <formula>0</formula>
    </cfRule>
  </conditionalFormatting>
  <conditionalFormatting sqref="S1:S8">
    <cfRule type="cellIs" dxfId="104" priority="377" operator="lessThan">
      <formula>0</formula>
    </cfRule>
  </conditionalFormatting>
  <conditionalFormatting sqref="S1:S8">
    <cfRule type="cellIs" dxfId="103" priority="376" operator="lessThan">
      <formula>0</formula>
    </cfRule>
  </conditionalFormatting>
  <conditionalFormatting sqref="S1:S8">
    <cfRule type="cellIs" dxfId="102" priority="375" operator="lessThan">
      <formula>0</formula>
    </cfRule>
  </conditionalFormatting>
  <conditionalFormatting sqref="S1:S8">
    <cfRule type="cellIs" dxfId="101" priority="374" operator="lessThan">
      <formula>0</formula>
    </cfRule>
  </conditionalFormatting>
  <conditionalFormatting sqref="S1:S8">
    <cfRule type="cellIs" dxfId="100" priority="373" operator="lessThan">
      <formula>0</formula>
    </cfRule>
  </conditionalFormatting>
  <conditionalFormatting sqref="S1:S8">
    <cfRule type="cellIs" dxfId="99" priority="372" operator="lessThan">
      <formula>0</formula>
    </cfRule>
  </conditionalFormatting>
  <conditionalFormatting sqref="S1:S8">
    <cfRule type="cellIs" dxfId="98" priority="371" operator="lessThan">
      <formula>0</formula>
    </cfRule>
  </conditionalFormatting>
  <conditionalFormatting sqref="S1:S8">
    <cfRule type="cellIs" dxfId="97" priority="370" operator="lessThan">
      <formula>0</formula>
    </cfRule>
  </conditionalFormatting>
  <conditionalFormatting sqref="S1:S8">
    <cfRule type="cellIs" dxfId="96" priority="369" operator="lessThan">
      <formula>0</formula>
    </cfRule>
  </conditionalFormatting>
  <conditionalFormatting sqref="S1:S8">
    <cfRule type="cellIs" dxfId="95" priority="368" operator="lessThan">
      <formula>0</formula>
    </cfRule>
  </conditionalFormatting>
  <conditionalFormatting sqref="S1:S8">
    <cfRule type="cellIs" dxfId="94" priority="367" operator="lessThan">
      <formula>0</formula>
    </cfRule>
  </conditionalFormatting>
  <conditionalFormatting sqref="S1:S8">
    <cfRule type="cellIs" dxfId="93" priority="366" operator="lessThan">
      <formula>0</formula>
    </cfRule>
  </conditionalFormatting>
  <conditionalFormatting sqref="S1:S8">
    <cfRule type="cellIs" dxfId="92" priority="365" operator="lessThan">
      <formula>0</formula>
    </cfRule>
  </conditionalFormatting>
  <conditionalFormatting sqref="T1:T8">
    <cfRule type="cellIs" dxfId="91" priority="361" operator="lessThan">
      <formula>0</formula>
    </cfRule>
  </conditionalFormatting>
  <conditionalFormatting sqref="T1:T8">
    <cfRule type="cellIs" dxfId="90" priority="323" operator="lessThan">
      <formula>0</formula>
    </cfRule>
  </conditionalFormatting>
  <conditionalFormatting sqref="T1:T8">
    <cfRule type="cellIs" dxfId="89" priority="321" operator="lessThan">
      <formula>0</formula>
    </cfRule>
  </conditionalFormatting>
  <conditionalFormatting sqref="T1:T8">
    <cfRule type="cellIs" dxfId="88" priority="319" operator="lessThan">
      <formula>0</formula>
    </cfRule>
  </conditionalFormatting>
  <conditionalFormatting sqref="T1:T8">
    <cfRule type="cellIs" dxfId="87" priority="317" operator="lessThan">
      <formula>0</formula>
    </cfRule>
  </conditionalFormatting>
  <conditionalFormatting sqref="T1:T8">
    <cfRule type="cellIs" dxfId="86" priority="315" operator="lessThan">
      <formula>0</formula>
    </cfRule>
  </conditionalFormatting>
  <conditionalFormatting sqref="T1:T8">
    <cfRule type="cellIs" dxfId="85" priority="313" operator="lessThan">
      <formula>0</formula>
    </cfRule>
  </conditionalFormatting>
  <conditionalFormatting sqref="T1:T8">
    <cfRule type="cellIs" dxfId="84" priority="311" operator="lessThan">
      <formula>0</formula>
    </cfRule>
  </conditionalFormatting>
  <conditionalFormatting sqref="T1:T8">
    <cfRule type="cellIs" dxfId="83" priority="309" operator="lessThan">
      <formula>0</formula>
    </cfRule>
  </conditionalFormatting>
  <conditionalFormatting sqref="T1:T8">
    <cfRule type="cellIs" dxfId="82" priority="305" operator="lessThan">
      <formula>0</formula>
    </cfRule>
  </conditionalFormatting>
  <conditionalFormatting sqref="T1:T8">
    <cfRule type="cellIs" dxfId="81" priority="234" operator="lessThan">
      <formula>0</formula>
    </cfRule>
  </conditionalFormatting>
  <conditionalFormatting sqref="X1:X8">
    <cfRule type="cellIs" dxfId="80" priority="232" operator="lessThan">
      <formula>0</formula>
    </cfRule>
  </conditionalFormatting>
  <conditionalFormatting sqref="S10:S1048576">
    <cfRule type="cellIs" dxfId="79" priority="155" operator="lessThan">
      <formula>0</formula>
    </cfRule>
  </conditionalFormatting>
  <conditionalFormatting sqref="W1:W8 W10:W1048576">
    <cfRule type="cellIs" dxfId="78" priority="154" operator="lessThan">
      <formula>0</formula>
    </cfRule>
  </conditionalFormatting>
  <conditionalFormatting sqref="X9">
    <cfRule type="cellIs" dxfId="77" priority="77" operator="lessThan">
      <formula>0</formula>
    </cfRule>
  </conditionalFormatting>
  <conditionalFormatting sqref="S9">
    <cfRule type="cellIs" dxfId="76" priority="68" operator="lessThan">
      <formula>0</formula>
    </cfRule>
  </conditionalFormatting>
  <conditionalFormatting sqref="S9">
    <cfRule type="cellIs" dxfId="75" priority="67" operator="lessThan">
      <formula>0</formula>
    </cfRule>
  </conditionalFormatting>
  <conditionalFormatting sqref="S9">
    <cfRule type="cellIs" dxfId="74" priority="66" operator="lessThan">
      <formula>0</formula>
    </cfRule>
  </conditionalFormatting>
  <conditionalFormatting sqref="S9">
    <cfRule type="cellIs" dxfId="73" priority="65" operator="lessThan">
      <formula>0</formula>
    </cfRule>
  </conditionalFormatting>
  <conditionalFormatting sqref="S9">
    <cfRule type="cellIs" dxfId="72" priority="64" operator="lessThan">
      <formula>0</formula>
    </cfRule>
  </conditionalFormatting>
  <conditionalFormatting sqref="S9">
    <cfRule type="cellIs" dxfId="71" priority="63" operator="lessThan">
      <formula>0</formula>
    </cfRule>
  </conditionalFormatting>
  <conditionalFormatting sqref="S9">
    <cfRule type="cellIs" dxfId="70" priority="62" operator="lessThan">
      <formula>0</formula>
    </cfRule>
  </conditionalFormatting>
  <conditionalFormatting sqref="S9">
    <cfRule type="cellIs" dxfId="69" priority="61" operator="lessThan">
      <formula>0</formula>
    </cfRule>
  </conditionalFormatting>
  <conditionalFormatting sqref="S9">
    <cfRule type="cellIs" dxfId="68" priority="60" operator="lessThan">
      <formula>0</formula>
    </cfRule>
  </conditionalFormatting>
  <conditionalFormatting sqref="S9">
    <cfRule type="cellIs" dxfId="67" priority="59" operator="lessThan">
      <formula>0</formula>
    </cfRule>
  </conditionalFormatting>
  <conditionalFormatting sqref="S9">
    <cfRule type="cellIs" dxfId="66" priority="58" operator="lessThan">
      <formula>0</formula>
    </cfRule>
  </conditionalFormatting>
  <conditionalFormatting sqref="S9">
    <cfRule type="cellIs" dxfId="65" priority="57" operator="lessThan">
      <formula>0</formula>
    </cfRule>
  </conditionalFormatting>
  <conditionalFormatting sqref="S9">
    <cfRule type="cellIs" dxfId="64" priority="56" operator="lessThan">
      <formula>0</formula>
    </cfRule>
  </conditionalFormatting>
  <conditionalFormatting sqref="S9">
    <cfRule type="cellIs" dxfId="63" priority="55" operator="lessThan">
      <formula>0</formula>
    </cfRule>
  </conditionalFormatting>
  <conditionalFormatting sqref="S9">
    <cfRule type="cellIs" dxfId="62" priority="54" operator="lessThan">
      <formula>0</formula>
    </cfRule>
  </conditionalFormatting>
  <conditionalFormatting sqref="S9">
    <cfRule type="cellIs" dxfId="61" priority="50" operator="lessThan">
      <formula>0</formula>
    </cfRule>
  </conditionalFormatting>
  <conditionalFormatting sqref="S9">
    <cfRule type="cellIs" dxfId="60" priority="49" operator="lessThan">
      <formula>0</formula>
    </cfRule>
  </conditionalFormatting>
  <conditionalFormatting sqref="S9">
    <cfRule type="cellIs" dxfId="59" priority="48" operator="lessThan">
      <formula>0</formula>
    </cfRule>
  </conditionalFormatting>
  <conditionalFormatting sqref="S9">
    <cfRule type="cellIs" dxfId="58" priority="47" operator="lessThan">
      <formula>0</formula>
    </cfRule>
  </conditionalFormatting>
  <conditionalFormatting sqref="S9">
    <cfRule type="cellIs" dxfId="57" priority="46" operator="lessThan">
      <formula>0</formula>
    </cfRule>
  </conditionalFormatting>
  <conditionalFormatting sqref="S9">
    <cfRule type="cellIs" dxfId="56" priority="45" operator="lessThan">
      <formula>0</formula>
    </cfRule>
  </conditionalFormatting>
  <conditionalFormatting sqref="S9">
    <cfRule type="cellIs" dxfId="55" priority="44" operator="lessThan">
      <formula>0</formula>
    </cfRule>
  </conditionalFormatting>
  <conditionalFormatting sqref="S9">
    <cfRule type="cellIs" dxfId="54" priority="43" operator="lessThan">
      <formula>0</formula>
    </cfRule>
  </conditionalFormatting>
  <conditionalFormatting sqref="S9">
    <cfRule type="cellIs" dxfId="53" priority="42" operator="lessThan">
      <formula>0</formula>
    </cfRule>
  </conditionalFormatting>
  <conditionalFormatting sqref="S9">
    <cfRule type="cellIs" dxfId="52" priority="41" operator="lessThan">
      <formula>0</formula>
    </cfRule>
  </conditionalFormatting>
  <conditionalFormatting sqref="S9">
    <cfRule type="cellIs" dxfId="51" priority="40" operator="lessThan">
      <formula>0</formula>
    </cfRule>
  </conditionalFormatting>
  <conditionalFormatting sqref="T9">
    <cfRule type="cellIs" dxfId="50" priority="76" operator="lessThan">
      <formula>0</formula>
    </cfRule>
  </conditionalFormatting>
  <conditionalFormatting sqref="S9">
    <cfRule type="cellIs" dxfId="49" priority="75" operator="lessThan">
      <formula>0</formula>
    </cfRule>
  </conditionalFormatting>
  <conditionalFormatting sqref="S9">
    <cfRule type="cellIs" dxfId="48" priority="72" operator="lessThan">
      <formula>0</formula>
    </cfRule>
    <cfRule type="cellIs" dxfId="47" priority="73" operator="lessThan">
      <formula>0</formula>
    </cfRule>
    <cfRule type="cellIs" dxfId="46" priority="74" operator="lessThan">
      <formula>0</formula>
    </cfRule>
  </conditionalFormatting>
  <conditionalFormatting sqref="S9">
    <cfRule type="cellIs" dxfId="45" priority="71" operator="lessThan">
      <formula>0</formula>
    </cfRule>
  </conditionalFormatting>
  <conditionalFormatting sqref="S9">
    <cfRule type="cellIs" dxfId="44" priority="70" operator="lessThan">
      <formula>0</formula>
    </cfRule>
  </conditionalFormatting>
  <conditionalFormatting sqref="S9">
    <cfRule type="cellIs" dxfId="43" priority="69" operator="lessThan">
      <formula>0</formula>
    </cfRule>
  </conditionalFormatting>
  <conditionalFormatting sqref="S9">
    <cfRule type="cellIs" dxfId="42" priority="53" operator="lessThan">
      <formula>0</formula>
    </cfRule>
  </conditionalFormatting>
  <conditionalFormatting sqref="S9">
    <cfRule type="cellIs" dxfId="41" priority="52" operator="lessThan">
      <formula>0</formula>
    </cfRule>
  </conditionalFormatting>
  <conditionalFormatting sqref="S9">
    <cfRule type="cellIs" dxfId="40" priority="51" operator="lessThan">
      <formula>0</formula>
    </cfRule>
  </conditionalFormatting>
  <conditionalFormatting sqref="T9">
    <cfRule type="cellIs" dxfId="39" priority="39" operator="lessThan">
      <formula>0</formula>
    </cfRule>
  </conditionalFormatting>
  <conditionalFormatting sqref="T9">
    <cfRule type="cellIs" dxfId="38" priority="36" operator="lessThan">
      <formula>0</formula>
    </cfRule>
    <cfRule type="cellIs" dxfId="37" priority="37" operator="lessThan">
      <formula>0</formula>
    </cfRule>
    <cfRule type="cellIs" dxfId="36" priority="38" operator="lessThan">
      <formula>0</formula>
    </cfRule>
  </conditionalFormatting>
  <conditionalFormatting sqref="T9">
    <cfRule type="cellIs" dxfId="35" priority="35" operator="lessThan">
      <formula>0</formula>
    </cfRule>
  </conditionalFormatting>
  <conditionalFormatting sqref="T9">
    <cfRule type="cellIs" dxfId="34" priority="34" operator="lessThan">
      <formula>0</formula>
    </cfRule>
  </conditionalFormatting>
  <conditionalFormatting sqref="T9">
    <cfRule type="cellIs" dxfId="33" priority="33" operator="lessThan">
      <formula>0</formula>
    </cfRule>
  </conditionalFormatting>
  <conditionalFormatting sqref="T9">
    <cfRule type="cellIs" dxfId="32" priority="32" operator="lessThan">
      <formula>0</formula>
    </cfRule>
  </conditionalFormatting>
  <conditionalFormatting sqref="T9">
    <cfRule type="cellIs" dxfId="31" priority="31" operator="lessThan">
      <formula>0</formula>
    </cfRule>
  </conditionalFormatting>
  <conditionalFormatting sqref="T9">
    <cfRule type="cellIs" dxfId="30" priority="30" operator="lessThan">
      <formula>0</formula>
    </cfRule>
  </conditionalFormatting>
  <conditionalFormatting sqref="T9">
    <cfRule type="cellIs" dxfId="29" priority="29" operator="lessThan">
      <formula>0</formula>
    </cfRule>
  </conditionalFormatting>
  <conditionalFormatting sqref="T9">
    <cfRule type="cellIs" dxfId="28" priority="28" operator="lessThan">
      <formula>0</formula>
    </cfRule>
  </conditionalFormatting>
  <conditionalFormatting sqref="T9">
    <cfRule type="cellIs" dxfId="27" priority="27" operator="lessThan">
      <formula>0</formula>
    </cfRule>
  </conditionalFormatting>
  <conditionalFormatting sqref="T9">
    <cfRule type="cellIs" dxfId="26" priority="26" operator="lessThan">
      <formula>0</formula>
    </cfRule>
  </conditionalFormatting>
  <conditionalFormatting sqref="T9">
    <cfRule type="cellIs" dxfId="25" priority="25" operator="lessThan">
      <formula>0</formula>
    </cfRule>
  </conditionalFormatting>
  <conditionalFormatting sqref="T9">
    <cfRule type="cellIs" dxfId="24" priority="24" operator="lessThan">
      <formula>0</formula>
    </cfRule>
  </conditionalFormatting>
  <conditionalFormatting sqref="T9">
    <cfRule type="cellIs" dxfId="23" priority="23" operator="lessThan">
      <formula>0</formula>
    </cfRule>
  </conditionalFormatting>
  <conditionalFormatting sqref="T9">
    <cfRule type="cellIs" dxfId="22" priority="22" operator="lessThan">
      <formula>0</formula>
    </cfRule>
  </conditionalFormatting>
  <conditionalFormatting sqref="T9">
    <cfRule type="cellIs" dxfId="21" priority="21" operator="lessThan">
      <formula>0</formula>
    </cfRule>
  </conditionalFormatting>
  <conditionalFormatting sqref="T9">
    <cfRule type="cellIs" dxfId="20" priority="20" operator="lessThan">
      <formula>0</formula>
    </cfRule>
  </conditionalFormatting>
  <conditionalFormatting sqref="T9">
    <cfRule type="cellIs" dxfId="19" priority="19" operator="lessThan">
      <formula>0</formula>
    </cfRule>
  </conditionalFormatting>
  <conditionalFormatting sqref="T9">
    <cfRule type="cellIs" dxfId="18" priority="18" operator="lessThan">
      <formula>0</formula>
    </cfRule>
  </conditionalFormatting>
  <conditionalFormatting sqref="T9">
    <cfRule type="cellIs" dxfId="17" priority="17" operator="lessThan">
      <formula>0</formula>
    </cfRule>
  </conditionalFormatting>
  <conditionalFormatting sqref="T9">
    <cfRule type="cellIs" dxfId="16" priority="16" operator="lessThan">
      <formula>0</formula>
    </cfRule>
  </conditionalFormatting>
  <conditionalFormatting sqref="T9">
    <cfRule type="cellIs" dxfId="15" priority="15" operator="lessThan">
      <formula>0</formula>
    </cfRule>
  </conditionalFormatting>
  <conditionalFormatting sqref="T9">
    <cfRule type="cellIs" dxfId="14" priority="14" operator="lessThan">
      <formula>0</formula>
    </cfRule>
  </conditionalFormatting>
  <conditionalFormatting sqref="T9">
    <cfRule type="cellIs" dxfId="13" priority="13" operator="lessThan">
      <formula>0</formula>
    </cfRule>
  </conditionalFormatting>
  <conditionalFormatting sqref="T9">
    <cfRule type="cellIs" dxfId="12" priority="12" operator="lessThan">
      <formula>0</formula>
    </cfRule>
  </conditionalFormatting>
  <conditionalFormatting sqref="T9">
    <cfRule type="cellIs" dxfId="11" priority="11" operator="lessThan">
      <formula>0</formula>
    </cfRule>
  </conditionalFormatting>
  <conditionalFormatting sqref="T9">
    <cfRule type="cellIs" dxfId="10" priority="10" operator="lessThan">
      <formula>0</formula>
    </cfRule>
  </conditionalFormatting>
  <conditionalFormatting sqref="T9">
    <cfRule type="cellIs" dxfId="9" priority="9" operator="lessThan">
      <formula>0</formula>
    </cfRule>
  </conditionalFormatting>
  <conditionalFormatting sqref="T9">
    <cfRule type="cellIs" dxfId="8" priority="8" operator="lessThan">
      <formula>0</formula>
    </cfRule>
  </conditionalFormatting>
  <conditionalFormatting sqref="T9">
    <cfRule type="cellIs" dxfId="7" priority="7" operator="lessThan">
      <formula>0</formula>
    </cfRule>
  </conditionalFormatting>
  <conditionalFormatting sqref="T9">
    <cfRule type="cellIs" dxfId="6" priority="6" operator="lessThan">
      <formula>0</formula>
    </cfRule>
  </conditionalFormatting>
  <conditionalFormatting sqref="T9">
    <cfRule type="cellIs" dxfId="5" priority="5" operator="lessThan">
      <formula>0</formula>
    </cfRule>
  </conditionalFormatting>
  <conditionalFormatting sqref="T9">
    <cfRule type="cellIs" dxfId="4" priority="4" operator="lessThan">
      <formula>0</formula>
    </cfRule>
  </conditionalFormatting>
  <conditionalFormatting sqref="T9">
    <cfRule type="cellIs" dxfId="3" priority="3" operator="lessThan">
      <formula>0</formula>
    </cfRule>
  </conditionalFormatting>
  <conditionalFormatting sqref="W1:W8 W10:W1048576">
    <cfRule type="cellIs" dxfId="2" priority="78" operator="lessThan">
      <formula>0</formula>
    </cfRule>
  </conditionalFormatting>
  <conditionalFormatting sqref="W1:W1048576">
    <cfRule type="cellIs" dxfId="1" priority="2" operator="lessThan">
      <formula>0</formula>
    </cfRule>
  </conditionalFormatting>
  <conditionalFormatting sqref="W1:W1048576">
    <cfRule type="cellIs" dxfId="0" priority="1" operator="lessThan">
      <formula>0</formula>
    </cfRule>
  </conditionalFormatting>
  <dataValidations count="2">
    <dataValidation type="list" allowBlank="1" showInputMessage="1" showErrorMessage="1" sqref="A5">
      <formula1>$AL$6:$AL$7</formula1>
    </dataValidation>
    <dataValidation type="textLength" operator="lessThanOrEqual" allowBlank="1" showInputMessage="1" showErrorMessage="1" error="La longitud del texto no puede superar 150 caracteres en la celda," sqref="W9:W258">
      <formula1>150</formula1>
    </dataValidation>
  </dataValidations>
  <pageMargins left="0.70866141732283472" right="0.70866141732283472" top="0.74803149606299213" bottom="0.74803149606299213" header="0.31496062992125984" footer="0.31496062992125984"/>
  <pageSetup scale="47" fitToHeight="0" orientation="landscape" r:id="rId2"/>
  <drawing r:id="rId3"/>
  <legacyDrawing r:id="rId4"/>
  <controls>
    <mc:AlternateContent xmlns:mc="http://schemas.openxmlformats.org/markup-compatibility/2006">
      <mc:Choice Requires="x14">
        <control shapeId="1026" r:id="rId5" name="CommandButton1">
          <controlPr defaultSize="0" autoLine="0" r:id="rId6">
            <anchor moveWithCells="1">
              <from>
                <xdr:col>5</xdr:col>
                <xdr:colOff>228600</xdr:colOff>
                <xdr:row>5</xdr:row>
                <xdr:rowOff>19050</xdr:rowOff>
              </from>
              <to>
                <xdr:col>6</xdr:col>
                <xdr:colOff>695325</xdr:colOff>
                <xdr:row>5</xdr:row>
                <xdr:rowOff>352425</xdr:rowOff>
              </to>
            </anchor>
          </controlPr>
        </control>
      </mc:Choice>
      <mc:Fallback>
        <control shapeId="1026" r:id="rId5"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12"/>
  <sheetViews>
    <sheetView zoomScale="150" zoomScaleNormal="150" workbookViewId="0">
      <selection activeCell="C2" sqref="C2"/>
    </sheetView>
  </sheetViews>
  <sheetFormatPr baseColWidth="10" defaultRowHeight="15" x14ac:dyDescent="0.25"/>
  <cols>
    <col min="1" max="1" width="16.85546875" customWidth="1"/>
    <col min="3" max="3" width="19.140625" customWidth="1"/>
    <col min="4" max="4" width="22.28515625" customWidth="1"/>
  </cols>
  <sheetData>
    <row r="1" spans="1:7" x14ac:dyDescent="0.25">
      <c r="A1" t="s">
        <v>122</v>
      </c>
    </row>
    <row r="2" spans="1:7" x14ac:dyDescent="0.25">
      <c r="A2" s="120">
        <v>59367316.163722001</v>
      </c>
      <c r="B2">
        <v>2.4</v>
      </c>
      <c r="C2" s="117">
        <f>B2*A2</f>
        <v>142481558.79293281</v>
      </c>
      <c r="D2" t="s">
        <v>123</v>
      </c>
    </row>
    <row r="3" spans="1:7" x14ac:dyDescent="0.25">
      <c r="A3" s="120">
        <v>1836406053.28654</v>
      </c>
      <c r="B3" s="1">
        <v>2.4</v>
      </c>
      <c r="C3" s="117">
        <f>B3*A3</f>
        <v>4407374527.8876963</v>
      </c>
      <c r="D3" t="s">
        <v>124</v>
      </c>
    </row>
    <row r="4" spans="1:7" s="1" customFormat="1" x14ac:dyDescent="0.25">
      <c r="A4" s="1" t="s">
        <v>125</v>
      </c>
      <c r="C4" s="117" t="s">
        <v>127</v>
      </c>
      <c r="D4" s="119">
        <f>SUM(C2:C3)</f>
        <v>4549856086.6806288</v>
      </c>
    </row>
    <row r="5" spans="1:7" x14ac:dyDescent="0.25">
      <c r="A5" s="120">
        <v>1146986</v>
      </c>
      <c r="B5">
        <v>1</v>
      </c>
      <c r="C5" s="117">
        <f>B5*A5</f>
        <v>1146986</v>
      </c>
      <c r="D5" s="1" t="s">
        <v>123</v>
      </c>
    </row>
    <row r="6" spans="1:7" x14ac:dyDescent="0.25">
      <c r="A6" s="120">
        <v>367401918.29000002</v>
      </c>
      <c r="B6">
        <v>1</v>
      </c>
      <c r="C6" s="117">
        <f>B6*A6</f>
        <v>367401918.29000002</v>
      </c>
      <c r="D6" s="1" t="s">
        <v>124</v>
      </c>
    </row>
    <row r="7" spans="1:7" s="1" customFormat="1" x14ac:dyDescent="0.25">
      <c r="A7" s="1" t="s">
        <v>126</v>
      </c>
      <c r="C7" s="117" t="s">
        <v>127</v>
      </c>
      <c r="D7" s="119">
        <f>SUM(C5:C6)</f>
        <v>368548904.29000002</v>
      </c>
    </row>
    <row r="8" spans="1:7" x14ac:dyDescent="0.25">
      <c r="A8" s="120">
        <v>35998765</v>
      </c>
      <c r="B8">
        <v>1</v>
      </c>
      <c r="C8" s="117">
        <f>B8*A8</f>
        <v>35998765</v>
      </c>
      <c r="D8" s="1" t="s">
        <v>123</v>
      </c>
    </row>
    <row r="9" spans="1:7" x14ac:dyDescent="0.25">
      <c r="A9" s="120">
        <f>G9+G10</f>
        <v>1729534514.8599999</v>
      </c>
      <c r="B9">
        <v>1</v>
      </c>
      <c r="C9" s="117">
        <f>B9*A9</f>
        <v>1729534514.8599999</v>
      </c>
      <c r="D9" s="1" t="s">
        <v>124</v>
      </c>
      <c r="F9">
        <v>1</v>
      </c>
      <c r="G9">
        <v>1727118261.8599999</v>
      </c>
    </row>
    <row r="10" spans="1:7" x14ac:dyDescent="0.25">
      <c r="C10" s="117" t="s">
        <v>127</v>
      </c>
      <c r="D10" s="119">
        <f>SUM(C8:C9)</f>
        <v>1765533279.8599999</v>
      </c>
      <c r="F10">
        <v>2</v>
      </c>
      <c r="G10">
        <v>2416253</v>
      </c>
    </row>
    <row r="12" spans="1:7" x14ac:dyDescent="0.25">
      <c r="C12" s="118">
        <f>SUM(C2:C11)</f>
        <v>6683938270.8306284</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3500"/>
  <sheetViews>
    <sheetView zoomScale="85" zoomScaleNormal="85" workbookViewId="0">
      <selection activeCell="A10" sqref="A10"/>
    </sheetView>
  </sheetViews>
  <sheetFormatPr baseColWidth="10" defaultColWidth="36.7109375" defaultRowHeight="15" x14ac:dyDescent="0.25"/>
  <cols>
    <col min="1" max="1" width="66.28515625" bestFit="1" customWidth="1"/>
    <col min="2" max="2" width="21.5703125" bestFit="1" customWidth="1"/>
    <col min="3" max="4" width="21.5703125" style="1" customWidth="1"/>
    <col min="5" max="5" width="23.85546875" bestFit="1" customWidth="1"/>
    <col min="6" max="6" width="34.140625" bestFit="1" customWidth="1"/>
    <col min="7" max="7" width="32.140625" bestFit="1" customWidth="1"/>
    <col min="8" max="8" width="25" bestFit="1" customWidth="1"/>
    <col min="9" max="9" width="31.28515625" bestFit="1" customWidth="1"/>
    <col min="10" max="10" width="31.42578125" bestFit="1" customWidth="1"/>
    <col min="11" max="11" width="23.85546875" bestFit="1" customWidth="1"/>
    <col min="12" max="12" width="22.5703125" bestFit="1" customWidth="1"/>
    <col min="13" max="13" width="23.7109375" bestFit="1" customWidth="1"/>
    <col min="14" max="14" width="23" bestFit="1" customWidth="1"/>
    <col min="15" max="15" width="16.42578125" bestFit="1" customWidth="1"/>
    <col min="16" max="16" width="17.85546875" customWidth="1"/>
  </cols>
  <sheetData>
    <row r="1" spans="1:23" x14ac:dyDescent="0.25">
      <c r="A1" s="5"/>
      <c r="B1" s="6"/>
      <c r="C1" s="6"/>
      <c r="D1" s="6"/>
      <c r="E1" s="6"/>
      <c r="F1" s="6"/>
      <c r="G1" s="7"/>
    </row>
    <row r="2" spans="1:23" x14ac:dyDescent="0.25">
      <c r="A2" s="8"/>
      <c r="B2" s="9"/>
      <c r="C2" s="9"/>
      <c r="D2" s="9"/>
      <c r="E2" s="9"/>
      <c r="F2" s="9"/>
      <c r="G2" s="10"/>
    </row>
    <row r="3" spans="1:23" x14ac:dyDescent="0.25">
      <c r="A3" s="8"/>
      <c r="B3" s="9"/>
      <c r="C3" s="9"/>
      <c r="D3" s="9"/>
      <c r="E3" s="153" t="s">
        <v>55</v>
      </c>
      <c r="F3" s="153"/>
      <c r="G3" s="10"/>
    </row>
    <row r="4" spans="1:23" x14ac:dyDescent="0.25">
      <c r="A4" s="8"/>
      <c r="B4" s="9"/>
      <c r="C4" s="9"/>
      <c r="D4" s="9"/>
      <c r="E4" s="153"/>
      <c r="F4" s="153"/>
      <c r="G4" s="10"/>
    </row>
    <row r="5" spans="1:23" ht="15.75" thickBot="1" x14ac:dyDescent="0.3">
      <c r="A5" s="11"/>
      <c r="B5" s="12"/>
      <c r="C5" s="12"/>
      <c r="D5" s="12"/>
      <c r="E5" s="12"/>
      <c r="F5" s="12"/>
      <c r="G5" s="13"/>
    </row>
    <row r="7" spans="1:23" ht="28.5" x14ac:dyDescent="0.25">
      <c r="A7" s="15" t="s">
        <v>44</v>
      </c>
      <c r="B7" s="16" t="s">
        <v>48</v>
      </c>
      <c r="C7" s="16" t="s">
        <v>49</v>
      </c>
      <c r="D7" s="16" t="s">
        <v>53</v>
      </c>
      <c r="E7" s="16" t="s">
        <v>29</v>
      </c>
      <c r="F7" s="17" t="s">
        <v>30</v>
      </c>
      <c r="G7" s="17" t="s">
        <v>31</v>
      </c>
      <c r="H7" s="17" t="s">
        <v>32</v>
      </c>
      <c r="I7" s="17" t="s">
        <v>33</v>
      </c>
      <c r="J7" s="17" t="s">
        <v>34</v>
      </c>
      <c r="K7" s="18" t="s">
        <v>35</v>
      </c>
      <c r="L7" s="18" t="s">
        <v>36</v>
      </c>
      <c r="M7" s="17" t="s">
        <v>46</v>
      </c>
      <c r="N7" s="17" t="s">
        <v>47</v>
      </c>
      <c r="O7" s="17" t="s">
        <v>37</v>
      </c>
      <c r="P7" s="17" t="s">
        <v>38</v>
      </c>
    </row>
    <row r="8" spans="1:23" s="14" customFormat="1" x14ac:dyDescent="0.25">
      <c r="A8" s="24" t="s">
        <v>57</v>
      </c>
      <c r="B8" s="25" t="s">
        <v>104</v>
      </c>
      <c r="C8" s="25" t="s">
        <v>51</v>
      </c>
      <c r="D8" s="25" t="s">
        <v>18</v>
      </c>
      <c r="E8" s="25">
        <v>0</v>
      </c>
      <c r="F8" s="25"/>
      <c r="G8" s="25">
        <v>0</v>
      </c>
      <c r="H8" s="25">
        <v>0</v>
      </c>
      <c r="I8" s="25"/>
      <c r="J8" s="25">
        <f>(SUM(F8:I8))</f>
        <v>0</v>
      </c>
      <c r="K8" s="25"/>
      <c r="L8" s="25">
        <f>(K8-J8)</f>
        <v>0</v>
      </c>
      <c r="M8" s="25">
        <f>(E8-J8)</f>
        <v>0</v>
      </c>
      <c r="N8" s="25"/>
      <c r="O8" s="25"/>
      <c r="P8" s="25"/>
    </row>
    <row r="9" spans="1:23" s="14" customFormat="1" ht="15.75" thickBot="1" x14ac:dyDescent="0.3">
      <c r="A9" s="84" t="s">
        <v>57</v>
      </c>
      <c r="B9" s="85" t="s">
        <v>105</v>
      </c>
      <c r="C9" s="85" t="s">
        <v>51</v>
      </c>
      <c r="D9" s="85" t="s">
        <v>16</v>
      </c>
      <c r="E9" s="85">
        <v>1266487847</v>
      </c>
      <c r="F9" s="85">
        <v>953629452.995</v>
      </c>
      <c r="G9" s="85">
        <v>31421145.262499999</v>
      </c>
      <c r="H9" s="85">
        <v>0</v>
      </c>
      <c r="I9" s="85">
        <v>2455700</v>
      </c>
      <c r="J9" s="85">
        <f>(SUM(F9:I9))</f>
        <v>987506298.25750005</v>
      </c>
      <c r="K9" s="85">
        <v>1005002857</v>
      </c>
      <c r="L9" s="85">
        <f>(K9-J9)</f>
        <v>17496558.742499948</v>
      </c>
      <c r="M9" s="85">
        <f>(E9-J9)</f>
        <v>278981548.74249995</v>
      </c>
      <c r="N9" s="85"/>
      <c r="O9" s="85">
        <v>1085561010</v>
      </c>
      <c r="P9" s="85">
        <v>-91458153</v>
      </c>
    </row>
    <row r="10" spans="1:23" s="14" customFormat="1" ht="15.75" thickBot="1" x14ac:dyDescent="0.3">
      <c r="A10" s="86" t="s">
        <v>106</v>
      </c>
      <c r="B10" s="86"/>
      <c r="C10" s="86"/>
      <c r="D10" s="86"/>
      <c r="E10" s="2">
        <f>SUBTOTAL(9,E7:E9)</f>
        <v>1266487847</v>
      </c>
      <c r="F10" s="2">
        <f t="shared" ref="F10:M10" si="0">SUBTOTAL(9,F7:F9)</f>
        <v>953629452.995</v>
      </c>
      <c r="G10" s="2">
        <f t="shared" si="0"/>
        <v>31421145.262499999</v>
      </c>
      <c r="H10" s="2">
        <f t="shared" si="0"/>
        <v>0</v>
      </c>
      <c r="I10" s="2">
        <f t="shared" si="0"/>
        <v>2455700</v>
      </c>
      <c r="J10" s="2">
        <f t="shared" si="0"/>
        <v>987506298.25750005</v>
      </c>
      <c r="K10" s="2">
        <f t="shared" si="0"/>
        <v>1005002857</v>
      </c>
      <c r="L10" s="2">
        <f t="shared" si="0"/>
        <v>17496558.742499948</v>
      </c>
      <c r="M10" s="2">
        <f t="shared" si="0"/>
        <v>278981548.74249995</v>
      </c>
      <c r="N10" s="2"/>
      <c r="O10" s="2"/>
      <c r="P10" s="2"/>
      <c r="Q10" s="2"/>
      <c r="R10" s="2"/>
      <c r="S10" s="2"/>
      <c r="T10" s="2"/>
      <c r="U10" s="2"/>
      <c r="V10" s="2"/>
      <c r="W10" s="2"/>
    </row>
    <row r="11" spans="1:23" s="14" customFormat="1" x14ac:dyDescent="0.25">
      <c r="A11"/>
      <c r="B11"/>
      <c r="C11"/>
      <c r="D11"/>
      <c r="E11"/>
      <c r="F11"/>
      <c r="G11"/>
      <c r="H11"/>
      <c r="I11"/>
      <c r="J11"/>
      <c r="K11"/>
      <c r="L11"/>
      <c r="M11"/>
      <c r="N11"/>
      <c r="O11"/>
      <c r="P11"/>
    </row>
    <row r="12" spans="1:23" s="14" customFormat="1" x14ac:dyDescent="0.25">
      <c r="A12"/>
      <c r="B12"/>
      <c r="C12"/>
      <c r="D12"/>
      <c r="E12"/>
      <c r="F12"/>
      <c r="G12"/>
      <c r="H12"/>
      <c r="I12"/>
      <c r="J12"/>
      <c r="K12"/>
      <c r="L12"/>
      <c r="M12"/>
      <c r="N12"/>
      <c r="O12"/>
      <c r="P12"/>
    </row>
    <row r="13" spans="1:23" s="14" customFormat="1" x14ac:dyDescent="0.25">
      <c r="A13"/>
      <c r="B13"/>
      <c r="C13"/>
      <c r="D13"/>
      <c r="E13"/>
      <c r="F13"/>
      <c r="G13"/>
      <c r="H13"/>
      <c r="I13"/>
      <c r="J13"/>
      <c r="K13"/>
      <c r="L13"/>
      <c r="M13"/>
      <c r="N13"/>
      <c r="O13"/>
      <c r="P13"/>
    </row>
    <row r="14" spans="1:23" s="14" customFormat="1" ht="15.75" thickBot="1" x14ac:dyDescent="0.3">
      <c r="A14"/>
      <c r="B14"/>
      <c r="C14"/>
      <c r="D14"/>
      <c r="E14"/>
      <c r="F14"/>
      <c r="G14"/>
      <c r="H14"/>
      <c r="I14"/>
      <c r="J14"/>
      <c r="K14"/>
      <c r="L14"/>
      <c r="M14"/>
      <c r="N14"/>
      <c r="O14"/>
      <c r="P14"/>
    </row>
    <row r="15" spans="1:23" s="14" customFormat="1" ht="15.75" thickBot="1" x14ac:dyDescent="0.3">
      <c r="A15"/>
      <c r="B15"/>
      <c r="C15"/>
      <c r="D15"/>
      <c r="E15"/>
      <c r="F15"/>
      <c r="G15"/>
      <c r="H15"/>
      <c r="I15"/>
      <c r="J15"/>
      <c r="K15"/>
      <c r="L15"/>
      <c r="M15"/>
      <c r="N15"/>
      <c r="O15"/>
      <c r="P15"/>
      <c r="Q15" s="26"/>
      <c r="R15" s="26"/>
      <c r="S15" s="26"/>
      <c r="T15" s="26"/>
      <c r="U15" s="26"/>
      <c r="V15" s="26"/>
      <c r="W15" s="26"/>
    </row>
    <row r="16" spans="1:23" s="14" customFormat="1" x14ac:dyDescent="0.25">
      <c r="A16"/>
      <c r="B16"/>
      <c r="C16"/>
      <c r="D16"/>
      <c r="E16"/>
      <c r="F16"/>
      <c r="G16"/>
      <c r="H16"/>
      <c r="I16"/>
      <c r="J16"/>
      <c r="K16"/>
      <c r="L16"/>
      <c r="M16"/>
      <c r="N16"/>
      <c r="O16"/>
      <c r="P16"/>
    </row>
    <row r="17" spans="1:16" s="14" customFormat="1" x14ac:dyDescent="0.25">
      <c r="A17"/>
      <c r="B17"/>
      <c r="C17"/>
      <c r="D17"/>
      <c r="E17"/>
      <c r="F17"/>
      <c r="G17"/>
      <c r="H17"/>
      <c r="I17"/>
      <c r="J17"/>
      <c r="K17"/>
      <c r="L17"/>
      <c r="M17"/>
      <c r="N17"/>
      <c r="O17"/>
      <c r="P17"/>
    </row>
    <row r="18" spans="1:16" s="14" customFormat="1" x14ac:dyDescent="0.25">
      <c r="A18"/>
      <c r="B18"/>
      <c r="C18"/>
      <c r="D18"/>
      <c r="E18"/>
      <c r="F18"/>
      <c r="G18"/>
      <c r="H18"/>
      <c r="I18"/>
      <c r="J18"/>
      <c r="K18"/>
      <c r="L18"/>
      <c r="M18"/>
      <c r="N18"/>
      <c r="O18"/>
      <c r="P18"/>
    </row>
    <row r="19" spans="1:16" s="14" customFormat="1" x14ac:dyDescent="0.25">
      <c r="A19"/>
      <c r="B19"/>
      <c r="C19"/>
      <c r="D19"/>
      <c r="E19"/>
      <c r="F19"/>
      <c r="G19"/>
      <c r="H19"/>
      <c r="I19"/>
      <c r="J19"/>
      <c r="K19"/>
      <c r="L19"/>
      <c r="M19"/>
      <c r="N19"/>
      <c r="O19"/>
      <c r="P19"/>
    </row>
    <row r="20" spans="1:16" s="14" customFormat="1" x14ac:dyDescent="0.25">
      <c r="A20"/>
      <c r="B20"/>
      <c r="C20"/>
      <c r="D20"/>
      <c r="E20"/>
      <c r="F20"/>
      <c r="G20"/>
      <c r="H20"/>
      <c r="I20"/>
      <c r="J20"/>
      <c r="K20"/>
      <c r="L20"/>
      <c r="M20"/>
      <c r="N20"/>
      <c r="O20"/>
      <c r="P20"/>
    </row>
    <row r="21" spans="1:16" s="14" customFormat="1" x14ac:dyDescent="0.25">
      <c r="A21"/>
      <c r="B21"/>
      <c r="C21"/>
      <c r="D21"/>
      <c r="E21"/>
      <c r="F21"/>
      <c r="G21"/>
      <c r="H21"/>
      <c r="I21"/>
      <c r="J21"/>
      <c r="K21"/>
      <c r="L21"/>
      <c r="M21"/>
      <c r="N21"/>
      <c r="O21"/>
      <c r="P21"/>
    </row>
    <row r="22" spans="1:16" s="14" customFormat="1" x14ac:dyDescent="0.25">
      <c r="A22"/>
      <c r="B22"/>
      <c r="C22"/>
      <c r="D22"/>
      <c r="E22"/>
      <c r="F22"/>
      <c r="G22"/>
      <c r="H22"/>
      <c r="I22"/>
      <c r="J22"/>
      <c r="K22"/>
      <c r="L22"/>
      <c r="M22"/>
      <c r="N22"/>
      <c r="O22"/>
      <c r="P22"/>
    </row>
    <row r="23" spans="1:16" s="14" customFormat="1" x14ac:dyDescent="0.25">
      <c r="A23"/>
      <c r="B23"/>
      <c r="C23"/>
      <c r="D23"/>
      <c r="E23"/>
      <c r="F23"/>
      <c r="G23"/>
      <c r="H23"/>
      <c r="I23"/>
      <c r="J23"/>
      <c r="K23"/>
      <c r="L23"/>
      <c r="M23"/>
      <c r="N23"/>
      <c r="O23"/>
      <c r="P23"/>
    </row>
    <row r="24" spans="1:16" s="14" customFormat="1" x14ac:dyDescent="0.25">
      <c r="A24"/>
      <c r="B24"/>
      <c r="C24"/>
      <c r="D24"/>
      <c r="E24"/>
      <c r="F24"/>
      <c r="G24"/>
      <c r="H24"/>
      <c r="I24"/>
      <c r="J24"/>
      <c r="K24"/>
      <c r="L24"/>
      <c r="M24"/>
      <c r="N24"/>
      <c r="O24"/>
      <c r="P24"/>
    </row>
    <row r="25" spans="1:16" s="14" customFormat="1" x14ac:dyDescent="0.25">
      <c r="A25"/>
      <c r="B25"/>
      <c r="C25"/>
      <c r="D25"/>
      <c r="E25"/>
      <c r="F25"/>
      <c r="G25"/>
      <c r="H25"/>
      <c r="I25"/>
      <c r="J25"/>
      <c r="K25"/>
      <c r="L25"/>
      <c r="M25"/>
      <c r="N25"/>
      <c r="O25"/>
      <c r="P25"/>
    </row>
    <row r="26" spans="1:16" s="14" customFormat="1" x14ac:dyDescent="0.25">
      <c r="A26"/>
      <c r="B26"/>
      <c r="C26"/>
      <c r="D26"/>
      <c r="E26"/>
      <c r="F26"/>
      <c r="G26"/>
      <c r="H26"/>
      <c r="I26"/>
      <c r="J26"/>
      <c r="K26"/>
      <c r="L26"/>
      <c r="M26"/>
      <c r="N26"/>
      <c r="O26"/>
      <c r="P26"/>
    </row>
    <row r="27" spans="1:16" s="14" customFormat="1" x14ac:dyDescent="0.25">
      <c r="A27"/>
      <c r="B27"/>
      <c r="C27"/>
      <c r="D27"/>
      <c r="E27"/>
      <c r="F27"/>
      <c r="G27"/>
      <c r="H27"/>
      <c r="I27"/>
      <c r="J27"/>
      <c r="K27"/>
      <c r="L27"/>
      <c r="M27"/>
      <c r="N27"/>
      <c r="O27"/>
      <c r="P27"/>
    </row>
    <row r="28" spans="1:16" s="14" customFormat="1" x14ac:dyDescent="0.25">
      <c r="A28"/>
      <c r="B28"/>
      <c r="C28"/>
      <c r="D28"/>
      <c r="E28"/>
      <c r="F28"/>
      <c r="G28"/>
      <c r="H28"/>
      <c r="I28"/>
      <c r="J28"/>
      <c r="K28"/>
      <c r="L28"/>
      <c r="M28"/>
      <c r="N28"/>
      <c r="O28"/>
      <c r="P28"/>
    </row>
    <row r="29" spans="1:16" s="14" customFormat="1" x14ac:dyDescent="0.25">
      <c r="A29"/>
      <c r="B29"/>
      <c r="C29"/>
      <c r="D29"/>
      <c r="E29"/>
      <c r="F29"/>
      <c r="G29"/>
      <c r="H29"/>
      <c r="I29"/>
      <c r="J29"/>
      <c r="K29"/>
      <c r="L29"/>
      <c r="M29"/>
      <c r="N29"/>
      <c r="O29"/>
      <c r="P29"/>
    </row>
    <row r="30" spans="1:16" s="14" customFormat="1" x14ac:dyDescent="0.25">
      <c r="A30"/>
      <c r="B30"/>
      <c r="C30"/>
      <c r="D30"/>
      <c r="E30"/>
      <c r="F30"/>
      <c r="G30"/>
      <c r="H30"/>
      <c r="I30"/>
      <c r="J30"/>
      <c r="K30"/>
      <c r="L30"/>
      <c r="M30"/>
      <c r="N30"/>
      <c r="O30"/>
      <c r="P30"/>
    </row>
    <row r="31" spans="1:16" s="14" customFormat="1" x14ac:dyDescent="0.25">
      <c r="A31"/>
      <c r="B31"/>
      <c r="C31"/>
      <c r="D31"/>
      <c r="E31"/>
      <c r="F31"/>
      <c r="G31"/>
      <c r="H31"/>
      <c r="I31"/>
      <c r="J31"/>
      <c r="K31"/>
      <c r="L31"/>
      <c r="M31"/>
      <c r="N31"/>
      <c r="O31"/>
      <c r="P31"/>
    </row>
    <row r="32" spans="1:16" s="14" customFormat="1" x14ac:dyDescent="0.25">
      <c r="A32"/>
      <c r="B32"/>
      <c r="C32"/>
      <c r="D32"/>
      <c r="E32"/>
      <c r="F32"/>
      <c r="G32"/>
      <c r="H32"/>
      <c r="I32"/>
      <c r="J32"/>
      <c r="K32"/>
      <c r="L32"/>
      <c r="M32"/>
      <c r="N32"/>
      <c r="O32"/>
      <c r="P32"/>
    </row>
    <row r="33" spans="1:16" s="14" customFormat="1" x14ac:dyDescent="0.25">
      <c r="A33"/>
      <c r="B33"/>
      <c r="C33"/>
      <c r="D33"/>
      <c r="E33"/>
      <c r="F33"/>
      <c r="G33"/>
      <c r="H33"/>
      <c r="I33"/>
      <c r="J33"/>
      <c r="K33"/>
      <c r="L33"/>
      <c r="M33"/>
      <c r="N33"/>
      <c r="O33"/>
      <c r="P33"/>
    </row>
    <row r="34" spans="1:16" s="14" customFormat="1" x14ac:dyDescent="0.25">
      <c r="A34"/>
      <c r="B34"/>
      <c r="C34"/>
      <c r="D34"/>
      <c r="E34"/>
      <c r="F34"/>
      <c r="G34"/>
      <c r="H34"/>
      <c r="I34"/>
      <c r="J34"/>
      <c r="K34"/>
      <c r="L34"/>
      <c r="M34"/>
      <c r="N34"/>
      <c r="O34"/>
      <c r="P34"/>
    </row>
    <row r="35" spans="1:16" s="14" customFormat="1" x14ac:dyDescent="0.25">
      <c r="A35"/>
      <c r="B35"/>
      <c r="C35"/>
      <c r="D35"/>
      <c r="E35"/>
      <c r="F35"/>
      <c r="G35"/>
      <c r="H35"/>
      <c r="I35"/>
      <c r="J35"/>
      <c r="K35"/>
      <c r="L35"/>
      <c r="M35"/>
      <c r="N35"/>
      <c r="O35"/>
      <c r="P35"/>
    </row>
    <row r="36" spans="1:16" s="14" customFormat="1" x14ac:dyDescent="0.25">
      <c r="A36"/>
      <c r="B36"/>
      <c r="C36"/>
      <c r="D36"/>
      <c r="E36"/>
      <c r="F36"/>
      <c r="G36"/>
      <c r="H36"/>
      <c r="I36"/>
      <c r="J36"/>
      <c r="K36"/>
      <c r="L36"/>
      <c r="M36"/>
      <c r="N36"/>
      <c r="O36"/>
      <c r="P36"/>
    </row>
    <row r="37" spans="1:16" s="14" customFormat="1" x14ac:dyDescent="0.25">
      <c r="A37"/>
      <c r="B37"/>
      <c r="C37"/>
      <c r="D37"/>
      <c r="E37"/>
      <c r="F37"/>
      <c r="G37"/>
      <c r="H37"/>
      <c r="I37"/>
      <c r="J37"/>
      <c r="K37"/>
      <c r="L37"/>
      <c r="M37"/>
      <c r="N37"/>
      <c r="O37"/>
      <c r="P37"/>
    </row>
    <row r="38" spans="1:16" s="14" customFormat="1" x14ac:dyDescent="0.25">
      <c r="A38"/>
      <c r="B38"/>
      <c r="C38"/>
      <c r="D38"/>
      <c r="E38"/>
      <c r="F38"/>
      <c r="G38"/>
      <c r="H38"/>
      <c r="I38"/>
      <c r="J38"/>
      <c r="K38"/>
      <c r="L38"/>
      <c r="M38"/>
      <c r="N38"/>
      <c r="O38"/>
      <c r="P38"/>
    </row>
    <row r="39" spans="1:16" s="14" customFormat="1" x14ac:dyDescent="0.25">
      <c r="A39"/>
      <c r="B39"/>
      <c r="C39"/>
      <c r="D39"/>
      <c r="E39"/>
      <c r="F39"/>
      <c r="G39"/>
      <c r="H39"/>
      <c r="I39"/>
      <c r="J39"/>
      <c r="K39"/>
      <c r="L39"/>
      <c r="M39"/>
      <c r="N39"/>
      <c r="O39"/>
      <c r="P39"/>
    </row>
    <row r="40" spans="1:16" s="14" customFormat="1" x14ac:dyDescent="0.25">
      <c r="A40"/>
      <c r="B40"/>
      <c r="C40"/>
      <c r="D40"/>
      <c r="E40"/>
      <c r="F40"/>
      <c r="G40"/>
      <c r="H40"/>
      <c r="I40"/>
      <c r="J40"/>
      <c r="K40"/>
      <c r="L40"/>
      <c r="M40"/>
      <c r="N40"/>
      <c r="O40"/>
      <c r="P40"/>
    </row>
    <row r="41" spans="1:16" s="14" customFormat="1" x14ac:dyDescent="0.25">
      <c r="A41"/>
      <c r="B41"/>
      <c r="C41"/>
      <c r="D41"/>
      <c r="E41"/>
      <c r="F41"/>
      <c r="G41"/>
      <c r="H41"/>
      <c r="I41"/>
      <c r="J41"/>
      <c r="K41"/>
      <c r="L41"/>
      <c r="M41"/>
      <c r="N41"/>
      <c r="O41"/>
      <c r="P41"/>
    </row>
    <row r="42" spans="1:16" s="14" customFormat="1" x14ac:dyDescent="0.25">
      <c r="A42"/>
      <c r="B42"/>
      <c r="C42"/>
      <c r="D42"/>
      <c r="E42"/>
      <c r="F42"/>
      <c r="G42"/>
      <c r="H42"/>
      <c r="I42"/>
      <c r="J42"/>
      <c r="K42"/>
      <c r="L42"/>
      <c r="M42"/>
      <c r="N42"/>
      <c r="O42"/>
      <c r="P42"/>
    </row>
    <row r="43" spans="1:16" s="14" customFormat="1" x14ac:dyDescent="0.25">
      <c r="A43"/>
      <c r="B43"/>
      <c r="C43"/>
      <c r="D43"/>
      <c r="E43"/>
      <c r="F43"/>
      <c r="G43"/>
      <c r="H43"/>
      <c r="I43"/>
      <c r="J43"/>
      <c r="K43"/>
      <c r="L43"/>
      <c r="M43"/>
      <c r="N43"/>
      <c r="O43"/>
      <c r="P43"/>
    </row>
    <row r="44" spans="1:16" s="14" customFormat="1" x14ac:dyDescent="0.25">
      <c r="A44"/>
      <c r="B44"/>
      <c r="C44"/>
      <c r="D44"/>
      <c r="E44"/>
      <c r="F44"/>
      <c r="G44"/>
      <c r="H44"/>
      <c r="I44"/>
      <c r="J44"/>
      <c r="K44"/>
      <c r="L44"/>
      <c r="M44"/>
      <c r="N44"/>
      <c r="O44"/>
      <c r="P44"/>
    </row>
    <row r="45" spans="1:16" s="14" customFormat="1" x14ac:dyDescent="0.25">
      <c r="A45"/>
      <c r="B45"/>
      <c r="C45"/>
      <c r="D45"/>
      <c r="E45"/>
      <c r="F45"/>
      <c r="G45"/>
      <c r="H45"/>
      <c r="I45"/>
      <c r="J45"/>
      <c r="K45"/>
      <c r="L45"/>
      <c r="M45"/>
      <c r="N45"/>
      <c r="O45"/>
      <c r="P45"/>
    </row>
    <row r="46" spans="1:16" s="14" customFormat="1" x14ac:dyDescent="0.25">
      <c r="A46"/>
      <c r="B46"/>
      <c r="C46"/>
      <c r="D46"/>
      <c r="E46"/>
      <c r="F46"/>
      <c r="G46"/>
      <c r="H46"/>
      <c r="I46"/>
      <c r="J46"/>
      <c r="K46"/>
      <c r="L46"/>
      <c r="M46"/>
      <c r="N46"/>
      <c r="O46"/>
      <c r="P46"/>
    </row>
    <row r="47" spans="1:16" s="14" customFormat="1" x14ac:dyDescent="0.25">
      <c r="A47"/>
      <c r="B47"/>
      <c r="C47"/>
      <c r="D47"/>
      <c r="E47"/>
      <c r="F47"/>
      <c r="G47"/>
      <c r="H47"/>
      <c r="I47"/>
      <c r="J47"/>
      <c r="K47"/>
      <c r="L47"/>
      <c r="M47"/>
      <c r="N47"/>
      <c r="O47"/>
      <c r="P47"/>
    </row>
    <row r="48" spans="1:16" s="14" customFormat="1" x14ac:dyDescent="0.25">
      <c r="A48"/>
      <c r="B48"/>
      <c r="C48"/>
      <c r="D48"/>
      <c r="E48"/>
      <c r="F48"/>
      <c r="G48"/>
      <c r="H48"/>
      <c r="I48"/>
      <c r="J48"/>
      <c r="K48"/>
      <c r="L48"/>
      <c r="M48"/>
      <c r="N48"/>
      <c r="O48"/>
      <c r="P48"/>
    </row>
    <row r="49" spans="1:16" s="14" customFormat="1" x14ac:dyDescent="0.25">
      <c r="A49"/>
      <c r="B49"/>
      <c r="C49"/>
      <c r="D49"/>
      <c r="E49"/>
      <c r="F49"/>
      <c r="G49"/>
      <c r="H49"/>
      <c r="I49"/>
      <c r="J49"/>
      <c r="K49"/>
      <c r="L49"/>
      <c r="M49"/>
      <c r="N49"/>
      <c r="O49"/>
      <c r="P49"/>
    </row>
    <row r="50" spans="1:16" s="14" customFormat="1" x14ac:dyDescent="0.25">
      <c r="A50"/>
      <c r="B50"/>
      <c r="C50"/>
      <c r="D50"/>
      <c r="E50"/>
      <c r="F50"/>
      <c r="G50"/>
      <c r="H50"/>
      <c r="I50"/>
      <c r="J50"/>
      <c r="K50"/>
      <c r="L50"/>
      <c r="M50"/>
      <c r="N50"/>
      <c r="O50"/>
      <c r="P50"/>
    </row>
    <row r="51" spans="1:16" s="14" customFormat="1" x14ac:dyDescent="0.25">
      <c r="A51"/>
      <c r="B51"/>
      <c r="C51"/>
      <c r="D51"/>
      <c r="E51"/>
      <c r="F51"/>
      <c r="G51"/>
      <c r="H51"/>
      <c r="I51"/>
      <c r="J51"/>
      <c r="K51"/>
      <c r="L51"/>
      <c r="M51"/>
      <c r="N51"/>
      <c r="O51"/>
      <c r="P51"/>
    </row>
    <row r="52" spans="1:16" s="14" customFormat="1" x14ac:dyDescent="0.25">
      <c r="A52"/>
      <c r="B52"/>
      <c r="C52"/>
      <c r="D52"/>
      <c r="E52"/>
      <c r="F52"/>
      <c r="G52"/>
      <c r="H52"/>
      <c r="I52"/>
      <c r="J52"/>
      <c r="K52"/>
      <c r="L52"/>
      <c r="M52"/>
      <c r="N52"/>
      <c r="O52"/>
      <c r="P52"/>
    </row>
    <row r="53" spans="1:16" s="14" customFormat="1" x14ac:dyDescent="0.25">
      <c r="A53"/>
      <c r="B53"/>
      <c r="C53"/>
      <c r="D53"/>
      <c r="E53"/>
      <c r="F53"/>
      <c r="G53"/>
      <c r="H53"/>
      <c r="I53"/>
      <c r="J53"/>
      <c r="K53"/>
      <c r="L53"/>
      <c r="M53"/>
      <c r="N53"/>
      <c r="O53"/>
      <c r="P53"/>
    </row>
    <row r="54" spans="1:16" s="14" customFormat="1" x14ac:dyDescent="0.25">
      <c r="A54"/>
      <c r="B54"/>
      <c r="C54"/>
      <c r="D54"/>
      <c r="E54"/>
      <c r="F54"/>
      <c r="G54"/>
      <c r="H54"/>
      <c r="I54"/>
      <c r="J54"/>
      <c r="K54"/>
      <c r="L54"/>
      <c r="M54"/>
      <c r="N54"/>
      <c r="O54"/>
      <c r="P54"/>
    </row>
    <row r="55" spans="1:16" s="14" customFormat="1" x14ac:dyDescent="0.25">
      <c r="A55"/>
      <c r="B55"/>
      <c r="C55"/>
      <c r="D55"/>
      <c r="E55"/>
      <c r="F55"/>
      <c r="G55"/>
      <c r="H55"/>
      <c r="I55"/>
      <c r="J55"/>
      <c r="K55"/>
      <c r="L55"/>
      <c r="M55"/>
      <c r="N55"/>
      <c r="O55"/>
      <c r="P55"/>
    </row>
    <row r="56" spans="1:16" s="14" customFormat="1" x14ac:dyDescent="0.25">
      <c r="A56"/>
      <c r="B56"/>
      <c r="C56"/>
      <c r="D56"/>
      <c r="E56"/>
      <c r="F56"/>
      <c r="G56"/>
      <c r="H56"/>
      <c r="I56"/>
      <c r="J56"/>
      <c r="K56"/>
      <c r="L56"/>
      <c r="M56"/>
      <c r="N56"/>
      <c r="O56"/>
      <c r="P56"/>
    </row>
    <row r="57" spans="1:16" s="14" customFormat="1" x14ac:dyDescent="0.25">
      <c r="A57"/>
      <c r="B57"/>
      <c r="C57"/>
      <c r="D57"/>
      <c r="E57"/>
      <c r="F57"/>
      <c r="G57"/>
      <c r="H57"/>
      <c r="I57"/>
      <c r="J57"/>
      <c r="K57"/>
      <c r="L57"/>
      <c r="M57"/>
      <c r="N57"/>
      <c r="O57"/>
      <c r="P57"/>
    </row>
    <row r="58" spans="1:16" s="14" customFormat="1" x14ac:dyDescent="0.25">
      <c r="A58"/>
      <c r="B58"/>
      <c r="C58"/>
      <c r="D58"/>
      <c r="E58"/>
      <c r="F58"/>
      <c r="G58"/>
      <c r="H58"/>
      <c r="I58"/>
      <c r="J58"/>
      <c r="K58"/>
      <c r="L58"/>
      <c r="M58"/>
      <c r="N58"/>
      <c r="O58"/>
      <c r="P58"/>
    </row>
    <row r="59" spans="1:16" s="14" customFormat="1" x14ac:dyDescent="0.25">
      <c r="A59"/>
      <c r="B59"/>
      <c r="C59"/>
      <c r="D59"/>
      <c r="E59"/>
      <c r="F59"/>
      <c r="G59"/>
      <c r="H59"/>
      <c r="I59"/>
      <c r="J59"/>
      <c r="K59"/>
      <c r="L59"/>
      <c r="M59"/>
      <c r="N59"/>
      <c r="O59"/>
      <c r="P59"/>
    </row>
    <row r="60" spans="1:16" s="14" customFormat="1" x14ac:dyDescent="0.25">
      <c r="A60"/>
      <c r="B60"/>
      <c r="C60"/>
      <c r="D60"/>
      <c r="E60"/>
      <c r="F60"/>
      <c r="G60"/>
      <c r="H60"/>
      <c r="I60"/>
      <c r="J60"/>
      <c r="K60"/>
      <c r="L60"/>
      <c r="M60"/>
      <c r="N60"/>
      <c r="O60"/>
      <c r="P60"/>
    </row>
    <row r="61" spans="1:16" s="14" customFormat="1" x14ac:dyDescent="0.25">
      <c r="A61"/>
      <c r="B61"/>
      <c r="C61"/>
      <c r="D61"/>
      <c r="E61"/>
      <c r="F61"/>
      <c r="G61"/>
      <c r="H61"/>
      <c r="I61"/>
      <c r="J61"/>
      <c r="K61"/>
      <c r="L61"/>
      <c r="M61"/>
      <c r="N61"/>
      <c r="O61"/>
      <c r="P61"/>
    </row>
    <row r="62" spans="1:16" s="14" customFormat="1" x14ac:dyDescent="0.25">
      <c r="A62"/>
      <c r="B62"/>
      <c r="C62"/>
      <c r="D62"/>
      <c r="E62"/>
      <c r="F62"/>
      <c r="G62"/>
      <c r="H62"/>
      <c r="I62"/>
      <c r="J62"/>
      <c r="K62"/>
      <c r="L62"/>
      <c r="M62"/>
      <c r="N62"/>
      <c r="O62"/>
      <c r="P62"/>
    </row>
    <row r="63" spans="1:16" s="14" customFormat="1" x14ac:dyDescent="0.25">
      <c r="A63"/>
      <c r="B63"/>
      <c r="C63"/>
      <c r="D63"/>
      <c r="E63"/>
      <c r="F63"/>
      <c r="G63"/>
      <c r="H63"/>
      <c r="I63"/>
      <c r="J63"/>
      <c r="K63"/>
      <c r="L63"/>
      <c r="M63"/>
      <c r="N63"/>
      <c r="O63"/>
      <c r="P63"/>
    </row>
    <row r="64" spans="1:16" s="14" customFormat="1" x14ac:dyDescent="0.25">
      <c r="A64"/>
      <c r="B64"/>
      <c r="C64"/>
      <c r="D64"/>
      <c r="E64"/>
      <c r="F64"/>
      <c r="G64"/>
      <c r="H64"/>
      <c r="I64"/>
      <c r="J64"/>
      <c r="K64"/>
      <c r="L64"/>
      <c r="M64"/>
      <c r="N64"/>
      <c r="O64"/>
      <c r="P64"/>
    </row>
    <row r="65" spans="1:16" s="14" customFormat="1" x14ac:dyDescent="0.25">
      <c r="A65"/>
      <c r="B65"/>
      <c r="C65"/>
      <c r="D65"/>
      <c r="E65"/>
      <c r="F65"/>
      <c r="G65"/>
      <c r="H65"/>
      <c r="I65"/>
      <c r="J65"/>
      <c r="K65"/>
      <c r="L65"/>
      <c r="M65"/>
      <c r="N65"/>
      <c r="O65"/>
      <c r="P65"/>
    </row>
    <row r="66" spans="1:16" s="14" customFormat="1" x14ac:dyDescent="0.25">
      <c r="A66"/>
      <c r="B66"/>
      <c r="C66"/>
      <c r="D66"/>
      <c r="E66"/>
      <c r="F66"/>
      <c r="G66"/>
      <c r="H66"/>
      <c r="I66"/>
      <c r="J66"/>
      <c r="K66"/>
      <c r="L66"/>
      <c r="M66"/>
      <c r="N66"/>
      <c r="O66"/>
      <c r="P66"/>
    </row>
    <row r="67" spans="1:16" s="14" customFormat="1" x14ac:dyDescent="0.25">
      <c r="A67"/>
      <c r="B67"/>
      <c r="C67"/>
      <c r="D67"/>
      <c r="E67"/>
      <c r="F67"/>
      <c r="G67"/>
      <c r="H67"/>
      <c r="I67"/>
      <c r="J67"/>
      <c r="K67"/>
      <c r="L67"/>
      <c r="M67"/>
      <c r="N67"/>
      <c r="O67"/>
      <c r="P67"/>
    </row>
    <row r="68" spans="1:16" s="14" customFormat="1" x14ac:dyDescent="0.25">
      <c r="A68"/>
      <c r="B68"/>
      <c r="C68"/>
      <c r="D68"/>
      <c r="E68"/>
      <c r="F68"/>
      <c r="G68"/>
      <c r="H68"/>
      <c r="I68"/>
      <c r="J68"/>
      <c r="K68"/>
      <c r="L68"/>
      <c r="M68"/>
      <c r="N68"/>
      <c r="O68"/>
      <c r="P68"/>
    </row>
    <row r="69" spans="1:16" s="14" customFormat="1" x14ac:dyDescent="0.25">
      <c r="A69"/>
      <c r="B69"/>
      <c r="C69"/>
      <c r="D69"/>
      <c r="E69"/>
      <c r="F69"/>
      <c r="G69"/>
      <c r="H69"/>
      <c r="I69"/>
      <c r="J69"/>
      <c r="K69"/>
      <c r="L69"/>
      <c r="M69"/>
      <c r="N69"/>
      <c r="O69"/>
      <c r="P69"/>
    </row>
    <row r="70" spans="1:16" s="14" customFormat="1" x14ac:dyDescent="0.25">
      <c r="A70"/>
      <c r="B70"/>
      <c r="C70"/>
      <c r="D70"/>
      <c r="E70"/>
      <c r="F70"/>
      <c r="G70"/>
      <c r="H70"/>
      <c r="I70"/>
      <c r="J70"/>
      <c r="K70"/>
      <c r="L70"/>
      <c r="M70"/>
      <c r="N70"/>
      <c r="O70"/>
      <c r="P70"/>
    </row>
    <row r="71" spans="1:16" s="14" customFormat="1" x14ac:dyDescent="0.25">
      <c r="A71"/>
      <c r="B71"/>
      <c r="C71"/>
      <c r="D71"/>
      <c r="E71"/>
      <c r="F71"/>
      <c r="G71"/>
      <c r="H71"/>
      <c r="I71"/>
      <c r="J71"/>
      <c r="K71"/>
      <c r="L71"/>
      <c r="M71"/>
      <c r="N71"/>
      <c r="O71"/>
      <c r="P71"/>
    </row>
    <row r="72" spans="1:16" s="14" customFormat="1" x14ac:dyDescent="0.25">
      <c r="A72"/>
      <c r="B72"/>
      <c r="C72"/>
      <c r="D72"/>
      <c r="E72"/>
      <c r="F72"/>
      <c r="G72"/>
      <c r="H72"/>
      <c r="I72"/>
      <c r="J72"/>
      <c r="K72"/>
      <c r="L72"/>
      <c r="M72"/>
      <c r="N72"/>
      <c r="O72"/>
      <c r="P72"/>
    </row>
    <row r="73" spans="1:16" s="14" customFormat="1" x14ac:dyDescent="0.25">
      <c r="A73"/>
      <c r="B73"/>
      <c r="C73"/>
      <c r="D73"/>
      <c r="E73"/>
      <c r="F73"/>
      <c r="G73"/>
      <c r="H73"/>
      <c r="I73"/>
      <c r="J73"/>
      <c r="K73"/>
      <c r="L73"/>
      <c r="M73"/>
      <c r="N73"/>
      <c r="O73"/>
      <c r="P73"/>
    </row>
    <row r="74" spans="1:16" s="14" customFormat="1" x14ac:dyDescent="0.25">
      <c r="A74"/>
      <c r="B74"/>
      <c r="C74"/>
      <c r="D74"/>
      <c r="E74"/>
      <c r="F74"/>
      <c r="G74"/>
      <c r="H74"/>
      <c r="I74"/>
      <c r="J74"/>
      <c r="K74"/>
      <c r="L74"/>
      <c r="M74"/>
      <c r="N74"/>
      <c r="O74"/>
      <c r="P74"/>
    </row>
    <row r="75" spans="1:16" s="14" customFormat="1" x14ac:dyDescent="0.25">
      <c r="A75"/>
      <c r="B75"/>
      <c r="C75"/>
      <c r="D75"/>
      <c r="E75"/>
      <c r="F75"/>
      <c r="G75"/>
      <c r="H75"/>
      <c r="I75"/>
      <c r="J75"/>
      <c r="K75"/>
      <c r="L75"/>
      <c r="M75"/>
      <c r="N75"/>
      <c r="O75"/>
      <c r="P75"/>
    </row>
    <row r="76" spans="1:16" s="14" customFormat="1" x14ac:dyDescent="0.25">
      <c r="A76"/>
      <c r="B76"/>
      <c r="C76"/>
      <c r="D76"/>
      <c r="E76"/>
      <c r="F76"/>
      <c r="G76"/>
      <c r="H76"/>
      <c r="I76"/>
      <c r="J76"/>
      <c r="K76"/>
      <c r="L76"/>
      <c r="M76"/>
      <c r="N76"/>
      <c r="O76"/>
      <c r="P76"/>
    </row>
    <row r="77" spans="1:16" s="14" customFormat="1" x14ac:dyDescent="0.25">
      <c r="A77"/>
      <c r="B77"/>
      <c r="C77"/>
      <c r="D77"/>
      <c r="E77"/>
      <c r="F77"/>
      <c r="G77"/>
      <c r="H77"/>
      <c r="I77"/>
      <c r="J77"/>
      <c r="K77"/>
      <c r="L77"/>
      <c r="M77"/>
      <c r="N77"/>
      <c r="O77"/>
      <c r="P77"/>
    </row>
    <row r="78" spans="1:16" s="14" customFormat="1" x14ac:dyDescent="0.25">
      <c r="A78"/>
      <c r="B78"/>
      <c r="C78"/>
      <c r="D78"/>
      <c r="E78"/>
      <c r="F78"/>
      <c r="G78"/>
      <c r="H78"/>
      <c r="I78"/>
      <c r="J78"/>
      <c r="K78"/>
      <c r="L78"/>
      <c r="M78"/>
      <c r="N78"/>
      <c r="O78"/>
      <c r="P78"/>
    </row>
    <row r="79" spans="1:16" s="14" customFormat="1" x14ac:dyDescent="0.25">
      <c r="A79"/>
      <c r="B79"/>
      <c r="C79"/>
      <c r="D79"/>
      <c r="E79"/>
      <c r="F79"/>
      <c r="G79"/>
      <c r="H79"/>
      <c r="I79"/>
      <c r="J79"/>
      <c r="K79"/>
      <c r="L79"/>
      <c r="M79"/>
      <c r="N79"/>
      <c r="O79"/>
      <c r="P79"/>
    </row>
    <row r="80" spans="1:16" s="14" customFormat="1" x14ac:dyDescent="0.25">
      <c r="A80"/>
      <c r="B80"/>
      <c r="C80"/>
      <c r="D80"/>
      <c r="E80"/>
      <c r="F80"/>
      <c r="G80"/>
      <c r="H80"/>
      <c r="I80"/>
      <c r="J80"/>
      <c r="K80"/>
      <c r="L80"/>
      <c r="M80"/>
      <c r="N80"/>
      <c r="O80"/>
      <c r="P80"/>
    </row>
    <row r="81" spans="1:16" s="14" customFormat="1" x14ac:dyDescent="0.25">
      <c r="A81"/>
      <c r="B81"/>
      <c r="C81"/>
      <c r="D81"/>
      <c r="E81"/>
      <c r="F81"/>
      <c r="G81"/>
      <c r="H81"/>
      <c r="I81"/>
      <c r="J81"/>
      <c r="K81"/>
      <c r="L81"/>
      <c r="M81"/>
      <c r="N81"/>
      <c r="O81"/>
      <c r="P81"/>
    </row>
    <row r="82" spans="1:16" s="14" customFormat="1" x14ac:dyDescent="0.25">
      <c r="A82"/>
      <c r="B82"/>
      <c r="C82"/>
      <c r="D82"/>
      <c r="E82"/>
      <c r="F82"/>
      <c r="G82"/>
      <c r="H82"/>
      <c r="I82"/>
      <c r="J82"/>
      <c r="K82"/>
      <c r="L82"/>
      <c r="M82"/>
      <c r="N82"/>
      <c r="O82"/>
      <c r="P82"/>
    </row>
    <row r="83" spans="1:16" s="14" customFormat="1" x14ac:dyDescent="0.25">
      <c r="A83"/>
      <c r="B83"/>
      <c r="C83"/>
      <c r="D83"/>
      <c r="E83"/>
      <c r="F83"/>
      <c r="G83"/>
      <c r="H83"/>
      <c r="I83"/>
      <c r="J83"/>
      <c r="K83"/>
      <c r="L83"/>
      <c r="M83"/>
      <c r="N83"/>
      <c r="O83"/>
      <c r="P83"/>
    </row>
    <row r="84" spans="1:16" s="14" customFormat="1" x14ac:dyDescent="0.25">
      <c r="A84"/>
      <c r="B84"/>
      <c r="C84"/>
      <c r="D84"/>
      <c r="E84"/>
      <c r="F84"/>
      <c r="G84"/>
      <c r="H84"/>
      <c r="I84"/>
      <c r="J84"/>
      <c r="K84"/>
      <c r="L84"/>
      <c r="M84"/>
      <c r="N84"/>
      <c r="O84"/>
      <c r="P84"/>
    </row>
    <row r="85" spans="1:16" s="14" customFormat="1" x14ac:dyDescent="0.25">
      <c r="A85"/>
      <c r="B85"/>
      <c r="C85"/>
      <c r="D85"/>
      <c r="E85"/>
      <c r="F85"/>
      <c r="G85"/>
      <c r="H85"/>
      <c r="I85"/>
      <c r="J85"/>
      <c r="K85"/>
      <c r="L85"/>
      <c r="M85"/>
      <c r="N85"/>
      <c r="O85"/>
      <c r="P85"/>
    </row>
    <row r="86" spans="1:16" s="14" customFormat="1" x14ac:dyDescent="0.25">
      <c r="A86"/>
      <c r="B86"/>
      <c r="C86"/>
      <c r="D86"/>
      <c r="E86"/>
      <c r="F86"/>
      <c r="G86"/>
      <c r="H86"/>
      <c r="I86"/>
      <c r="J86"/>
      <c r="K86"/>
      <c r="L86"/>
      <c r="M86"/>
      <c r="N86"/>
      <c r="O86"/>
      <c r="P86"/>
    </row>
    <row r="87" spans="1:16" s="14" customFormat="1" x14ac:dyDescent="0.25">
      <c r="A87"/>
      <c r="B87"/>
      <c r="C87"/>
      <c r="D87"/>
      <c r="E87"/>
      <c r="F87"/>
      <c r="G87"/>
      <c r="H87"/>
      <c r="I87"/>
      <c r="J87"/>
      <c r="K87"/>
      <c r="L87"/>
      <c r="M87"/>
      <c r="N87"/>
      <c r="O87"/>
      <c r="P87"/>
    </row>
    <row r="88" spans="1:16" s="14" customFormat="1" x14ac:dyDescent="0.25">
      <c r="A88"/>
      <c r="B88"/>
      <c r="C88"/>
      <c r="D88"/>
      <c r="E88"/>
      <c r="F88"/>
      <c r="G88"/>
      <c r="H88"/>
      <c r="I88"/>
      <c r="J88"/>
      <c r="K88"/>
      <c r="L88"/>
      <c r="M88"/>
      <c r="N88"/>
      <c r="O88"/>
      <c r="P88"/>
    </row>
    <row r="89" spans="1:16" s="14" customFormat="1" x14ac:dyDescent="0.25">
      <c r="A89"/>
      <c r="B89"/>
      <c r="C89"/>
      <c r="D89"/>
      <c r="E89"/>
      <c r="F89"/>
      <c r="G89"/>
      <c r="H89"/>
      <c r="I89"/>
      <c r="J89"/>
      <c r="K89"/>
      <c r="L89"/>
      <c r="M89"/>
      <c r="N89"/>
      <c r="O89"/>
      <c r="P89"/>
    </row>
    <row r="90" spans="1:16" s="14" customFormat="1" x14ac:dyDescent="0.25">
      <c r="A90"/>
      <c r="B90"/>
      <c r="C90"/>
      <c r="D90"/>
      <c r="E90"/>
      <c r="F90"/>
      <c r="G90"/>
      <c r="H90"/>
      <c r="I90"/>
      <c r="J90"/>
      <c r="K90"/>
      <c r="L90"/>
      <c r="M90"/>
      <c r="N90"/>
      <c r="O90"/>
      <c r="P90"/>
    </row>
    <row r="91" spans="1:16" s="14" customFormat="1" x14ac:dyDescent="0.25">
      <c r="A91"/>
      <c r="B91"/>
      <c r="C91"/>
      <c r="D91"/>
      <c r="E91"/>
      <c r="F91"/>
      <c r="G91"/>
      <c r="H91"/>
      <c r="I91"/>
      <c r="J91"/>
      <c r="K91"/>
      <c r="L91"/>
      <c r="M91"/>
      <c r="N91"/>
      <c r="O91"/>
      <c r="P91"/>
    </row>
    <row r="92" spans="1:16" s="14" customFormat="1" x14ac:dyDescent="0.25">
      <c r="A92"/>
      <c r="B92"/>
      <c r="C92"/>
      <c r="D92"/>
      <c r="E92"/>
      <c r="F92"/>
      <c r="G92"/>
      <c r="H92"/>
      <c r="I92"/>
      <c r="J92"/>
      <c r="K92"/>
      <c r="L92"/>
      <c r="M92"/>
      <c r="N92"/>
      <c r="O92"/>
      <c r="P92"/>
    </row>
    <row r="93" spans="1:16" s="14" customFormat="1" x14ac:dyDescent="0.25">
      <c r="A93"/>
      <c r="B93"/>
      <c r="C93"/>
      <c r="D93"/>
      <c r="E93"/>
      <c r="F93"/>
      <c r="G93"/>
      <c r="H93"/>
      <c r="I93"/>
      <c r="J93"/>
      <c r="K93"/>
      <c r="L93"/>
      <c r="M93"/>
      <c r="N93"/>
      <c r="O93"/>
      <c r="P93"/>
    </row>
    <row r="94" spans="1:16" s="14" customFormat="1" x14ac:dyDescent="0.25">
      <c r="A94"/>
      <c r="B94"/>
      <c r="C94"/>
      <c r="D94"/>
      <c r="E94"/>
      <c r="F94"/>
      <c r="G94"/>
      <c r="H94"/>
      <c r="I94"/>
      <c r="J94"/>
      <c r="K94"/>
      <c r="L94"/>
      <c r="M94"/>
      <c r="N94"/>
      <c r="O94"/>
      <c r="P94"/>
    </row>
    <row r="95" spans="1:16" s="14" customFormat="1" x14ac:dyDescent="0.25">
      <c r="A95"/>
      <c r="B95"/>
      <c r="C95"/>
      <c r="D95"/>
      <c r="E95"/>
      <c r="F95"/>
      <c r="G95"/>
      <c r="H95"/>
      <c r="I95"/>
      <c r="J95"/>
      <c r="K95"/>
      <c r="L95"/>
      <c r="M95"/>
      <c r="N95"/>
      <c r="O95"/>
      <c r="P95"/>
    </row>
    <row r="96" spans="1:16" s="14" customFormat="1" x14ac:dyDescent="0.25">
      <c r="A96"/>
      <c r="B96"/>
      <c r="C96"/>
      <c r="D96"/>
      <c r="E96"/>
      <c r="F96"/>
      <c r="G96"/>
      <c r="H96"/>
      <c r="I96"/>
      <c r="J96"/>
      <c r="K96"/>
      <c r="L96"/>
      <c r="M96"/>
      <c r="N96"/>
      <c r="O96"/>
      <c r="P96"/>
    </row>
    <row r="97" spans="1:16" s="14" customFormat="1" x14ac:dyDescent="0.25">
      <c r="A97"/>
      <c r="B97"/>
      <c r="C97"/>
      <c r="D97"/>
      <c r="E97"/>
      <c r="F97"/>
      <c r="G97"/>
      <c r="H97"/>
      <c r="I97"/>
      <c r="J97"/>
      <c r="K97"/>
      <c r="L97"/>
      <c r="M97"/>
      <c r="N97"/>
      <c r="O97"/>
      <c r="P97"/>
    </row>
    <row r="98" spans="1:16" s="14" customFormat="1" x14ac:dyDescent="0.25">
      <c r="A98"/>
      <c r="B98"/>
      <c r="C98"/>
      <c r="D98"/>
      <c r="E98"/>
      <c r="F98"/>
      <c r="G98"/>
      <c r="H98"/>
      <c r="I98"/>
      <c r="J98"/>
      <c r="K98"/>
      <c r="L98"/>
      <c r="M98"/>
      <c r="N98"/>
      <c r="O98"/>
      <c r="P98"/>
    </row>
    <row r="99" spans="1:16" s="14" customFormat="1" x14ac:dyDescent="0.25">
      <c r="A99"/>
      <c r="B99"/>
      <c r="C99"/>
      <c r="D99"/>
      <c r="E99"/>
      <c r="F99"/>
      <c r="G99"/>
      <c r="H99"/>
      <c r="I99"/>
      <c r="J99"/>
      <c r="K99"/>
      <c r="L99"/>
      <c r="M99"/>
      <c r="N99"/>
      <c r="O99"/>
      <c r="P99"/>
    </row>
    <row r="100" spans="1:16" s="14" customFormat="1" x14ac:dyDescent="0.25">
      <c r="A100"/>
      <c r="B100"/>
      <c r="C100"/>
      <c r="D100"/>
      <c r="E100"/>
      <c r="F100"/>
      <c r="G100"/>
      <c r="H100"/>
      <c r="I100"/>
      <c r="J100"/>
      <c r="K100"/>
      <c r="L100"/>
      <c r="M100"/>
      <c r="N100"/>
      <c r="O100"/>
      <c r="P100"/>
    </row>
    <row r="101" spans="1:16" s="14" customFormat="1" x14ac:dyDescent="0.25">
      <c r="A101"/>
      <c r="B101"/>
      <c r="C101"/>
      <c r="D101"/>
      <c r="E101"/>
      <c r="F101"/>
      <c r="G101"/>
      <c r="H101"/>
      <c r="I101"/>
      <c r="J101"/>
      <c r="K101"/>
      <c r="L101"/>
      <c r="M101"/>
      <c r="N101"/>
      <c r="O101"/>
      <c r="P101"/>
    </row>
    <row r="102" spans="1:16" s="14" customFormat="1" x14ac:dyDescent="0.25">
      <c r="A102"/>
      <c r="B102"/>
      <c r="C102"/>
      <c r="D102"/>
      <c r="E102"/>
      <c r="F102"/>
      <c r="G102"/>
      <c r="H102"/>
      <c r="I102"/>
      <c r="J102"/>
      <c r="K102"/>
      <c r="L102"/>
      <c r="M102"/>
      <c r="N102"/>
      <c r="O102"/>
      <c r="P102"/>
    </row>
    <row r="103" spans="1:16" s="14" customFormat="1" x14ac:dyDescent="0.25">
      <c r="A103"/>
      <c r="B103"/>
      <c r="C103"/>
      <c r="D103"/>
      <c r="E103"/>
      <c r="F103"/>
      <c r="G103"/>
      <c r="H103"/>
      <c r="I103"/>
      <c r="J103"/>
      <c r="K103"/>
      <c r="L103"/>
      <c r="M103"/>
      <c r="N103"/>
      <c r="O103"/>
      <c r="P103"/>
    </row>
    <row r="104" spans="1:16" s="14" customFormat="1" x14ac:dyDescent="0.25">
      <c r="A104"/>
      <c r="B104"/>
      <c r="C104"/>
      <c r="D104"/>
      <c r="E104"/>
      <c r="F104"/>
      <c r="G104"/>
      <c r="H104"/>
      <c r="I104"/>
      <c r="J104"/>
      <c r="K104"/>
      <c r="L104"/>
      <c r="M104"/>
      <c r="N104"/>
      <c r="O104"/>
      <c r="P104"/>
    </row>
    <row r="105" spans="1:16" s="14" customFormat="1" x14ac:dyDescent="0.25">
      <c r="A105"/>
      <c r="B105"/>
      <c r="C105"/>
      <c r="D105"/>
      <c r="E105"/>
      <c r="F105"/>
      <c r="G105"/>
      <c r="H105"/>
      <c r="I105"/>
      <c r="J105"/>
      <c r="K105"/>
      <c r="L105"/>
      <c r="M105"/>
      <c r="N105"/>
      <c r="O105"/>
      <c r="P105"/>
    </row>
    <row r="106" spans="1:16" s="14" customFormat="1" x14ac:dyDescent="0.25">
      <c r="A106"/>
      <c r="B106"/>
      <c r="C106"/>
      <c r="D106"/>
      <c r="E106"/>
      <c r="F106"/>
      <c r="G106"/>
      <c r="H106"/>
      <c r="I106"/>
      <c r="J106"/>
      <c r="K106"/>
      <c r="L106"/>
      <c r="M106"/>
      <c r="N106"/>
      <c r="O106"/>
      <c r="P106"/>
    </row>
    <row r="107" spans="1:16" s="14" customFormat="1" x14ac:dyDescent="0.25">
      <c r="A107"/>
      <c r="B107"/>
      <c r="C107"/>
      <c r="D107"/>
      <c r="E107"/>
      <c r="F107"/>
      <c r="G107"/>
      <c r="H107"/>
      <c r="I107"/>
      <c r="J107"/>
      <c r="K107"/>
      <c r="L107"/>
      <c r="M107"/>
      <c r="N107"/>
      <c r="O107"/>
      <c r="P107"/>
    </row>
    <row r="108" spans="1:16" s="14" customFormat="1" x14ac:dyDescent="0.25">
      <c r="A108"/>
      <c r="B108"/>
      <c r="C108"/>
      <c r="D108"/>
      <c r="E108"/>
      <c r="F108"/>
      <c r="G108"/>
      <c r="H108"/>
      <c r="I108"/>
      <c r="J108"/>
      <c r="K108"/>
      <c r="L108"/>
      <c r="M108"/>
      <c r="N108"/>
      <c r="O108"/>
      <c r="P108"/>
    </row>
    <row r="109" spans="1:16" s="14" customFormat="1" x14ac:dyDescent="0.25">
      <c r="A109"/>
      <c r="B109"/>
      <c r="C109"/>
      <c r="D109"/>
      <c r="E109"/>
      <c r="F109"/>
      <c r="G109"/>
      <c r="H109"/>
      <c r="I109"/>
      <c r="J109"/>
      <c r="K109"/>
      <c r="L109"/>
      <c r="M109"/>
      <c r="N109"/>
      <c r="O109"/>
      <c r="P109"/>
    </row>
    <row r="110" spans="1:16" s="14" customFormat="1" x14ac:dyDescent="0.25">
      <c r="A110"/>
      <c r="B110"/>
      <c r="C110"/>
      <c r="D110"/>
      <c r="E110"/>
      <c r="F110"/>
      <c r="G110"/>
      <c r="H110"/>
      <c r="I110"/>
      <c r="J110"/>
      <c r="K110"/>
      <c r="L110"/>
      <c r="M110"/>
      <c r="N110"/>
      <c r="O110"/>
      <c r="P110"/>
    </row>
    <row r="111" spans="1:16" s="14" customFormat="1" x14ac:dyDescent="0.25">
      <c r="A111"/>
      <c r="B111"/>
      <c r="C111"/>
      <c r="D111"/>
      <c r="E111"/>
      <c r="F111"/>
      <c r="G111"/>
      <c r="H111"/>
      <c r="I111"/>
      <c r="J111"/>
      <c r="K111"/>
      <c r="L111"/>
      <c r="M111"/>
      <c r="N111"/>
      <c r="O111"/>
      <c r="P111"/>
    </row>
    <row r="112" spans="1:16" s="14" customFormat="1" x14ac:dyDescent="0.25">
      <c r="A112"/>
      <c r="B112"/>
      <c r="C112"/>
      <c r="D112"/>
      <c r="E112"/>
      <c r="F112"/>
      <c r="G112"/>
      <c r="H112"/>
      <c r="I112"/>
      <c r="J112"/>
      <c r="K112"/>
      <c r="L112"/>
      <c r="M112"/>
      <c r="N112"/>
      <c r="O112"/>
      <c r="P112"/>
    </row>
    <row r="113" spans="1:16" s="14" customFormat="1" x14ac:dyDescent="0.25">
      <c r="A113"/>
      <c r="B113"/>
      <c r="C113"/>
      <c r="D113"/>
      <c r="E113"/>
      <c r="F113"/>
      <c r="G113"/>
      <c r="H113"/>
      <c r="I113"/>
      <c r="J113"/>
      <c r="K113"/>
      <c r="L113"/>
      <c r="M113"/>
      <c r="N113"/>
      <c r="O113"/>
      <c r="P113"/>
    </row>
    <row r="114" spans="1:16" s="14" customFormat="1" x14ac:dyDescent="0.25">
      <c r="A114"/>
      <c r="B114"/>
      <c r="C114"/>
      <c r="D114"/>
      <c r="E114"/>
      <c r="F114"/>
      <c r="G114"/>
      <c r="H114"/>
      <c r="I114"/>
      <c r="J114"/>
      <c r="K114"/>
      <c r="L114"/>
      <c r="M114"/>
      <c r="N114"/>
      <c r="O114"/>
      <c r="P114"/>
    </row>
    <row r="115" spans="1:16" s="14" customFormat="1" x14ac:dyDescent="0.25">
      <c r="A115"/>
      <c r="B115"/>
      <c r="C115"/>
      <c r="D115"/>
      <c r="E115"/>
      <c r="F115"/>
      <c r="G115"/>
      <c r="H115"/>
      <c r="I115"/>
      <c r="J115"/>
      <c r="K115"/>
      <c r="L115"/>
      <c r="M115"/>
      <c r="N115"/>
      <c r="O115"/>
      <c r="P115"/>
    </row>
    <row r="116" spans="1:16" s="14" customFormat="1" x14ac:dyDescent="0.25">
      <c r="A116"/>
      <c r="B116"/>
      <c r="C116"/>
      <c r="D116"/>
      <c r="E116"/>
      <c r="F116"/>
      <c r="G116"/>
      <c r="H116"/>
      <c r="I116"/>
      <c r="J116"/>
      <c r="K116"/>
      <c r="L116"/>
      <c r="M116"/>
      <c r="N116"/>
      <c r="O116"/>
      <c r="P116"/>
    </row>
    <row r="117" spans="1:16" s="14" customFormat="1" x14ac:dyDescent="0.25">
      <c r="A117"/>
      <c r="B117"/>
      <c r="C117"/>
      <c r="D117"/>
      <c r="E117"/>
      <c r="F117"/>
      <c r="G117"/>
      <c r="H117"/>
      <c r="I117"/>
      <c r="J117"/>
      <c r="K117"/>
      <c r="L117"/>
      <c r="M117"/>
      <c r="N117"/>
      <c r="O117"/>
      <c r="P117"/>
    </row>
    <row r="118" spans="1:16" s="14" customFormat="1" x14ac:dyDescent="0.25">
      <c r="A118"/>
      <c r="B118"/>
      <c r="C118"/>
      <c r="D118"/>
      <c r="E118"/>
      <c r="F118"/>
      <c r="G118"/>
      <c r="H118"/>
      <c r="I118"/>
      <c r="J118"/>
      <c r="K118"/>
      <c r="L118"/>
      <c r="M118"/>
      <c r="N118"/>
      <c r="O118"/>
      <c r="P118"/>
    </row>
    <row r="119" spans="1:16" s="14" customFormat="1" x14ac:dyDescent="0.25">
      <c r="A119"/>
      <c r="B119"/>
      <c r="C119"/>
      <c r="D119"/>
      <c r="E119"/>
      <c r="F119"/>
      <c r="G119"/>
      <c r="H119"/>
      <c r="I119"/>
      <c r="J119"/>
      <c r="K119"/>
      <c r="L119"/>
      <c r="M119"/>
      <c r="N119"/>
      <c r="O119"/>
      <c r="P119"/>
    </row>
    <row r="120" spans="1:16" s="14" customFormat="1" x14ac:dyDescent="0.25">
      <c r="A120"/>
      <c r="B120"/>
      <c r="C120"/>
      <c r="D120"/>
      <c r="E120"/>
      <c r="F120"/>
      <c r="G120"/>
      <c r="H120"/>
      <c r="I120"/>
      <c r="J120"/>
      <c r="K120"/>
      <c r="L120"/>
      <c r="M120"/>
      <c r="N120"/>
      <c r="O120"/>
      <c r="P120"/>
    </row>
    <row r="121" spans="1:16" s="14" customFormat="1" x14ac:dyDescent="0.25">
      <c r="A121"/>
      <c r="B121"/>
      <c r="C121"/>
      <c r="D121"/>
      <c r="E121"/>
      <c r="F121"/>
      <c r="G121"/>
      <c r="H121"/>
      <c r="I121"/>
      <c r="J121"/>
      <c r="K121"/>
      <c r="L121"/>
      <c r="M121"/>
      <c r="N121"/>
      <c r="O121"/>
      <c r="P121"/>
    </row>
    <row r="122" spans="1:16" s="14" customFormat="1" x14ac:dyDescent="0.25">
      <c r="A122"/>
      <c r="B122"/>
      <c r="C122"/>
      <c r="D122"/>
      <c r="E122"/>
      <c r="F122"/>
      <c r="G122"/>
      <c r="H122"/>
      <c r="I122"/>
      <c r="J122"/>
      <c r="K122"/>
      <c r="L122"/>
      <c r="M122"/>
      <c r="N122"/>
      <c r="O122"/>
      <c r="P122"/>
    </row>
    <row r="123" spans="1:16" s="14" customFormat="1" x14ac:dyDescent="0.25">
      <c r="A123"/>
      <c r="B123"/>
      <c r="C123"/>
      <c r="D123"/>
      <c r="E123"/>
      <c r="F123"/>
      <c r="G123"/>
      <c r="H123"/>
      <c r="I123"/>
      <c r="J123"/>
      <c r="K123"/>
      <c r="L123"/>
      <c r="M123"/>
      <c r="N123"/>
      <c r="O123"/>
      <c r="P123"/>
    </row>
    <row r="124" spans="1:16" s="14" customFormat="1" x14ac:dyDescent="0.25">
      <c r="A124"/>
      <c r="B124"/>
      <c r="C124"/>
      <c r="D124"/>
      <c r="E124"/>
      <c r="F124"/>
      <c r="G124"/>
      <c r="H124"/>
      <c r="I124"/>
      <c r="J124"/>
      <c r="K124"/>
      <c r="L124"/>
      <c r="M124"/>
      <c r="N124"/>
      <c r="O124"/>
      <c r="P124"/>
    </row>
    <row r="125" spans="1:16" s="14" customFormat="1" x14ac:dyDescent="0.25">
      <c r="A125"/>
      <c r="B125"/>
      <c r="C125"/>
      <c r="D125"/>
      <c r="E125"/>
      <c r="F125"/>
      <c r="G125"/>
      <c r="H125"/>
      <c r="I125"/>
      <c r="J125"/>
      <c r="K125"/>
      <c r="L125"/>
      <c r="M125"/>
      <c r="N125"/>
      <c r="O125"/>
      <c r="P125"/>
    </row>
    <row r="126" spans="1:16" s="14" customFormat="1" x14ac:dyDescent="0.25">
      <c r="A126"/>
      <c r="B126"/>
      <c r="C126"/>
      <c r="D126"/>
      <c r="E126"/>
      <c r="F126"/>
      <c r="G126"/>
      <c r="H126"/>
      <c r="I126"/>
      <c r="J126"/>
      <c r="K126"/>
      <c r="L126"/>
      <c r="M126"/>
      <c r="N126"/>
      <c r="O126"/>
      <c r="P126"/>
    </row>
    <row r="127" spans="1:16" s="14" customFormat="1" x14ac:dyDescent="0.25">
      <c r="A127"/>
      <c r="B127"/>
      <c r="C127"/>
      <c r="D127"/>
      <c r="E127"/>
      <c r="F127"/>
      <c r="G127"/>
      <c r="H127"/>
      <c r="I127"/>
      <c r="J127"/>
      <c r="K127"/>
      <c r="L127"/>
      <c r="M127"/>
      <c r="N127"/>
      <c r="O127"/>
      <c r="P127"/>
    </row>
    <row r="128" spans="1:16" s="14" customFormat="1" x14ac:dyDescent="0.25">
      <c r="A128"/>
      <c r="B128"/>
      <c r="C128"/>
      <c r="D128"/>
      <c r="E128"/>
      <c r="F128"/>
      <c r="G128"/>
      <c r="H128"/>
      <c r="I128"/>
      <c r="J128"/>
      <c r="K128"/>
      <c r="L128"/>
      <c r="M128"/>
      <c r="N128"/>
      <c r="O128"/>
      <c r="P128"/>
    </row>
    <row r="129" spans="1:16" s="14" customFormat="1" x14ac:dyDescent="0.25">
      <c r="A129"/>
      <c r="B129"/>
      <c r="C129"/>
      <c r="D129"/>
      <c r="E129"/>
      <c r="F129"/>
      <c r="G129"/>
      <c r="H129"/>
      <c r="I129"/>
      <c r="J129"/>
      <c r="K129"/>
      <c r="L129"/>
      <c r="M129"/>
      <c r="N129"/>
      <c r="O129"/>
      <c r="P129"/>
    </row>
    <row r="130" spans="1:16" s="14" customFormat="1" x14ac:dyDescent="0.25">
      <c r="A130"/>
      <c r="B130"/>
      <c r="C130"/>
      <c r="D130"/>
      <c r="E130"/>
      <c r="F130"/>
      <c r="G130"/>
      <c r="H130"/>
      <c r="I130"/>
      <c r="J130"/>
      <c r="K130"/>
      <c r="L130"/>
      <c r="M130"/>
      <c r="N130"/>
      <c r="O130"/>
      <c r="P130"/>
    </row>
    <row r="131" spans="1:16" s="14" customFormat="1" x14ac:dyDescent="0.25">
      <c r="A131"/>
      <c r="B131"/>
      <c r="C131"/>
      <c r="D131"/>
      <c r="E131"/>
      <c r="F131"/>
      <c r="G131"/>
      <c r="H131"/>
      <c r="I131"/>
      <c r="J131"/>
      <c r="K131"/>
      <c r="L131"/>
      <c r="M131"/>
      <c r="N131"/>
      <c r="O131"/>
      <c r="P131"/>
    </row>
    <row r="132" spans="1:16" s="14" customFormat="1" x14ac:dyDescent="0.25">
      <c r="A132"/>
      <c r="B132"/>
      <c r="C132"/>
      <c r="D132"/>
      <c r="E132"/>
      <c r="F132"/>
      <c r="G132"/>
      <c r="H132"/>
      <c r="I132"/>
      <c r="J132"/>
      <c r="K132"/>
      <c r="L132"/>
      <c r="M132"/>
      <c r="N132"/>
      <c r="O132"/>
      <c r="P132"/>
    </row>
    <row r="133" spans="1:16" s="14" customFormat="1" x14ac:dyDescent="0.25">
      <c r="A133"/>
      <c r="B133"/>
      <c r="C133"/>
      <c r="D133"/>
      <c r="E133"/>
      <c r="F133"/>
      <c r="G133"/>
      <c r="H133"/>
      <c r="I133"/>
      <c r="J133"/>
      <c r="K133"/>
      <c r="L133"/>
      <c r="M133"/>
      <c r="N133"/>
      <c r="O133"/>
      <c r="P133"/>
    </row>
    <row r="134" spans="1:16" s="14" customFormat="1" x14ac:dyDescent="0.25">
      <c r="A134"/>
      <c r="B134"/>
      <c r="C134"/>
      <c r="D134"/>
      <c r="E134"/>
      <c r="F134"/>
      <c r="G134"/>
      <c r="H134"/>
      <c r="I134"/>
      <c r="J134"/>
      <c r="K134"/>
      <c r="L134"/>
      <c r="M134"/>
      <c r="N134"/>
      <c r="O134"/>
      <c r="P134"/>
    </row>
    <row r="135" spans="1:16" s="14" customFormat="1" x14ac:dyDescent="0.25">
      <c r="A135"/>
      <c r="B135"/>
      <c r="C135"/>
      <c r="D135"/>
      <c r="E135"/>
      <c r="F135"/>
      <c r="G135"/>
      <c r="H135"/>
      <c r="I135"/>
      <c r="J135"/>
      <c r="K135"/>
      <c r="L135"/>
      <c r="M135"/>
      <c r="N135"/>
      <c r="O135"/>
      <c r="P135"/>
    </row>
    <row r="136" spans="1:16" s="14" customFormat="1" x14ac:dyDescent="0.25">
      <c r="A136"/>
      <c r="B136"/>
      <c r="C136"/>
      <c r="D136"/>
      <c r="E136"/>
      <c r="F136"/>
      <c r="G136"/>
      <c r="H136"/>
      <c r="I136"/>
      <c r="J136"/>
      <c r="K136"/>
      <c r="L136"/>
      <c r="M136"/>
      <c r="N136"/>
      <c r="O136"/>
      <c r="P136"/>
    </row>
    <row r="137" spans="1:16" s="14" customFormat="1" x14ac:dyDescent="0.25">
      <c r="A137"/>
      <c r="B137"/>
      <c r="C137"/>
      <c r="D137"/>
      <c r="E137"/>
      <c r="F137"/>
      <c r="G137"/>
      <c r="H137"/>
      <c r="I137"/>
      <c r="J137"/>
      <c r="K137"/>
      <c r="L137"/>
      <c r="M137"/>
      <c r="N137"/>
      <c r="O137"/>
      <c r="P137"/>
    </row>
    <row r="138" spans="1:16" s="14" customFormat="1" x14ac:dyDescent="0.25">
      <c r="A138"/>
      <c r="B138"/>
      <c r="C138"/>
      <c r="D138"/>
      <c r="E138"/>
      <c r="F138"/>
      <c r="G138"/>
      <c r="H138"/>
      <c r="I138"/>
      <c r="J138"/>
      <c r="K138"/>
      <c r="L138"/>
      <c r="M138"/>
      <c r="N138"/>
      <c r="O138"/>
      <c r="P138"/>
    </row>
    <row r="139" spans="1:16" s="14" customFormat="1" x14ac:dyDescent="0.25">
      <c r="A139"/>
      <c r="B139"/>
      <c r="C139"/>
      <c r="D139"/>
      <c r="E139"/>
      <c r="F139"/>
      <c r="G139"/>
      <c r="H139"/>
      <c r="I139"/>
      <c r="J139"/>
      <c r="K139"/>
      <c r="L139"/>
      <c r="M139"/>
      <c r="N139"/>
      <c r="O139"/>
      <c r="P139"/>
    </row>
    <row r="140" spans="1:16" s="14" customFormat="1" x14ac:dyDescent="0.25">
      <c r="A140"/>
      <c r="B140"/>
      <c r="C140"/>
      <c r="D140"/>
      <c r="E140"/>
      <c r="F140"/>
      <c r="G140"/>
      <c r="H140"/>
      <c r="I140"/>
      <c r="J140"/>
      <c r="K140"/>
      <c r="L140"/>
      <c r="M140"/>
      <c r="N140"/>
      <c r="O140"/>
      <c r="P140"/>
    </row>
    <row r="141" spans="1:16" s="14" customFormat="1" x14ac:dyDescent="0.25">
      <c r="A141"/>
      <c r="B141"/>
      <c r="C141"/>
      <c r="D141"/>
      <c r="E141"/>
      <c r="F141"/>
      <c r="G141"/>
      <c r="H141"/>
      <c r="I141"/>
      <c r="J141"/>
      <c r="K141"/>
      <c r="L141"/>
      <c r="M141"/>
      <c r="N141"/>
      <c r="O141"/>
      <c r="P141"/>
    </row>
    <row r="142" spans="1:16" s="14" customFormat="1" x14ac:dyDescent="0.25">
      <c r="A142"/>
      <c r="B142"/>
      <c r="C142"/>
      <c r="D142"/>
      <c r="E142"/>
      <c r="F142"/>
      <c r="G142"/>
      <c r="H142"/>
      <c r="I142"/>
      <c r="J142"/>
      <c r="K142"/>
      <c r="L142"/>
      <c r="M142"/>
      <c r="N142"/>
      <c r="O142"/>
      <c r="P142"/>
    </row>
    <row r="143" spans="1:16" s="14" customFormat="1" x14ac:dyDescent="0.25">
      <c r="A143"/>
      <c r="B143"/>
      <c r="C143"/>
      <c r="D143"/>
      <c r="E143"/>
      <c r="F143"/>
      <c r="G143"/>
      <c r="H143"/>
      <c r="I143"/>
      <c r="J143"/>
      <c r="K143"/>
      <c r="L143"/>
      <c r="M143"/>
      <c r="N143"/>
      <c r="O143"/>
      <c r="P143"/>
    </row>
    <row r="144" spans="1:16" s="14" customFormat="1" x14ac:dyDescent="0.25">
      <c r="A144"/>
      <c r="B144"/>
      <c r="C144"/>
      <c r="D144"/>
      <c r="E144"/>
      <c r="F144"/>
      <c r="G144"/>
      <c r="H144"/>
      <c r="I144"/>
      <c r="J144"/>
      <c r="K144"/>
      <c r="L144"/>
      <c r="M144"/>
      <c r="N144"/>
      <c r="O144"/>
      <c r="P144"/>
    </row>
    <row r="145" spans="1:16" s="14" customFormat="1" x14ac:dyDescent="0.25">
      <c r="A145"/>
      <c r="B145"/>
      <c r="C145"/>
      <c r="D145"/>
      <c r="E145"/>
      <c r="F145"/>
      <c r="G145"/>
      <c r="H145"/>
      <c r="I145"/>
      <c r="J145"/>
      <c r="K145"/>
      <c r="L145"/>
      <c r="M145"/>
      <c r="N145"/>
      <c r="O145"/>
      <c r="P145"/>
    </row>
    <row r="146" spans="1:16" s="14" customFormat="1" x14ac:dyDescent="0.25">
      <c r="A146"/>
      <c r="B146"/>
      <c r="C146"/>
      <c r="D146"/>
      <c r="E146"/>
      <c r="F146"/>
      <c r="G146"/>
      <c r="H146"/>
      <c r="I146"/>
      <c r="J146"/>
      <c r="K146"/>
      <c r="L146"/>
      <c r="M146"/>
      <c r="N146"/>
      <c r="O146"/>
      <c r="P146"/>
    </row>
    <row r="147" spans="1:16" s="14" customFormat="1" x14ac:dyDescent="0.25">
      <c r="A147"/>
      <c r="B147"/>
      <c r="C147"/>
      <c r="D147"/>
      <c r="E147"/>
      <c r="F147"/>
      <c r="G147"/>
      <c r="H147"/>
      <c r="I147"/>
      <c r="J147"/>
      <c r="K147"/>
      <c r="L147"/>
      <c r="M147"/>
      <c r="N147"/>
      <c r="O147"/>
      <c r="P147"/>
    </row>
    <row r="148" spans="1:16" s="14" customFormat="1" x14ac:dyDescent="0.25">
      <c r="A148"/>
      <c r="B148"/>
      <c r="C148"/>
      <c r="D148"/>
      <c r="E148"/>
      <c r="F148"/>
      <c r="G148"/>
      <c r="H148"/>
      <c r="I148"/>
      <c r="J148"/>
      <c r="K148"/>
      <c r="L148"/>
      <c r="M148"/>
      <c r="N148"/>
      <c r="O148"/>
      <c r="P148"/>
    </row>
    <row r="149" spans="1:16" s="14" customFormat="1" x14ac:dyDescent="0.25">
      <c r="A149"/>
      <c r="B149"/>
      <c r="C149"/>
      <c r="D149"/>
      <c r="E149"/>
      <c r="F149"/>
      <c r="G149"/>
      <c r="H149"/>
      <c r="I149"/>
      <c r="J149"/>
      <c r="K149"/>
      <c r="L149"/>
      <c r="M149"/>
      <c r="N149"/>
      <c r="O149"/>
      <c r="P149"/>
    </row>
    <row r="150" spans="1:16" s="14" customFormat="1" x14ac:dyDescent="0.25">
      <c r="A150"/>
      <c r="B150"/>
      <c r="C150"/>
      <c r="D150"/>
      <c r="E150"/>
      <c r="F150"/>
      <c r="G150"/>
      <c r="H150"/>
      <c r="I150"/>
      <c r="J150"/>
      <c r="K150"/>
      <c r="L150"/>
      <c r="M150"/>
      <c r="N150"/>
      <c r="O150"/>
      <c r="P150"/>
    </row>
    <row r="151" spans="1:16" s="14" customFormat="1" x14ac:dyDescent="0.25">
      <c r="A151"/>
      <c r="B151"/>
      <c r="C151"/>
      <c r="D151"/>
      <c r="E151"/>
      <c r="F151"/>
      <c r="G151"/>
      <c r="H151"/>
      <c r="I151"/>
      <c r="J151"/>
      <c r="K151"/>
      <c r="L151"/>
      <c r="M151"/>
      <c r="N151"/>
      <c r="O151"/>
      <c r="P151"/>
    </row>
    <row r="152" spans="1:16" s="14" customFormat="1" x14ac:dyDescent="0.25">
      <c r="A152"/>
      <c r="B152"/>
      <c r="C152"/>
      <c r="D152"/>
      <c r="E152"/>
      <c r="F152"/>
      <c r="G152"/>
      <c r="H152"/>
      <c r="I152"/>
      <c r="J152"/>
      <c r="K152"/>
      <c r="L152"/>
      <c r="M152"/>
      <c r="N152"/>
      <c r="O152"/>
      <c r="P152"/>
    </row>
    <row r="153" spans="1:16" s="14" customFormat="1" x14ac:dyDescent="0.25">
      <c r="A153"/>
      <c r="B153"/>
      <c r="C153"/>
      <c r="D153"/>
      <c r="E153"/>
      <c r="F153"/>
      <c r="G153"/>
      <c r="H153"/>
      <c r="I153"/>
      <c r="J153"/>
      <c r="K153"/>
      <c r="L153"/>
      <c r="M153"/>
      <c r="N153"/>
      <c r="O153"/>
      <c r="P153"/>
    </row>
    <row r="154" spans="1:16" s="14" customFormat="1" x14ac:dyDescent="0.25">
      <c r="A154"/>
      <c r="B154"/>
      <c r="C154"/>
      <c r="D154"/>
      <c r="E154"/>
      <c r="F154"/>
      <c r="G154"/>
      <c r="H154"/>
      <c r="I154"/>
      <c r="J154"/>
      <c r="K154"/>
      <c r="L154"/>
      <c r="M154"/>
      <c r="N154"/>
      <c r="O154"/>
      <c r="P154"/>
    </row>
    <row r="155" spans="1:16" s="14" customFormat="1" x14ac:dyDescent="0.25">
      <c r="A155"/>
      <c r="B155"/>
      <c r="C155"/>
      <c r="D155"/>
      <c r="E155"/>
      <c r="F155"/>
      <c r="G155"/>
      <c r="H155"/>
      <c r="I155"/>
      <c r="J155"/>
      <c r="K155"/>
      <c r="L155"/>
      <c r="M155"/>
      <c r="N155"/>
      <c r="O155"/>
      <c r="P155"/>
    </row>
    <row r="156" spans="1:16" s="14" customFormat="1" x14ac:dyDescent="0.25">
      <c r="A156"/>
      <c r="B156"/>
      <c r="C156"/>
      <c r="D156"/>
      <c r="E156"/>
      <c r="F156"/>
      <c r="G156"/>
      <c r="H156"/>
      <c r="I156"/>
      <c r="J156"/>
      <c r="K156"/>
      <c r="L156"/>
      <c r="M156"/>
      <c r="N156"/>
      <c r="O156"/>
      <c r="P156"/>
    </row>
    <row r="157" spans="1:16" s="14" customFormat="1" x14ac:dyDescent="0.25">
      <c r="A157"/>
      <c r="B157"/>
      <c r="C157"/>
      <c r="D157"/>
      <c r="E157"/>
      <c r="F157"/>
      <c r="G157"/>
      <c r="H157"/>
      <c r="I157"/>
      <c r="J157"/>
      <c r="K157"/>
      <c r="L157"/>
      <c r="M157"/>
      <c r="N157"/>
      <c r="O157"/>
      <c r="P157"/>
    </row>
    <row r="158" spans="1:16" s="14" customFormat="1" x14ac:dyDescent="0.25">
      <c r="A158"/>
      <c r="B158"/>
      <c r="C158"/>
      <c r="D158"/>
      <c r="E158"/>
      <c r="F158"/>
      <c r="G158"/>
      <c r="H158"/>
      <c r="I158"/>
      <c r="J158"/>
      <c r="K158"/>
      <c r="L158"/>
      <c r="M158"/>
      <c r="N158"/>
      <c r="O158"/>
      <c r="P158"/>
    </row>
    <row r="159" spans="1:16" s="14" customFormat="1" x14ac:dyDescent="0.25">
      <c r="A159"/>
      <c r="B159"/>
      <c r="C159"/>
      <c r="D159"/>
      <c r="E159"/>
      <c r="F159"/>
      <c r="G159"/>
      <c r="H159"/>
      <c r="I159"/>
      <c r="J159"/>
      <c r="K159"/>
      <c r="L159"/>
      <c r="M159"/>
      <c r="N159"/>
      <c r="O159"/>
      <c r="P159"/>
    </row>
    <row r="160" spans="1:16" s="14" customFormat="1" x14ac:dyDescent="0.25">
      <c r="A160"/>
      <c r="B160"/>
      <c r="C160"/>
      <c r="D160"/>
      <c r="E160"/>
      <c r="F160"/>
      <c r="G160"/>
      <c r="H160"/>
      <c r="I160"/>
      <c r="J160"/>
      <c r="K160"/>
      <c r="L160"/>
      <c r="M160"/>
      <c r="N160"/>
      <c r="O160"/>
      <c r="P160"/>
    </row>
    <row r="161" spans="1:16" s="14" customFormat="1" x14ac:dyDescent="0.25">
      <c r="A161"/>
      <c r="B161"/>
      <c r="C161"/>
      <c r="D161"/>
      <c r="E161"/>
      <c r="F161"/>
      <c r="G161"/>
      <c r="H161"/>
      <c r="I161"/>
      <c r="J161"/>
      <c r="K161"/>
      <c r="L161"/>
      <c r="M161"/>
      <c r="N161"/>
      <c r="O161"/>
      <c r="P161"/>
    </row>
    <row r="162" spans="1:16" s="14" customFormat="1" x14ac:dyDescent="0.25">
      <c r="A162"/>
      <c r="B162"/>
      <c r="C162"/>
      <c r="D162"/>
      <c r="E162"/>
      <c r="F162"/>
      <c r="G162"/>
      <c r="H162"/>
      <c r="I162"/>
      <c r="J162"/>
      <c r="K162"/>
      <c r="L162"/>
      <c r="M162"/>
      <c r="N162"/>
      <c r="O162"/>
      <c r="P162"/>
    </row>
    <row r="163" spans="1:16" s="14" customFormat="1" x14ac:dyDescent="0.25">
      <c r="A163"/>
      <c r="B163"/>
      <c r="C163"/>
      <c r="D163"/>
      <c r="E163"/>
      <c r="F163"/>
      <c r="G163"/>
      <c r="H163"/>
      <c r="I163"/>
      <c r="J163"/>
      <c r="K163"/>
      <c r="L163"/>
      <c r="M163"/>
      <c r="N163"/>
      <c r="O163"/>
      <c r="P163"/>
    </row>
    <row r="164" spans="1:16" s="14" customFormat="1" x14ac:dyDescent="0.25">
      <c r="A164"/>
      <c r="B164"/>
      <c r="C164"/>
      <c r="D164"/>
      <c r="E164"/>
      <c r="F164"/>
      <c r="G164"/>
      <c r="H164"/>
      <c r="I164"/>
      <c r="J164"/>
      <c r="K164"/>
      <c r="L164"/>
      <c r="M164"/>
      <c r="N164"/>
      <c r="O164"/>
      <c r="P164"/>
    </row>
    <row r="165" spans="1:16" s="14" customFormat="1" x14ac:dyDescent="0.25">
      <c r="A165"/>
      <c r="B165"/>
      <c r="C165"/>
      <c r="D165"/>
      <c r="E165"/>
      <c r="F165"/>
      <c r="G165"/>
      <c r="H165"/>
      <c r="I165"/>
      <c r="J165"/>
      <c r="K165"/>
      <c r="L165"/>
      <c r="M165"/>
      <c r="N165"/>
      <c r="O165"/>
      <c r="P165"/>
    </row>
    <row r="166" spans="1:16" s="14" customFormat="1" x14ac:dyDescent="0.25">
      <c r="A166"/>
      <c r="B166"/>
      <c r="C166"/>
      <c r="D166"/>
      <c r="E166"/>
      <c r="F166"/>
      <c r="G166"/>
      <c r="H166"/>
      <c r="I166"/>
      <c r="J166"/>
      <c r="K166"/>
      <c r="L166"/>
      <c r="M166"/>
      <c r="N166"/>
      <c r="O166"/>
      <c r="P166"/>
    </row>
    <row r="167" spans="1:16" s="14" customFormat="1" x14ac:dyDescent="0.25">
      <c r="A167"/>
      <c r="B167"/>
      <c r="C167"/>
      <c r="D167"/>
      <c r="E167"/>
      <c r="F167"/>
      <c r="G167"/>
      <c r="H167"/>
      <c r="I167"/>
      <c r="J167"/>
      <c r="K167"/>
      <c r="L167"/>
      <c r="M167"/>
      <c r="N167"/>
      <c r="O167"/>
      <c r="P167"/>
    </row>
    <row r="168" spans="1:16" s="14" customFormat="1" x14ac:dyDescent="0.25">
      <c r="A168"/>
      <c r="B168"/>
      <c r="C168"/>
      <c r="D168"/>
      <c r="E168"/>
      <c r="F168"/>
      <c r="G168"/>
      <c r="H168"/>
      <c r="I168"/>
      <c r="J168"/>
      <c r="K168"/>
      <c r="L168"/>
      <c r="M168"/>
      <c r="N168"/>
      <c r="O168"/>
      <c r="P168"/>
    </row>
    <row r="169" spans="1:16" s="14" customFormat="1" x14ac:dyDescent="0.25">
      <c r="A169"/>
      <c r="B169"/>
      <c r="C169"/>
      <c r="D169"/>
      <c r="E169"/>
      <c r="F169"/>
      <c r="G169"/>
      <c r="H169"/>
      <c r="I169"/>
      <c r="J169"/>
      <c r="K169"/>
      <c r="L169"/>
      <c r="M169"/>
      <c r="N169"/>
      <c r="O169"/>
      <c r="P169"/>
    </row>
    <row r="170" spans="1:16" s="14" customFormat="1" x14ac:dyDescent="0.25">
      <c r="A170"/>
      <c r="B170"/>
      <c r="C170"/>
      <c r="D170"/>
      <c r="E170"/>
      <c r="F170"/>
      <c r="G170"/>
      <c r="H170"/>
      <c r="I170"/>
      <c r="J170"/>
      <c r="K170"/>
      <c r="L170"/>
      <c r="M170"/>
      <c r="N170"/>
      <c r="O170"/>
      <c r="P170"/>
    </row>
    <row r="171" spans="1:16" s="14" customFormat="1" x14ac:dyDescent="0.25">
      <c r="A171"/>
      <c r="B171"/>
      <c r="C171"/>
      <c r="D171"/>
      <c r="E171"/>
      <c r="F171"/>
      <c r="G171"/>
      <c r="H171"/>
      <c r="I171"/>
      <c r="J171"/>
      <c r="K171"/>
      <c r="L171"/>
      <c r="M171"/>
      <c r="N171"/>
      <c r="O171"/>
      <c r="P171"/>
    </row>
    <row r="172" spans="1:16" s="14" customFormat="1" x14ac:dyDescent="0.25">
      <c r="A172"/>
      <c r="B172"/>
      <c r="C172"/>
      <c r="D172"/>
      <c r="E172"/>
      <c r="F172"/>
      <c r="G172"/>
      <c r="H172"/>
      <c r="I172"/>
      <c r="J172"/>
      <c r="K172"/>
      <c r="L172"/>
      <c r="M172"/>
      <c r="N172"/>
      <c r="O172"/>
      <c r="P172"/>
    </row>
    <row r="173" spans="1:16" s="14" customFormat="1" x14ac:dyDescent="0.25">
      <c r="A173"/>
      <c r="B173"/>
      <c r="C173"/>
      <c r="D173"/>
      <c r="E173"/>
      <c r="F173"/>
      <c r="G173"/>
      <c r="H173"/>
      <c r="I173"/>
      <c r="J173"/>
      <c r="K173"/>
      <c r="L173"/>
      <c r="M173"/>
      <c r="N173"/>
      <c r="O173"/>
      <c r="P173"/>
    </row>
    <row r="174" spans="1:16" s="14" customFormat="1" x14ac:dyDescent="0.25">
      <c r="A174"/>
      <c r="B174"/>
      <c r="C174"/>
      <c r="D174"/>
      <c r="E174"/>
      <c r="F174"/>
      <c r="G174"/>
      <c r="H174"/>
      <c r="I174"/>
      <c r="J174"/>
      <c r="K174"/>
      <c r="L174"/>
      <c r="M174"/>
      <c r="N174"/>
      <c r="O174"/>
      <c r="P174"/>
    </row>
    <row r="175" spans="1:16" s="14" customFormat="1" x14ac:dyDescent="0.25">
      <c r="A175"/>
      <c r="B175"/>
      <c r="C175"/>
      <c r="D175"/>
      <c r="E175"/>
      <c r="F175"/>
      <c r="G175"/>
      <c r="H175"/>
      <c r="I175"/>
      <c r="J175"/>
      <c r="K175"/>
      <c r="L175"/>
      <c r="M175"/>
      <c r="N175"/>
      <c r="O175"/>
      <c r="P175"/>
    </row>
    <row r="176" spans="1:16" s="14" customFormat="1" x14ac:dyDescent="0.25">
      <c r="A176"/>
      <c r="B176"/>
      <c r="C176"/>
      <c r="D176"/>
      <c r="E176"/>
      <c r="F176"/>
      <c r="G176"/>
      <c r="H176"/>
      <c r="I176"/>
      <c r="J176"/>
      <c r="K176"/>
      <c r="L176"/>
      <c r="M176"/>
      <c r="N176"/>
      <c r="O176"/>
      <c r="P176"/>
    </row>
    <row r="177" spans="1:16" s="14" customFormat="1" x14ac:dyDescent="0.25">
      <c r="A177"/>
      <c r="B177"/>
      <c r="C177"/>
      <c r="D177"/>
      <c r="E177"/>
      <c r="F177"/>
      <c r="G177"/>
      <c r="H177"/>
      <c r="I177"/>
      <c r="J177"/>
      <c r="K177"/>
      <c r="L177"/>
      <c r="M177"/>
      <c r="N177"/>
      <c r="O177"/>
      <c r="P177"/>
    </row>
    <row r="178" spans="1:16" s="14" customFormat="1" x14ac:dyDescent="0.25">
      <c r="A178"/>
      <c r="B178"/>
      <c r="C178"/>
      <c r="D178"/>
      <c r="E178"/>
      <c r="F178"/>
      <c r="G178"/>
      <c r="H178"/>
      <c r="I178"/>
      <c r="J178"/>
      <c r="K178"/>
      <c r="L178"/>
      <c r="M178"/>
      <c r="N178"/>
      <c r="O178"/>
      <c r="P178"/>
    </row>
    <row r="179" spans="1:16" s="14" customFormat="1" x14ac:dyDescent="0.25">
      <c r="A179"/>
      <c r="B179"/>
      <c r="C179"/>
      <c r="D179"/>
      <c r="E179"/>
      <c r="F179"/>
      <c r="G179"/>
      <c r="H179"/>
      <c r="I179"/>
      <c r="J179"/>
      <c r="K179"/>
      <c r="L179"/>
      <c r="M179"/>
      <c r="N179"/>
      <c r="O179"/>
      <c r="P179"/>
    </row>
    <row r="180" spans="1:16" s="14" customFormat="1" x14ac:dyDescent="0.25">
      <c r="A180"/>
      <c r="B180"/>
      <c r="C180"/>
      <c r="D180"/>
      <c r="E180"/>
      <c r="F180"/>
      <c r="G180"/>
      <c r="H180"/>
      <c r="I180"/>
      <c r="J180"/>
      <c r="K180"/>
      <c r="L180"/>
      <c r="M180"/>
      <c r="N180"/>
      <c r="O180"/>
      <c r="P180"/>
    </row>
    <row r="181" spans="1:16" s="14" customFormat="1" x14ac:dyDescent="0.25">
      <c r="A181"/>
      <c r="B181"/>
      <c r="C181"/>
      <c r="D181"/>
      <c r="E181"/>
      <c r="F181"/>
      <c r="G181"/>
      <c r="H181"/>
      <c r="I181"/>
      <c r="J181"/>
      <c r="K181"/>
      <c r="L181"/>
      <c r="M181"/>
      <c r="N181"/>
      <c r="O181"/>
      <c r="P181"/>
    </row>
    <row r="182" spans="1:16" s="14" customFormat="1" x14ac:dyDescent="0.25">
      <c r="A182"/>
      <c r="B182"/>
      <c r="C182"/>
      <c r="D182"/>
      <c r="E182"/>
      <c r="F182"/>
      <c r="G182"/>
      <c r="H182"/>
      <c r="I182"/>
      <c r="J182"/>
      <c r="K182"/>
      <c r="L182"/>
      <c r="M182"/>
      <c r="N182"/>
      <c r="O182"/>
      <c r="P182"/>
    </row>
    <row r="183" spans="1:16" s="14" customFormat="1" x14ac:dyDescent="0.25">
      <c r="A183"/>
      <c r="B183"/>
      <c r="C183"/>
      <c r="D183"/>
      <c r="E183"/>
      <c r="F183"/>
      <c r="G183"/>
      <c r="H183"/>
      <c r="I183"/>
      <c r="J183"/>
      <c r="K183"/>
      <c r="L183"/>
      <c r="M183"/>
      <c r="N183"/>
      <c r="O183"/>
      <c r="P183"/>
    </row>
    <row r="184" spans="1:16" s="14" customFormat="1" x14ac:dyDescent="0.25">
      <c r="A184"/>
      <c r="B184"/>
      <c r="C184"/>
      <c r="D184"/>
      <c r="E184"/>
      <c r="F184"/>
      <c r="G184"/>
      <c r="H184"/>
      <c r="I184"/>
      <c r="J184"/>
      <c r="K184"/>
      <c r="L184"/>
      <c r="M184"/>
      <c r="N184"/>
      <c r="O184"/>
      <c r="P184"/>
    </row>
    <row r="185" spans="1:16" s="14" customFormat="1" x14ac:dyDescent="0.25">
      <c r="A185"/>
      <c r="B185"/>
      <c r="C185"/>
      <c r="D185"/>
      <c r="E185"/>
      <c r="F185"/>
      <c r="G185"/>
      <c r="H185"/>
      <c r="I185"/>
      <c r="J185"/>
      <c r="K185"/>
      <c r="L185"/>
      <c r="M185"/>
      <c r="N185"/>
      <c r="O185"/>
      <c r="P185"/>
    </row>
    <row r="186" spans="1:16" s="14" customFormat="1" x14ac:dyDescent="0.25">
      <c r="A186"/>
      <c r="B186"/>
      <c r="C186"/>
      <c r="D186"/>
      <c r="E186"/>
      <c r="F186"/>
      <c r="G186"/>
      <c r="H186"/>
      <c r="I186"/>
      <c r="J186"/>
      <c r="K186"/>
      <c r="L186"/>
      <c r="M186"/>
      <c r="N186"/>
      <c r="O186"/>
      <c r="P186"/>
    </row>
    <row r="187" spans="1:16" s="14" customFormat="1" x14ac:dyDescent="0.25">
      <c r="A187"/>
      <c r="B187"/>
      <c r="C187"/>
      <c r="D187"/>
      <c r="E187"/>
      <c r="F187"/>
      <c r="G187"/>
      <c r="H187"/>
      <c r="I187"/>
      <c r="J187"/>
      <c r="K187"/>
      <c r="L187"/>
      <c r="M187"/>
      <c r="N187"/>
      <c r="O187"/>
      <c r="P187"/>
    </row>
    <row r="188" spans="1:16" s="14" customFormat="1" x14ac:dyDescent="0.25">
      <c r="A188"/>
      <c r="B188"/>
      <c r="C188"/>
      <c r="D188"/>
      <c r="E188"/>
      <c r="F188"/>
      <c r="G188"/>
      <c r="H188"/>
      <c r="I188"/>
      <c r="J188"/>
      <c r="K188"/>
      <c r="L188"/>
      <c r="M188"/>
      <c r="N188"/>
      <c r="O188"/>
      <c r="P188"/>
    </row>
    <row r="189" spans="1:16" s="14" customFormat="1" x14ac:dyDescent="0.25">
      <c r="A189"/>
      <c r="B189"/>
      <c r="C189"/>
      <c r="D189"/>
      <c r="E189"/>
      <c r="F189"/>
      <c r="G189"/>
      <c r="H189"/>
      <c r="I189"/>
      <c r="J189"/>
      <c r="K189"/>
      <c r="L189"/>
      <c r="M189"/>
      <c r="N189"/>
      <c r="O189"/>
      <c r="P189"/>
    </row>
    <row r="190" spans="1:16" s="14" customFormat="1" x14ac:dyDescent="0.25">
      <c r="A190"/>
      <c r="B190"/>
      <c r="C190"/>
      <c r="D190"/>
      <c r="E190"/>
      <c r="F190"/>
      <c r="G190"/>
      <c r="H190"/>
      <c r="I190"/>
      <c r="J190"/>
      <c r="K190"/>
      <c r="L190"/>
      <c r="M190"/>
      <c r="N190"/>
      <c r="O190"/>
      <c r="P190"/>
    </row>
    <row r="191" spans="1:16" s="14" customFormat="1" x14ac:dyDescent="0.25">
      <c r="A191"/>
      <c r="B191"/>
      <c r="C191"/>
      <c r="D191"/>
      <c r="E191"/>
      <c r="F191"/>
      <c r="G191"/>
      <c r="H191"/>
      <c r="I191"/>
      <c r="J191"/>
      <c r="K191"/>
      <c r="L191"/>
      <c r="M191"/>
      <c r="N191"/>
      <c r="O191"/>
      <c r="P191"/>
    </row>
    <row r="192" spans="1:16" s="14" customFormat="1" x14ac:dyDescent="0.25">
      <c r="A192"/>
      <c r="B192"/>
      <c r="C192"/>
      <c r="D192"/>
      <c r="E192"/>
      <c r="F192"/>
      <c r="G192"/>
      <c r="H192"/>
      <c r="I192"/>
      <c r="J192"/>
      <c r="K192"/>
      <c r="L192"/>
      <c r="M192"/>
      <c r="N192"/>
      <c r="O192"/>
      <c r="P192"/>
    </row>
    <row r="193" spans="1:16" s="14" customFormat="1" x14ac:dyDescent="0.25">
      <c r="A193"/>
      <c r="B193"/>
      <c r="C193"/>
      <c r="D193"/>
      <c r="E193"/>
      <c r="F193"/>
      <c r="G193"/>
      <c r="H193"/>
      <c r="I193"/>
      <c r="J193"/>
      <c r="K193"/>
      <c r="L193"/>
      <c r="M193"/>
      <c r="N193"/>
      <c r="O193"/>
      <c r="P193"/>
    </row>
    <row r="194" spans="1:16" s="14" customFormat="1" x14ac:dyDescent="0.25">
      <c r="A194"/>
      <c r="B194"/>
      <c r="C194"/>
      <c r="D194"/>
      <c r="E194"/>
      <c r="F194"/>
      <c r="G194"/>
      <c r="H194"/>
      <c r="I194"/>
      <c r="J194"/>
      <c r="K194"/>
      <c r="L194"/>
      <c r="M194"/>
      <c r="N194"/>
      <c r="O194"/>
      <c r="P194"/>
    </row>
    <row r="195" spans="1:16" s="14" customFormat="1" x14ac:dyDescent="0.25">
      <c r="A195"/>
      <c r="B195"/>
      <c r="C195"/>
      <c r="D195"/>
      <c r="E195"/>
      <c r="F195"/>
      <c r="G195"/>
      <c r="H195"/>
      <c r="I195"/>
      <c r="J195"/>
      <c r="K195"/>
      <c r="L195"/>
      <c r="M195"/>
      <c r="N195"/>
      <c r="O195"/>
      <c r="P195"/>
    </row>
    <row r="196" spans="1:16" s="14" customFormat="1" x14ac:dyDescent="0.25">
      <c r="A196"/>
      <c r="B196"/>
      <c r="C196"/>
      <c r="D196"/>
      <c r="E196"/>
      <c r="F196"/>
      <c r="G196"/>
      <c r="H196"/>
      <c r="I196"/>
      <c r="J196"/>
      <c r="K196"/>
      <c r="L196"/>
      <c r="M196"/>
      <c r="N196"/>
      <c r="O196"/>
      <c r="P196"/>
    </row>
    <row r="197" spans="1:16" s="14" customFormat="1" x14ac:dyDescent="0.25">
      <c r="A197"/>
      <c r="B197"/>
      <c r="C197"/>
      <c r="D197"/>
      <c r="E197"/>
      <c r="F197"/>
      <c r="G197"/>
      <c r="H197"/>
      <c r="I197"/>
      <c r="J197"/>
      <c r="K197"/>
      <c r="L197"/>
      <c r="M197"/>
      <c r="N197"/>
      <c r="O197"/>
      <c r="P197"/>
    </row>
    <row r="198" spans="1:16" s="14" customFormat="1" x14ac:dyDescent="0.25">
      <c r="A198"/>
      <c r="B198"/>
      <c r="C198"/>
      <c r="D198"/>
      <c r="E198"/>
      <c r="F198"/>
      <c r="G198"/>
      <c r="H198"/>
      <c r="I198"/>
      <c r="J198"/>
      <c r="K198"/>
      <c r="L198"/>
      <c r="M198"/>
      <c r="N198"/>
      <c r="O198"/>
      <c r="P198"/>
    </row>
    <row r="199" spans="1:16" s="14" customFormat="1" x14ac:dyDescent="0.25">
      <c r="A199"/>
      <c r="B199"/>
      <c r="C199"/>
      <c r="D199"/>
      <c r="E199"/>
      <c r="F199"/>
      <c r="G199"/>
      <c r="H199"/>
      <c r="I199"/>
      <c r="J199"/>
      <c r="K199"/>
      <c r="L199"/>
      <c r="M199"/>
      <c r="N199"/>
      <c r="O199"/>
      <c r="P199"/>
    </row>
    <row r="200" spans="1:16" s="14" customFormat="1" x14ac:dyDescent="0.25">
      <c r="A200"/>
      <c r="B200"/>
      <c r="C200"/>
      <c r="D200"/>
      <c r="E200"/>
      <c r="F200"/>
      <c r="G200"/>
      <c r="H200"/>
      <c r="I200"/>
      <c r="J200"/>
      <c r="K200"/>
      <c r="L200"/>
      <c r="M200"/>
      <c r="N200"/>
      <c r="O200"/>
      <c r="P200"/>
    </row>
    <row r="201" spans="1:16" s="14" customFormat="1" x14ac:dyDescent="0.25">
      <c r="A201"/>
      <c r="B201"/>
      <c r="C201"/>
      <c r="D201"/>
      <c r="E201"/>
      <c r="F201"/>
      <c r="G201"/>
      <c r="H201"/>
      <c r="I201"/>
      <c r="J201"/>
      <c r="K201"/>
      <c r="L201"/>
      <c r="M201"/>
      <c r="N201"/>
      <c r="O201"/>
      <c r="P201"/>
    </row>
    <row r="202" spans="1:16" s="14" customFormat="1" x14ac:dyDescent="0.25">
      <c r="A202"/>
      <c r="B202"/>
      <c r="C202"/>
      <c r="D202"/>
      <c r="E202"/>
      <c r="F202"/>
      <c r="G202"/>
      <c r="H202"/>
      <c r="I202"/>
      <c r="J202"/>
      <c r="K202"/>
      <c r="L202"/>
      <c r="M202"/>
      <c r="N202"/>
      <c r="O202"/>
      <c r="P202"/>
    </row>
    <row r="203" spans="1:16" s="14" customFormat="1" x14ac:dyDescent="0.25">
      <c r="A203"/>
      <c r="B203"/>
      <c r="C203"/>
      <c r="D203"/>
      <c r="E203"/>
      <c r="F203"/>
      <c r="G203"/>
      <c r="H203"/>
      <c r="I203"/>
      <c r="J203"/>
      <c r="K203"/>
      <c r="L203"/>
      <c r="M203"/>
      <c r="N203"/>
      <c r="O203"/>
      <c r="P203"/>
    </row>
    <row r="204" spans="1:16" s="14" customFormat="1" x14ac:dyDescent="0.25">
      <c r="A204"/>
      <c r="B204"/>
      <c r="C204"/>
      <c r="D204"/>
      <c r="E204"/>
      <c r="F204"/>
      <c r="G204"/>
      <c r="H204"/>
      <c r="I204"/>
      <c r="J204"/>
      <c r="K204"/>
      <c r="L204"/>
      <c r="M204"/>
      <c r="N204"/>
      <c r="O204"/>
      <c r="P204"/>
    </row>
    <row r="205" spans="1:16" s="14" customFormat="1" x14ac:dyDescent="0.25">
      <c r="A205"/>
      <c r="B205"/>
      <c r="C205"/>
      <c r="D205"/>
      <c r="E205"/>
      <c r="F205"/>
      <c r="G205"/>
      <c r="H205"/>
      <c r="I205"/>
      <c r="J205"/>
      <c r="K205"/>
      <c r="L205"/>
      <c r="M205"/>
      <c r="N205"/>
      <c r="O205"/>
      <c r="P205"/>
    </row>
    <row r="206" spans="1:16" s="14" customFormat="1" x14ac:dyDescent="0.25">
      <c r="A206"/>
      <c r="B206"/>
      <c r="C206"/>
      <c r="D206"/>
      <c r="E206"/>
      <c r="F206"/>
      <c r="G206"/>
      <c r="H206"/>
      <c r="I206"/>
      <c r="J206"/>
      <c r="K206"/>
      <c r="L206"/>
      <c r="M206"/>
      <c r="N206"/>
      <c r="O206"/>
      <c r="P206"/>
    </row>
    <row r="207" spans="1:16" s="14" customFormat="1" x14ac:dyDescent="0.25">
      <c r="A207"/>
      <c r="B207"/>
      <c r="C207"/>
      <c r="D207"/>
      <c r="E207"/>
      <c r="F207"/>
      <c r="G207"/>
      <c r="H207"/>
      <c r="I207"/>
      <c r="J207"/>
      <c r="K207"/>
      <c r="L207"/>
      <c r="M207"/>
      <c r="N207"/>
      <c r="O207"/>
      <c r="P207"/>
    </row>
    <row r="208" spans="1:16" s="14" customFormat="1" x14ac:dyDescent="0.25">
      <c r="A208"/>
      <c r="B208"/>
      <c r="C208"/>
      <c r="D208"/>
      <c r="E208"/>
      <c r="F208"/>
      <c r="G208"/>
      <c r="H208"/>
      <c r="I208"/>
      <c r="J208"/>
      <c r="K208"/>
      <c r="L208"/>
      <c r="M208"/>
      <c r="N208"/>
      <c r="O208"/>
      <c r="P208"/>
    </row>
    <row r="209" spans="1:16" s="14" customFormat="1" x14ac:dyDescent="0.25">
      <c r="A209"/>
      <c r="B209"/>
      <c r="C209"/>
      <c r="D209"/>
      <c r="E209"/>
      <c r="F209"/>
      <c r="G209"/>
      <c r="H209"/>
      <c r="I209"/>
      <c r="J209"/>
      <c r="K209"/>
      <c r="L209"/>
      <c r="M209"/>
      <c r="N209"/>
      <c r="O209"/>
      <c r="P209"/>
    </row>
    <row r="210" spans="1:16" s="14" customFormat="1" x14ac:dyDescent="0.25">
      <c r="A210"/>
      <c r="B210"/>
      <c r="C210"/>
      <c r="D210"/>
      <c r="E210"/>
      <c r="F210"/>
      <c r="G210"/>
      <c r="H210"/>
      <c r="I210"/>
      <c r="J210"/>
      <c r="K210"/>
      <c r="L210"/>
      <c r="M210"/>
      <c r="N210"/>
      <c r="O210"/>
      <c r="P210"/>
    </row>
    <row r="211" spans="1:16" s="14" customFormat="1" x14ac:dyDescent="0.25">
      <c r="A211"/>
      <c r="B211"/>
      <c r="C211"/>
      <c r="D211"/>
      <c r="E211"/>
      <c r="F211"/>
      <c r="G211"/>
      <c r="H211"/>
      <c r="I211"/>
      <c r="J211"/>
      <c r="K211"/>
      <c r="L211"/>
      <c r="M211"/>
      <c r="N211"/>
      <c r="O211"/>
      <c r="P211"/>
    </row>
    <row r="212" spans="1:16" s="14" customFormat="1" x14ac:dyDescent="0.25">
      <c r="A212"/>
      <c r="B212"/>
      <c r="C212"/>
      <c r="D212"/>
      <c r="E212"/>
      <c r="F212"/>
      <c r="G212"/>
      <c r="H212"/>
      <c r="I212"/>
      <c r="J212"/>
      <c r="K212"/>
      <c r="L212"/>
      <c r="M212"/>
      <c r="N212"/>
      <c r="O212"/>
      <c r="P212"/>
    </row>
    <row r="213" spans="1:16" s="14" customFormat="1" x14ac:dyDescent="0.25">
      <c r="A213"/>
      <c r="B213"/>
      <c r="C213"/>
      <c r="D213"/>
      <c r="E213"/>
      <c r="F213"/>
      <c r="G213"/>
      <c r="H213"/>
      <c r="I213"/>
      <c r="J213"/>
      <c r="K213"/>
      <c r="L213"/>
      <c r="M213"/>
      <c r="N213"/>
      <c r="O213"/>
      <c r="P213"/>
    </row>
    <row r="214" spans="1:16" s="14" customFormat="1" x14ac:dyDescent="0.25">
      <c r="A214"/>
      <c r="B214"/>
      <c r="C214"/>
      <c r="D214"/>
      <c r="E214"/>
      <c r="F214"/>
      <c r="G214"/>
      <c r="H214"/>
      <c r="I214"/>
      <c r="J214"/>
      <c r="K214"/>
      <c r="L214"/>
      <c r="M214"/>
      <c r="N214"/>
      <c r="O214"/>
      <c r="P214"/>
    </row>
    <row r="215" spans="1:16" s="14" customFormat="1" x14ac:dyDescent="0.25">
      <c r="A215"/>
      <c r="B215"/>
      <c r="C215"/>
      <c r="D215"/>
      <c r="E215"/>
      <c r="F215"/>
      <c r="G215"/>
      <c r="H215"/>
      <c r="I215"/>
      <c r="J215"/>
      <c r="K215"/>
      <c r="L215"/>
      <c r="M215"/>
      <c r="N215"/>
      <c r="O215"/>
      <c r="P215"/>
    </row>
    <row r="216" spans="1:16" s="14" customFormat="1" x14ac:dyDescent="0.25">
      <c r="A216"/>
      <c r="B216"/>
      <c r="C216"/>
      <c r="D216"/>
      <c r="E216"/>
      <c r="F216"/>
      <c r="G216"/>
      <c r="H216"/>
      <c r="I216"/>
      <c r="J216"/>
      <c r="K216"/>
      <c r="L216"/>
      <c r="M216"/>
      <c r="N216"/>
      <c r="O216"/>
      <c r="P216"/>
    </row>
    <row r="217" spans="1:16" s="14" customFormat="1" x14ac:dyDescent="0.25">
      <c r="A217"/>
      <c r="B217"/>
      <c r="C217"/>
      <c r="D217"/>
      <c r="E217"/>
      <c r="F217"/>
      <c r="G217"/>
      <c r="H217"/>
      <c r="I217"/>
      <c r="J217"/>
      <c r="K217"/>
      <c r="L217"/>
      <c r="M217"/>
      <c r="N217"/>
      <c r="O217"/>
      <c r="P217"/>
    </row>
    <row r="218" spans="1:16" s="14" customFormat="1" x14ac:dyDescent="0.25">
      <c r="A218"/>
      <c r="B218"/>
      <c r="C218"/>
      <c r="D218"/>
      <c r="E218"/>
      <c r="F218"/>
      <c r="G218"/>
      <c r="H218"/>
      <c r="I218"/>
      <c r="J218"/>
      <c r="K218"/>
      <c r="L218"/>
      <c r="M218"/>
      <c r="N218"/>
      <c r="O218"/>
      <c r="P218"/>
    </row>
    <row r="219" spans="1:16" s="14" customFormat="1" x14ac:dyDescent="0.25">
      <c r="A219"/>
      <c r="B219"/>
      <c r="C219"/>
      <c r="D219"/>
      <c r="E219"/>
      <c r="F219"/>
      <c r="G219"/>
      <c r="H219"/>
      <c r="I219"/>
      <c r="J219"/>
      <c r="K219"/>
      <c r="L219"/>
      <c r="M219"/>
      <c r="N219"/>
      <c r="O219"/>
      <c r="P219"/>
    </row>
    <row r="220" spans="1:16" s="14" customFormat="1" x14ac:dyDescent="0.25">
      <c r="A220"/>
      <c r="B220"/>
      <c r="C220"/>
      <c r="D220"/>
      <c r="E220"/>
      <c r="F220"/>
      <c r="G220"/>
      <c r="H220"/>
      <c r="I220"/>
      <c r="J220"/>
      <c r="K220"/>
      <c r="L220"/>
      <c r="M220"/>
      <c r="N220"/>
      <c r="O220"/>
      <c r="P220"/>
    </row>
    <row r="221" spans="1:16" s="14" customFormat="1" x14ac:dyDescent="0.25">
      <c r="A221"/>
      <c r="B221"/>
      <c r="C221"/>
      <c r="D221"/>
      <c r="E221"/>
      <c r="F221"/>
      <c r="G221"/>
      <c r="H221"/>
      <c r="I221"/>
      <c r="J221"/>
      <c r="K221"/>
      <c r="L221"/>
      <c r="M221"/>
      <c r="N221"/>
      <c r="O221"/>
      <c r="P221"/>
    </row>
    <row r="222" spans="1:16" s="14" customFormat="1" x14ac:dyDescent="0.25">
      <c r="A222"/>
      <c r="B222"/>
      <c r="C222"/>
      <c r="D222"/>
      <c r="E222"/>
      <c r="F222"/>
      <c r="G222"/>
      <c r="H222"/>
      <c r="I222"/>
      <c r="J222"/>
      <c r="K222"/>
      <c r="L222"/>
      <c r="M222"/>
      <c r="N222"/>
      <c r="O222"/>
      <c r="P222"/>
    </row>
    <row r="223" spans="1:16" s="14" customFormat="1" x14ac:dyDescent="0.25">
      <c r="A223"/>
      <c r="B223"/>
      <c r="C223"/>
      <c r="D223"/>
      <c r="E223"/>
      <c r="F223"/>
      <c r="G223"/>
      <c r="H223"/>
      <c r="I223"/>
      <c r="J223"/>
      <c r="K223"/>
      <c r="L223"/>
      <c r="M223"/>
      <c r="N223"/>
      <c r="O223"/>
      <c r="P223"/>
    </row>
    <row r="224" spans="1:16" s="14" customFormat="1" x14ac:dyDescent="0.25">
      <c r="A224"/>
      <c r="B224"/>
      <c r="C224"/>
      <c r="D224"/>
      <c r="E224"/>
      <c r="F224"/>
      <c r="G224"/>
      <c r="H224"/>
      <c r="I224"/>
      <c r="J224"/>
      <c r="K224"/>
      <c r="L224"/>
      <c r="M224"/>
      <c r="N224"/>
      <c r="O224"/>
      <c r="P224"/>
    </row>
    <row r="225" spans="1:16" s="14" customFormat="1" x14ac:dyDescent="0.25">
      <c r="A225"/>
      <c r="B225"/>
      <c r="C225"/>
      <c r="D225"/>
      <c r="E225"/>
      <c r="F225"/>
      <c r="G225"/>
      <c r="H225"/>
      <c r="I225"/>
      <c r="J225"/>
      <c r="K225"/>
      <c r="L225"/>
      <c r="M225"/>
      <c r="N225"/>
      <c r="O225"/>
      <c r="P225"/>
    </row>
    <row r="226" spans="1:16" s="14" customFormat="1" x14ac:dyDescent="0.25">
      <c r="A226"/>
      <c r="B226"/>
      <c r="C226"/>
      <c r="D226"/>
      <c r="E226"/>
      <c r="F226"/>
      <c r="G226"/>
      <c r="H226"/>
      <c r="I226"/>
      <c r="J226"/>
      <c r="K226"/>
      <c r="L226"/>
      <c r="M226"/>
      <c r="N226"/>
      <c r="O226"/>
      <c r="P226"/>
    </row>
    <row r="227" spans="1:16" s="14" customFormat="1" x14ac:dyDescent="0.25">
      <c r="A227"/>
      <c r="B227"/>
      <c r="C227"/>
      <c r="D227"/>
      <c r="E227"/>
      <c r="F227"/>
      <c r="G227"/>
      <c r="H227"/>
      <c r="I227"/>
      <c r="J227"/>
      <c r="K227"/>
      <c r="L227"/>
      <c r="M227"/>
      <c r="N227"/>
      <c r="O227"/>
      <c r="P227"/>
    </row>
    <row r="228" spans="1:16" s="14" customFormat="1" x14ac:dyDescent="0.25">
      <c r="A228"/>
      <c r="B228"/>
      <c r="C228"/>
      <c r="D228"/>
      <c r="E228"/>
      <c r="F228"/>
      <c r="G228"/>
      <c r="H228"/>
      <c r="I228"/>
      <c r="J228"/>
      <c r="K228"/>
      <c r="L228"/>
      <c r="M228"/>
      <c r="N228"/>
      <c r="O228"/>
      <c r="P228"/>
    </row>
    <row r="229" spans="1:16" s="14" customFormat="1" x14ac:dyDescent="0.25">
      <c r="A229"/>
      <c r="B229"/>
      <c r="C229"/>
      <c r="D229"/>
      <c r="E229"/>
      <c r="F229"/>
      <c r="G229"/>
      <c r="H229"/>
      <c r="I229"/>
      <c r="J229"/>
      <c r="K229"/>
      <c r="L229"/>
      <c r="M229"/>
      <c r="N229"/>
      <c r="O229"/>
      <c r="P229"/>
    </row>
    <row r="230" spans="1:16" s="14" customFormat="1" x14ac:dyDescent="0.25">
      <c r="A230"/>
      <c r="B230"/>
      <c r="C230"/>
      <c r="D230"/>
      <c r="E230"/>
      <c r="F230"/>
      <c r="G230"/>
      <c r="H230"/>
      <c r="I230"/>
      <c r="J230"/>
      <c r="K230"/>
      <c r="L230"/>
      <c r="M230"/>
      <c r="N230"/>
      <c r="O230"/>
      <c r="P230"/>
    </row>
    <row r="231" spans="1:16" s="14" customFormat="1" x14ac:dyDescent="0.25">
      <c r="A231"/>
      <c r="B231"/>
      <c r="C231"/>
      <c r="D231"/>
      <c r="E231"/>
      <c r="F231"/>
      <c r="G231"/>
      <c r="H231"/>
      <c r="I231"/>
      <c r="J231"/>
      <c r="K231"/>
      <c r="L231"/>
      <c r="M231"/>
      <c r="N231"/>
      <c r="O231"/>
      <c r="P231"/>
    </row>
    <row r="232" spans="1:16" s="14" customFormat="1" x14ac:dyDescent="0.25">
      <c r="A232"/>
      <c r="B232"/>
      <c r="C232"/>
      <c r="D232"/>
      <c r="E232"/>
      <c r="F232"/>
      <c r="G232"/>
      <c r="H232"/>
      <c r="I232"/>
      <c r="J232"/>
      <c r="K232"/>
      <c r="L232"/>
      <c r="M232"/>
      <c r="N232"/>
      <c r="O232"/>
      <c r="P232"/>
    </row>
    <row r="233" spans="1:16" s="14" customFormat="1" x14ac:dyDescent="0.25">
      <c r="A233"/>
      <c r="B233"/>
      <c r="C233"/>
      <c r="D233"/>
      <c r="E233"/>
      <c r="F233"/>
      <c r="G233"/>
      <c r="H233"/>
      <c r="I233"/>
      <c r="J233"/>
      <c r="K233"/>
      <c r="L233"/>
      <c r="M233"/>
      <c r="N233"/>
      <c r="O233"/>
      <c r="P233"/>
    </row>
    <row r="234" spans="1:16" s="14" customFormat="1" x14ac:dyDescent="0.25">
      <c r="A234"/>
      <c r="B234"/>
      <c r="C234"/>
      <c r="D234"/>
      <c r="E234"/>
      <c r="F234"/>
      <c r="G234"/>
      <c r="H234"/>
      <c r="I234"/>
      <c r="J234"/>
      <c r="K234"/>
      <c r="L234"/>
      <c r="M234"/>
      <c r="N234"/>
      <c r="O234"/>
      <c r="P234"/>
    </row>
    <row r="235" spans="1:16" s="14" customFormat="1" x14ac:dyDescent="0.25">
      <c r="A235"/>
      <c r="B235"/>
      <c r="C235"/>
      <c r="D235"/>
      <c r="E235"/>
      <c r="F235"/>
      <c r="G235"/>
      <c r="H235"/>
      <c r="I235"/>
      <c r="J235"/>
      <c r="K235"/>
      <c r="L235"/>
      <c r="M235"/>
      <c r="N235"/>
      <c r="O235"/>
      <c r="P235"/>
    </row>
    <row r="236" spans="1:16" s="14" customFormat="1" x14ac:dyDescent="0.25">
      <c r="A236"/>
      <c r="B236"/>
      <c r="C236"/>
      <c r="D236"/>
      <c r="E236"/>
      <c r="F236"/>
      <c r="G236"/>
      <c r="H236"/>
      <c r="I236"/>
      <c r="J236"/>
      <c r="K236"/>
      <c r="L236"/>
      <c r="M236"/>
      <c r="N236"/>
      <c r="O236"/>
      <c r="P236"/>
    </row>
    <row r="237" spans="1:16" s="14" customFormat="1" x14ac:dyDescent="0.25">
      <c r="A237"/>
      <c r="B237"/>
      <c r="C237"/>
      <c r="D237"/>
      <c r="E237"/>
      <c r="F237"/>
      <c r="G237"/>
      <c r="H237"/>
      <c r="I237"/>
      <c r="J237"/>
      <c r="K237"/>
      <c r="L237"/>
      <c r="M237"/>
      <c r="N237"/>
      <c r="O237"/>
      <c r="P237"/>
    </row>
    <row r="238" spans="1:16" s="14" customFormat="1" x14ac:dyDescent="0.25">
      <c r="A238"/>
      <c r="B238"/>
      <c r="C238"/>
      <c r="D238"/>
      <c r="E238"/>
      <c r="F238"/>
      <c r="G238"/>
      <c r="H238"/>
      <c r="I238"/>
      <c r="J238"/>
      <c r="K238"/>
      <c r="L238"/>
      <c r="M238"/>
      <c r="N238"/>
      <c r="O238"/>
      <c r="P238"/>
    </row>
    <row r="239" spans="1:16" s="14" customFormat="1" x14ac:dyDescent="0.25">
      <c r="A239"/>
      <c r="B239"/>
      <c r="C239"/>
      <c r="D239"/>
      <c r="E239"/>
      <c r="F239"/>
      <c r="G239"/>
      <c r="H239"/>
      <c r="I239"/>
      <c r="J239"/>
      <c r="K239"/>
      <c r="L239"/>
      <c r="M239"/>
      <c r="N239"/>
      <c r="O239"/>
      <c r="P239"/>
    </row>
    <row r="240" spans="1:16" s="14" customFormat="1" x14ac:dyDescent="0.25">
      <c r="A240"/>
      <c r="B240"/>
      <c r="C240"/>
      <c r="D240"/>
      <c r="E240"/>
      <c r="F240"/>
      <c r="G240"/>
      <c r="H240"/>
      <c r="I240"/>
      <c r="J240"/>
      <c r="K240"/>
      <c r="L240"/>
      <c r="M240"/>
      <c r="N240"/>
      <c r="O240"/>
      <c r="P240"/>
    </row>
    <row r="241" spans="1:16" s="14" customFormat="1" x14ac:dyDescent="0.25">
      <c r="A241"/>
      <c r="B241"/>
      <c r="C241"/>
      <c r="D241"/>
      <c r="E241"/>
      <c r="F241"/>
      <c r="G241"/>
      <c r="H241"/>
      <c r="I241"/>
      <c r="J241"/>
      <c r="K241"/>
      <c r="L241"/>
      <c r="M241"/>
      <c r="N241"/>
      <c r="O241"/>
      <c r="P241"/>
    </row>
    <row r="242" spans="1:16" s="14" customFormat="1" x14ac:dyDescent="0.25">
      <c r="A242"/>
      <c r="B242"/>
      <c r="C242"/>
      <c r="D242"/>
      <c r="E242"/>
      <c r="F242"/>
      <c r="G242"/>
      <c r="H242"/>
      <c r="I242"/>
      <c r="J242"/>
      <c r="K242"/>
      <c r="L242"/>
      <c r="M242"/>
      <c r="N242"/>
      <c r="O242"/>
      <c r="P242"/>
    </row>
    <row r="243" spans="1:16" s="14" customFormat="1" x14ac:dyDescent="0.25">
      <c r="A243"/>
      <c r="B243"/>
      <c r="C243"/>
      <c r="D243"/>
      <c r="E243"/>
      <c r="F243"/>
      <c r="G243"/>
      <c r="H243"/>
      <c r="I243"/>
      <c r="J243"/>
      <c r="K243"/>
      <c r="L243"/>
      <c r="M243"/>
      <c r="N243"/>
      <c r="O243"/>
      <c r="P243"/>
    </row>
    <row r="244" spans="1:16" s="14" customFormat="1" x14ac:dyDescent="0.25">
      <c r="A244"/>
      <c r="B244"/>
      <c r="C244"/>
      <c r="D244"/>
      <c r="E244"/>
      <c r="F244"/>
      <c r="G244"/>
      <c r="H244"/>
      <c r="I244"/>
      <c r="J244"/>
      <c r="K244"/>
      <c r="L244"/>
      <c r="M244"/>
      <c r="N244"/>
      <c r="O244"/>
      <c r="P244"/>
    </row>
    <row r="245" spans="1:16" s="14" customFormat="1" x14ac:dyDescent="0.25">
      <c r="A245"/>
      <c r="B245"/>
      <c r="C245"/>
      <c r="D245"/>
      <c r="E245"/>
      <c r="F245"/>
      <c r="G245"/>
      <c r="H245"/>
      <c r="I245"/>
      <c r="J245"/>
      <c r="K245"/>
      <c r="L245"/>
      <c r="M245"/>
      <c r="N245"/>
      <c r="O245"/>
      <c r="P245"/>
    </row>
    <row r="246" spans="1:16" s="14" customFormat="1" x14ac:dyDescent="0.25">
      <c r="A246"/>
      <c r="B246"/>
      <c r="C246"/>
      <c r="D246"/>
      <c r="E246"/>
      <c r="F246"/>
      <c r="G246"/>
      <c r="H246"/>
      <c r="I246"/>
      <c r="J246"/>
      <c r="K246"/>
      <c r="L246"/>
      <c r="M246"/>
      <c r="N246"/>
      <c r="O246"/>
      <c r="P246"/>
    </row>
    <row r="247" spans="1:16" s="14" customFormat="1" x14ac:dyDescent="0.25">
      <c r="A247"/>
      <c r="B247"/>
      <c r="C247"/>
      <c r="D247"/>
      <c r="E247"/>
      <c r="F247"/>
      <c r="G247"/>
      <c r="H247"/>
      <c r="I247"/>
      <c r="J247"/>
      <c r="K247"/>
      <c r="L247"/>
      <c r="M247"/>
      <c r="N247"/>
      <c r="O247"/>
      <c r="P247"/>
    </row>
    <row r="248" spans="1:16" s="14" customFormat="1" x14ac:dyDescent="0.25">
      <c r="A248"/>
      <c r="B248"/>
      <c r="C248"/>
      <c r="D248"/>
      <c r="E248"/>
      <c r="F248"/>
      <c r="G248"/>
      <c r="H248"/>
      <c r="I248"/>
      <c r="J248"/>
      <c r="K248"/>
      <c r="L248"/>
      <c r="M248"/>
      <c r="N248"/>
      <c r="O248"/>
      <c r="P248"/>
    </row>
    <row r="249" spans="1:16" s="14" customFormat="1" x14ac:dyDescent="0.25">
      <c r="A249"/>
      <c r="B249"/>
      <c r="C249"/>
      <c r="D249"/>
      <c r="E249"/>
      <c r="F249"/>
      <c r="G249"/>
      <c r="H249"/>
      <c r="I249"/>
      <c r="J249"/>
      <c r="K249"/>
      <c r="L249"/>
      <c r="M249"/>
      <c r="N249"/>
      <c r="O249"/>
      <c r="P249"/>
    </row>
    <row r="250" spans="1:16" s="14" customFormat="1" x14ac:dyDescent="0.25">
      <c r="A250"/>
      <c r="B250"/>
      <c r="C250"/>
      <c r="D250"/>
      <c r="E250"/>
      <c r="F250"/>
      <c r="G250"/>
      <c r="H250"/>
      <c r="I250"/>
      <c r="J250"/>
      <c r="K250"/>
      <c r="L250"/>
      <c r="M250"/>
      <c r="N250"/>
      <c r="O250"/>
      <c r="P250"/>
    </row>
    <row r="251" spans="1:16" s="14" customFormat="1" x14ac:dyDescent="0.25">
      <c r="A251"/>
      <c r="B251"/>
      <c r="C251"/>
      <c r="D251"/>
      <c r="E251"/>
      <c r="F251"/>
      <c r="G251"/>
      <c r="H251"/>
      <c r="I251"/>
      <c r="J251"/>
      <c r="K251"/>
      <c r="L251"/>
      <c r="M251"/>
      <c r="N251"/>
      <c r="O251"/>
      <c r="P251"/>
    </row>
    <row r="252" spans="1:16" s="14" customFormat="1" x14ac:dyDescent="0.25">
      <c r="A252"/>
      <c r="B252"/>
      <c r="C252"/>
      <c r="D252"/>
      <c r="E252"/>
      <c r="F252"/>
      <c r="G252"/>
      <c r="H252"/>
      <c r="I252"/>
      <c r="J252"/>
      <c r="K252"/>
      <c r="L252"/>
      <c r="M252"/>
      <c r="N252"/>
      <c r="O252"/>
      <c r="P252"/>
    </row>
    <row r="253" spans="1:16" s="14" customFormat="1" x14ac:dyDescent="0.25">
      <c r="A253"/>
      <c r="B253"/>
      <c r="C253"/>
      <c r="D253"/>
      <c r="E253"/>
      <c r="F253"/>
      <c r="G253"/>
      <c r="H253"/>
      <c r="I253"/>
      <c r="J253"/>
      <c r="K253"/>
      <c r="L253"/>
      <c r="M253"/>
      <c r="N253"/>
      <c r="O253"/>
      <c r="P253"/>
    </row>
    <row r="254" spans="1:16" s="14" customFormat="1" x14ac:dyDescent="0.25">
      <c r="A254"/>
      <c r="B254"/>
      <c r="C254"/>
      <c r="D254"/>
      <c r="E254"/>
      <c r="F254"/>
      <c r="G254"/>
      <c r="H254"/>
      <c r="I254"/>
      <c r="J254"/>
      <c r="K254"/>
      <c r="L254"/>
      <c r="M254"/>
      <c r="N254"/>
      <c r="O254"/>
      <c r="P254"/>
    </row>
    <row r="255" spans="1:16" s="14" customFormat="1" x14ac:dyDescent="0.25">
      <c r="A255"/>
      <c r="B255"/>
      <c r="C255"/>
      <c r="D255"/>
      <c r="E255"/>
      <c r="F255"/>
      <c r="G255"/>
      <c r="H255"/>
      <c r="I255"/>
      <c r="J255"/>
      <c r="K255"/>
      <c r="L255"/>
      <c r="M255"/>
      <c r="N255"/>
      <c r="O255"/>
      <c r="P255"/>
    </row>
    <row r="256" spans="1:16" s="14" customFormat="1" x14ac:dyDescent="0.25">
      <c r="A256"/>
      <c r="B256"/>
      <c r="C256"/>
      <c r="D256"/>
      <c r="E256"/>
      <c r="F256"/>
      <c r="G256"/>
      <c r="H256"/>
      <c r="I256"/>
      <c r="J256"/>
      <c r="K256"/>
      <c r="L256"/>
      <c r="M256"/>
      <c r="N256"/>
      <c r="O256"/>
      <c r="P256"/>
    </row>
    <row r="257" spans="1:16" s="14" customFormat="1" x14ac:dyDescent="0.25">
      <c r="A257"/>
      <c r="B257"/>
      <c r="C257"/>
      <c r="D257"/>
      <c r="E257"/>
      <c r="F257"/>
      <c r="G257"/>
      <c r="H257"/>
      <c r="I257"/>
      <c r="J257"/>
      <c r="K257"/>
      <c r="L257"/>
      <c r="M257"/>
      <c r="N257"/>
      <c r="O257"/>
      <c r="P257"/>
    </row>
    <row r="258" spans="1:16" s="14" customFormat="1" x14ac:dyDescent="0.25">
      <c r="A258"/>
      <c r="B258"/>
      <c r="C258"/>
      <c r="D258"/>
      <c r="E258"/>
      <c r="F258"/>
      <c r="G258"/>
      <c r="H258"/>
      <c r="I258"/>
      <c r="J258"/>
      <c r="K258"/>
      <c r="L258"/>
      <c r="M258"/>
      <c r="N258"/>
      <c r="O258"/>
      <c r="P258"/>
    </row>
    <row r="259" spans="1:16" s="14" customFormat="1" x14ac:dyDescent="0.25">
      <c r="A259"/>
      <c r="B259"/>
      <c r="C259"/>
      <c r="D259"/>
      <c r="E259"/>
      <c r="F259"/>
      <c r="G259"/>
      <c r="H259"/>
      <c r="I259"/>
      <c r="J259"/>
      <c r="K259"/>
      <c r="L259"/>
      <c r="M259"/>
      <c r="N259"/>
      <c r="O259"/>
      <c r="P259"/>
    </row>
    <row r="260" spans="1:16" s="14" customFormat="1" x14ac:dyDescent="0.25">
      <c r="A260"/>
      <c r="B260"/>
      <c r="C260"/>
      <c r="D260"/>
      <c r="E260"/>
      <c r="F260"/>
      <c r="G260"/>
      <c r="H260"/>
      <c r="I260"/>
      <c r="J260"/>
      <c r="K260"/>
      <c r="L260"/>
      <c r="M260"/>
      <c r="N260"/>
      <c r="O260"/>
      <c r="P260"/>
    </row>
    <row r="261" spans="1:16" s="14" customFormat="1" x14ac:dyDescent="0.25">
      <c r="A261"/>
      <c r="B261"/>
      <c r="C261"/>
      <c r="D261"/>
      <c r="E261"/>
      <c r="F261"/>
      <c r="G261"/>
      <c r="H261"/>
      <c r="I261"/>
      <c r="J261"/>
      <c r="K261"/>
      <c r="L261"/>
      <c r="M261"/>
      <c r="N261"/>
      <c r="O261"/>
      <c r="P261"/>
    </row>
    <row r="262" spans="1:16" s="14" customFormat="1" x14ac:dyDescent="0.25">
      <c r="A262"/>
      <c r="B262"/>
      <c r="C262"/>
      <c r="D262"/>
      <c r="E262"/>
      <c r="F262"/>
      <c r="G262"/>
      <c r="H262"/>
      <c r="I262"/>
      <c r="J262"/>
      <c r="K262"/>
      <c r="L262"/>
      <c r="M262"/>
      <c r="N262"/>
      <c r="O262"/>
      <c r="P262"/>
    </row>
    <row r="263" spans="1:16" s="14" customFormat="1" x14ac:dyDescent="0.25">
      <c r="A263"/>
      <c r="B263"/>
      <c r="C263"/>
      <c r="D263"/>
      <c r="E263"/>
      <c r="F263"/>
      <c r="G263"/>
      <c r="H263"/>
      <c r="I263"/>
      <c r="J263"/>
      <c r="K263"/>
      <c r="L263"/>
      <c r="M263"/>
      <c r="N263"/>
      <c r="O263"/>
      <c r="P263"/>
    </row>
    <row r="264" spans="1:16" s="14" customFormat="1" x14ac:dyDescent="0.25">
      <c r="A264"/>
      <c r="B264"/>
      <c r="C264"/>
      <c r="D264"/>
      <c r="E264"/>
      <c r="F264"/>
      <c r="G264"/>
      <c r="H264"/>
      <c r="I264"/>
      <c r="J264"/>
      <c r="K264"/>
      <c r="L264"/>
      <c r="M264"/>
      <c r="N264"/>
      <c r="O264"/>
      <c r="P264"/>
    </row>
    <row r="265" spans="1:16" s="14" customFormat="1" x14ac:dyDescent="0.25">
      <c r="A265"/>
      <c r="B265"/>
      <c r="C265"/>
      <c r="D265"/>
      <c r="E265"/>
      <c r="F265"/>
      <c r="G265"/>
      <c r="H265"/>
      <c r="I265"/>
      <c r="J265"/>
      <c r="K265"/>
      <c r="L265"/>
      <c r="M265"/>
      <c r="N265"/>
      <c r="O265"/>
      <c r="P265"/>
    </row>
    <row r="266" spans="1:16" s="14" customFormat="1" x14ac:dyDescent="0.25">
      <c r="A266"/>
      <c r="B266"/>
      <c r="C266"/>
      <c r="D266"/>
      <c r="E266"/>
      <c r="F266"/>
      <c r="G266"/>
      <c r="H266"/>
      <c r="I266"/>
      <c r="J266"/>
      <c r="K266"/>
      <c r="L266"/>
      <c r="M266"/>
      <c r="N266"/>
      <c r="O266"/>
      <c r="P266"/>
    </row>
    <row r="267" spans="1:16" s="14" customFormat="1" x14ac:dyDescent="0.25">
      <c r="A267"/>
      <c r="B267"/>
      <c r="C267"/>
      <c r="D267"/>
      <c r="E267"/>
      <c r="F267"/>
      <c r="G267"/>
      <c r="H267"/>
      <c r="I267"/>
      <c r="J267"/>
      <c r="K267"/>
      <c r="L267"/>
      <c r="M267"/>
      <c r="N267"/>
      <c r="O267"/>
      <c r="P267"/>
    </row>
    <row r="268" spans="1:16" s="14" customFormat="1" x14ac:dyDescent="0.25">
      <c r="A268"/>
      <c r="B268"/>
      <c r="C268"/>
      <c r="D268"/>
      <c r="E268"/>
      <c r="F268"/>
      <c r="G268"/>
      <c r="H268"/>
      <c r="I268"/>
      <c r="J268"/>
      <c r="K268"/>
      <c r="L268"/>
      <c r="M268"/>
      <c r="N268"/>
      <c r="O268"/>
      <c r="P268"/>
    </row>
    <row r="269" spans="1:16" s="14" customFormat="1" x14ac:dyDescent="0.25">
      <c r="A269"/>
      <c r="B269"/>
      <c r="C269"/>
      <c r="D269"/>
      <c r="E269"/>
      <c r="F269"/>
      <c r="G269"/>
      <c r="H269"/>
      <c r="I269"/>
      <c r="J269"/>
      <c r="K269"/>
      <c r="L269"/>
      <c r="M269"/>
      <c r="N269"/>
      <c r="O269"/>
      <c r="P269"/>
    </row>
    <row r="270" spans="1:16" s="14" customFormat="1" x14ac:dyDescent="0.25">
      <c r="A270"/>
      <c r="B270"/>
      <c r="C270"/>
      <c r="D270"/>
      <c r="E270"/>
      <c r="F270"/>
      <c r="G270"/>
      <c r="H270"/>
      <c r="I270"/>
      <c r="J270"/>
      <c r="K270"/>
      <c r="L270"/>
      <c r="M270"/>
      <c r="N270"/>
      <c r="O270"/>
      <c r="P270"/>
    </row>
    <row r="271" spans="1:16" s="14" customFormat="1" x14ac:dyDescent="0.25">
      <c r="A271"/>
      <c r="B271"/>
      <c r="C271"/>
      <c r="D271"/>
      <c r="E271"/>
      <c r="F271"/>
      <c r="G271"/>
      <c r="H271"/>
      <c r="I271"/>
      <c r="J271"/>
      <c r="K271"/>
      <c r="L271"/>
      <c r="M271"/>
      <c r="N271"/>
      <c r="O271"/>
      <c r="P271"/>
    </row>
    <row r="272" spans="1:16" s="14" customFormat="1" x14ac:dyDescent="0.25">
      <c r="A272"/>
      <c r="B272"/>
      <c r="C272"/>
      <c r="D272"/>
      <c r="E272"/>
      <c r="F272"/>
      <c r="G272"/>
      <c r="H272"/>
      <c r="I272"/>
      <c r="J272"/>
      <c r="K272"/>
      <c r="L272"/>
      <c r="M272"/>
      <c r="N272"/>
      <c r="O272"/>
      <c r="P272"/>
    </row>
    <row r="273" spans="1:16" s="14" customFormat="1" x14ac:dyDescent="0.25">
      <c r="A273"/>
      <c r="B273"/>
      <c r="C273"/>
      <c r="D273"/>
      <c r="E273"/>
      <c r="F273"/>
      <c r="G273"/>
      <c r="H273"/>
      <c r="I273"/>
      <c r="J273"/>
      <c r="K273"/>
      <c r="L273"/>
      <c r="M273"/>
      <c r="N273"/>
      <c r="O273"/>
      <c r="P273"/>
    </row>
    <row r="274" spans="1:16" s="14" customFormat="1" x14ac:dyDescent="0.25">
      <c r="A274"/>
      <c r="B274"/>
      <c r="C274"/>
      <c r="D274"/>
      <c r="E274"/>
      <c r="F274"/>
      <c r="G274"/>
      <c r="H274"/>
      <c r="I274"/>
      <c r="J274"/>
      <c r="K274"/>
      <c r="L274"/>
      <c r="M274"/>
      <c r="N274"/>
      <c r="O274"/>
      <c r="P274"/>
    </row>
    <row r="275" spans="1:16" s="14" customFormat="1" x14ac:dyDescent="0.25">
      <c r="A275"/>
      <c r="B275"/>
      <c r="C275"/>
      <c r="D275"/>
      <c r="E275"/>
      <c r="F275"/>
      <c r="G275"/>
      <c r="H275"/>
      <c r="I275"/>
      <c r="J275"/>
      <c r="K275"/>
      <c r="L275"/>
      <c r="M275"/>
      <c r="N275"/>
      <c r="O275"/>
      <c r="P275"/>
    </row>
    <row r="276" spans="1:16" s="14" customFormat="1" x14ac:dyDescent="0.25">
      <c r="A276"/>
      <c r="B276"/>
      <c r="C276"/>
      <c r="D276"/>
      <c r="E276"/>
      <c r="F276"/>
      <c r="G276"/>
      <c r="H276"/>
      <c r="I276"/>
      <c r="J276"/>
      <c r="K276"/>
      <c r="L276"/>
      <c r="M276"/>
      <c r="N276"/>
      <c r="O276"/>
      <c r="P276"/>
    </row>
    <row r="277" spans="1:16" s="14" customFormat="1" x14ac:dyDescent="0.25">
      <c r="A277"/>
      <c r="B277"/>
      <c r="C277"/>
      <c r="D277"/>
      <c r="E277"/>
      <c r="F277"/>
      <c r="G277"/>
      <c r="H277"/>
      <c r="I277"/>
      <c r="J277"/>
      <c r="K277"/>
      <c r="L277"/>
      <c r="M277"/>
      <c r="N277"/>
      <c r="O277"/>
      <c r="P277"/>
    </row>
    <row r="278" spans="1:16" s="14" customFormat="1" x14ac:dyDescent="0.25">
      <c r="A278"/>
      <c r="B278"/>
      <c r="C278"/>
      <c r="D278"/>
      <c r="E278"/>
      <c r="F278"/>
      <c r="G278"/>
      <c r="H278"/>
      <c r="I278"/>
      <c r="J278"/>
      <c r="K278"/>
      <c r="L278"/>
      <c r="M278"/>
      <c r="N278"/>
      <c r="O278"/>
      <c r="P278"/>
    </row>
    <row r="279" spans="1:16" s="14" customFormat="1" x14ac:dyDescent="0.25">
      <c r="A279"/>
      <c r="B279"/>
      <c r="C279"/>
      <c r="D279"/>
      <c r="E279"/>
      <c r="F279"/>
      <c r="G279"/>
      <c r="H279"/>
      <c r="I279"/>
      <c r="J279"/>
      <c r="K279"/>
      <c r="L279"/>
      <c r="M279"/>
      <c r="N279"/>
      <c r="O279"/>
      <c r="P279"/>
    </row>
    <row r="280" spans="1:16" s="14" customFormat="1" x14ac:dyDescent="0.25">
      <c r="A280"/>
      <c r="B280"/>
      <c r="C280"/>
      <c r="D280"/>
      <c r="E280"/>
      <c r="F280"/>
      <c r="G280"/>
      <c r="H280"/>
      <c r="I280"/>
      <c r="J280"/>
      <c r="K280"/>
      <c r="L280"/>
      <c r="M280"/>
      <c r="N280"/>
      <c r="O280"/>
      <c r="P280"/>
    </row>
    <row r="281" spans="1:16" s="14" customFormat="1" x14ac:dyDescent="0.25">
      <c r="A281"/>
      <c r="B281"/>
      <c r="C281"/>
      <c r="D281"/>
      <c r="E281"/>
      <c r="F281"/>
      <c r="G281"/>
      <c r="H281"/>
      <c r="I281"/>
      <c r="J281"/>
      <c r="K281"/>
      <c r="L281"/>
      <c r="M281"/>
      <c r="N281"/>
      <c r="O281"/>
      <c r="P281"/>
    </row>
    <row r="282" spans="1:16" s="14" customFormat="1" x14ac:dyDescent="0.25">
      <c r="A282"/>
      <c r="B282"/>
      <c r="C282"/>
      <c r="D282"/>
      <c r="E282"/>
      <c r="F282"/>
      <c r="G282"/>
      <c r="H282"/>
      <c r="I282"/>
      <c r="J282"/>
      <c r="K282"/>
      <c r="L282"/>
      <c r="M282"/>
      <c r="N282"/>
      <c r="O282"/>
      <c r="P282"/>
    </row>
    <row r="283" spans="1:16" s="14" customFormat="1" x14ac:dyDescent="0.25">
      <c r="A283"/>
      <c r="B283"/>
      <c r="C283"/>
      <c r="D283"/>
      <c r="E283"/>
      <c r="F283"/>
      <c r="G283"/>
      <c r="H283"/>
      <c r="I283"/>
      <c r="J283"/>
      <c r="K283"/>
      <c r="L283"/>
      <c r="M283"/>
      <c r="N283"/>
      <c r="O283"/>
      <c r="P283"/>
    </row>
    <row r="284" spans="1:16" s="14" customFormat="1" x14ac:dyDescent="0.25">
      <c r="A284"/>
      <c r="B284"/>
      <c r="C284"/>
      <c r="D284"/>
      <c r="E284"/>
      <c r="F284"/>
      <c r="G284"/>
      <c r="H284"/>
      <c r="I284"/>
      <c r="J284"/>
      <c r="K284"/>
      <c r="L284"/>
      <c r="M284"/>
      <c r="N284"/>
      <c r="O284"/>
      <c r="P284"/>
    </row>
    <row r="285" spans="1:16" s="14" customFormat="1" x14ac:dyDescent="0.25">
      <c r="A285"/>
      <c r="B285"/>
      <c r="C285"/>
      <c r="D285"/>
      <c r="E285"/>
      <c r="F285"/>
      <c r="G285"/>
      <c r="H285"/>
      <c r="I285"/>
      <c r="J285"/>
      <c r="K285"/>
      <c r="L285"/>
      <c r="M285"/>
      <c r="N285"/>
      <c r="O285"/>
      <c r="P285"/>
    </row>
    <row r="286" spans="1:16" s="14" customFormat="1" x14ac:dyDescent="0.25">
      <c r="A286"/>
      <c r="B286"/>
      <c r="C286"/>
      <c r="D286"/>
      <c r="E286"/>
      <c r="F286"/>
      <c r="G286"/>
      <c r="H286"/>
      <c r="I286"/>
      <c r="J286"/>
      <c r="K286"/>
      <c r="L286"/>
      <c r="M286"/>
      <c r="N286"/>
      <c r="O286"/>
      <c r="P286"/>
    </row>
    <row r="287" spans="1:16" s="14" customFormat="1" x14ac:dyDescent="0.25">
      <c r="A287"/>
      <c r="B287"/>
      <c r="C287"/>
      <c r="D287"/>
      <c r="E287"/>
      <c r="F287"/>
      <c r="G287"/>
      <c r="H287"/>
      <c r="I287"/>
      <c r="J287"/>
      <c r="K287"/>
      <c r="L287"/>
      <c r="M287"/>
      <c r="N287"/>
      <c r="O287"/>
      <c r="P287"/>
    </row>
    <row r="288" spans="1:16" s="14" customFormat="1" x14ac:dyDescent="0.25">
      <c r="A288"/>
      <c r="B288"/>
      <c r="C288"/>
      <c r="D288"/>
      <c r="E288"/>
      <c r="F288"/>
      <c r="G288"/>
      <c r="H288"/>
      <c r="I288"/>
      <c r="J288"/>
      <c r="K288"/>
      <c r="L288"/>
      <c r="M288"/>
      <c r="N288"/>
      <c r="O288"/>
      <c r="P288"/>
    </row>
    <row r="289" spans="1:16" s="14" customFormat="1" x14ac:dyDescent="0.25">
      <c r="A289"/>
      <c r="B289"/>
      <c r="C289"/>
      <c r="D289"/>
      <c r="E289"/>
      <c r="F289"/>
      <c r="G289"/>
      <c r="H289"/>
      <c r="I289"/>
      <c r="J289"/>
      <c r="K289"/>
      <c r="L289"/>
      <c r="M289"/>
      <c r="N289"/>
      <c r="O289"/>
      <c r="P289"/>
    </row>
    <row r="290" spans="1:16" s="14" customFormat="1" x14ac:dyDescent="0.25">
      <c r="A290"/>
      <c r="B290"/>
      <c r="C290"/>
      <c r="D290"/>
      <c r="E290"/>
      <c r="F290"/>
      <c r="G290"/>
      <c r="H290"/>
      <c r="I290"/>
      <c r="J290"/>
      <c r="K290"/>
      <c r="L290"/>
      <c r="M290"/>
      <c r="N290"/>
      <c r="O290"/>
      <c r="P290"/>
    </row>
    <row r="291" spans="1:16" s="14" customFormat="1" x14ac:dyDescent="0.25">
      <c r="A291"/>
      <c r="B291"/>
      <c r="C291"/>
      <c r="D291"/>
      <c r="E291"/>
      <c r="F291"/>
      <c r="G291"/>
      <c r="H291"/>
      <c r="I291"/>
      <c r="J291"/>
      <c r="K291"/>
      <c r="L291"/>
      <c r="M291"/>
      <c r="N291"/>
      <c r="O291"/>
      <c r="P291"/>
    </row>
    <row r="292" spans="1:16" s="14" customFormat="1" x14ac:dyDescent="0.25">
      <c r="A292"/>
      <c r="B292"/>
      <c r="C292"/>
      <c r="D292"/>
      <c r="E292"/>
      <c r="F292"/>
      <c r="G292"/>
      <c r="H292"/>
      <c r="I292"/>
      <c r="J292"/>
      <c r="K292"/>
      <c r="L292"/>
      <c r="M292"/>
      <c r="N292"/>
      <c r="O292"/>
      <c r="P292"/>
    </row>
    <row r="293" spans="1:16" s="14" customFormat="1" x14ac:dyDescent="0.25">
      <c r="A293"/>
      <c r="B293"/>
      <c r="C293"/>
      <c r="D293"/>
      <c r="E293"/>
      <c r="F293"/>
      <c r="G293"/>
      <c r="H293"/>
      <c r="I293"/>
      <c r="J293"/>
      <c r="K293"/>
      <c r="L293"/>
      <c r="M293"/>
      <c r="N293"/>
      <c r="O293"/>
      <c r="P293"/>
    </row>
    <row r="294" spans="1:16" s="14" customFormat="1" x14ac:dyDescent="0.25">
      <c r="A294"/>
      <c r="B294"/>
      <c r="C294"/>
      <c r="D294"/>
      <c r="E294"/>
      <c r="F294"/>
      <c r="G294"/>
      <c r="H294"/>
      <c r="I294"/>
      <c r="J294"/>
      <c r="K294"/>
      <c r="L294"/>
      <c r="M294"/>
      <c r="N294"/>
      <c r="O294"/>
      <c r="P294"/>
    </row>
    <row r="295" spans="1:16" s="14" customFormat="1" x14ac:dyDescent="0.25">
      <c r="A295"/>
      <c r="B295"/>
      <c r="C295"/>
      <c r="D295"/>
      <c r="E295"/>
      <c r="F295"/>
      <c r="G295"/>
      <c r="H295"/>
      <c r="I295"/>
      <c r="J295"/>
      <c r="K295"/>
      <c r="L295"/>
      <c r="M295"/>
      <c r="N295"/>
      <c r="O295"/>
      <c r="P295"/>
    </row>
    <row r="296" spans="1:16" s="14" customFormat="1" x14ac:dyDescent="0.25">
      <c r="A296"/>
      <c r="B296"/>
      <c r="C296"/>
      <c r="D296"/>
      <c r="E296"/>
      <c r="F296"/>
      <c r="G296"/>
      <c r="H296"/>
      <c r="I296"/>
      <c r="J296"/>
      <c r="K296"/>
      <c r="L296"/>
      <c r="M296"/>
      <c r="N296"/>
      <c r="O296"/>
      <c r="P296"/>
    </row>
    <row r="297" spans="1:16" s="14" customFormat="1" x14ac:dyDescent="0.25">
      <c r="A297"/>
      <c r="B297"/>
      <c r="C297"/>
      <c r="D297"/>
      <c r="E297"/>
      <c r="F297"/>
      <c r="G297"/>
      <c r="H297"/>
      <c r="I297"/>
      <c r="J297"/>
      <c r="K297"/>
      <c r="L297"/>
      <c r="M297"/>
      <c r="N297"/>
      <c r="O297"/>
      <c r="P297"/>
    </row>
    <row r="298" spans="1:16" s="14" customFormat="1" x14ac:dyDescent="0.25">
      <c r="A298"/>
      <c r="B298"/>
      <c r="C298"/>
      <c r="D298"/>
      <c r="E298"/>
      <c r="F298"/>
      <c r="G298"/>
      <c r="H298"/>
      <c r="I298"/>
      <c r="J298"/>
      <c r="K298"/>
      <c r="L298"/>
      <c r="M298"/>
      <c r="N298"/>
      <c r="O298"/>
      <c r="P298"/>
    </row>
    <row r="299" spans="1:16" s="14" customFormat="1" x14ac:dyDescent="0.25">
      <c r="A299"/>
      <c r="B299"/>
      <c r="C299"/>
      <c r="D299"/>
      <c r="E299"/>
      <c r="F299"/>
      <c r="G299"/>
      <c r="H299"/>
      <c r="I299"/>
      <c r="J299"/>
      <c r="K299"/>
      <c r="L299"/>
      <c r="M299"/>
      <c r="N299"/>
      <c r="O299"/>
      <c r="P299"/>
    </row>
    <row r="300" spans="1:16" s="14" customFormat="1" x14ac:dyDescent="0.25">
      <c r="A300"/>
      <c r="B300"/>
      <c r="C300"/>
      <c r="D300"/>
      <c r="E300"/>
      <c r="F300"/>
      <c r="G300"/>
      <c r="H300"/>
      <c r="I300"/>
      <c r="J300"/>
      <c r="K300"/>
      <c r="L300"/>
      <c r="M300"/>
      <c r="N300"/>
      <c r="O300"/>
      <c r="P300"/>
    </row>
    <row r="301" spans="1:16" s="14" customFormat="1" x14ac:dyDescent="0.25">
      <c r="A301"/>
      <c r="B301"/>
      <c r="C301"/>
      <c r="D301"/>
      <c r="E301"/>
      <c r="F301"/>
      <c r="G301"/>
      <c r="H301"/>
      <c r="I301"/>
      <c r="J301"/>
      <c r="K301"/>
      <c r="L301"/>
      <c r="M301"/>
      <c r="N301"/>
      <c r="O301"/>
      <c r="P301"/>
    </row>
    <row r="302" spans="1:16" s="14" customFormat="1" x14ac:dyDescent="0.25">
      <c r="A302"/>
      <c r="B302"/>
      <c r="C302"/>
      <c r="D302"/>
      <c r="E302"/>
      <c r="F302"/>
      <c r="G302"/>
      <c r="H302"/>
      <c r="I302"/>
      <c r="J302"/>
      <c r="K302"/>
      <c r="L302"/>
      <c r="M302"/>
      <c r="N302"/>
      <c r="O302"/>
      <c r="P302"/>
    </row>
    <row r="303" spans="1:16" s="14" customFormat="1" x14ac:dyDescent="0.25">
      <c r="A303"/>
      <c r="B303"/>
      <c r="C303"/>
      <c r="D303"/>
      <c r="E303"/>
      <c r="F303"/>
      <c r="G303"/>
      <c r="H303"/>
      <c r="I303"/>
      <c r="J303"/>
      <c r="K303"/>
      <c r="L303"/>
      <c r="M303"/>
      <c r="N303"/>
      <c r="O303"/>
      <c r="P303"/>
    </row>
    <row r="304" spans="1:16" s="14" customFormat="1" x14ac:dyDescent="0.25">
      <c r="A304"/>
      <c r="B304"/>
      <c r="C304"/>
      <c r="D304"/>
      <c r="E304"/>
      <c r="F304"/>
      <c r="G304"/>
      <c r="H304"/>
      <c r="I304"/>
      <c r="J304"/>
      <c r="K304"/>
      <c r="L304"/>
      <c r="M304"/>
      <c r="N304"/>
      <c r="O304"/>
      <c r="P304"/>
    </row>
    <row r="305" spans="1:16" s="14" customFormat="1" x14ac:dyDescent="0.25">
      <c r="A305"/>
      <c r="B305"/>
      <c r="C305"/>
      <c r="D305"/>
      <c r="E305"/>
      <c r="F305"/>
      <c r="G305"/>
      <c r="H305"/>
      <c r="I305"/>
      <c r="J305"/>
      <c r="K305"/>
      <c r="L305"/>
      <c r="M305"/>
      <c r="N305"/>
      <c r="O305"/>
      <c r="P305"/>
    </row>
    <row r="306" spans="1:16" s="14" customFormat="1" x14ac:dyDescent="0.25">
      <c r="A306"/>
      <c r="B306"/>
      <c r="C306"/>
      <c r="D306"/>
      <c r="E306"/>
      <c r="F306"/>
      <c r="G306"/>
      <c r="H306"/>
      <c r="I306"/>
      <c r="J306"/>
      <c r="K306"/>
      <c r="L306"/>
      <c r="M306"/>
      <c r="N306"/>
      <c r="O306"/>
      <c r="P306"/>
    </row>
    <row r="307" spans="1:16" s="14" customFormat="1" x14ac:dyDescent="0.25">
      <c r="A307"/>
      <c r="B307"/>
      <c r="C307"/>
      <c r="D307"/>
      <c r="E307"/>
      <c r="F307"/>
      <c r="G307"/>
      <c r="H307"/>
      <c r="I307"/>
      <c r="J307"/>
      <c r="K307"/>
      <c r="L307"/>
      <c r="M307"/>
      <c r="N307"/>
      <c r="O307"/>
      <c r="P307"/>
    </row>
    <row r="308" spans="1:16" s="14" customFormat="1" x14ac:dyDescent="0.25">
      <c r="A308"/>
      <c r="B308"/>
      <c r="C308"/>
      <c r="D308"/>
      <c r="E308"/>
      <c r="F308"/>
      <c r="G308"/>
      <c r="H308"/>
      <c r="I308"/>
      <c r="J308"/>
      <c r="K308"/>
      <c r="L308"/>
      <c r="M308"/>
      <c r="N308"/>
      <c r="O308"/>
      <c r="P308"/>
    </row>
    <row r="309" spans="1:16" s="14" customFormat="1" x14ac:dyDescent="0.25">
      <c r="A309"/>
      <c r="B309"/>
      <c r="C309"/>
      <c r="D309"/>
      <c r="E309"/>
      <c r="F309"/>
      <c r="G309"/>
      <c r="H309"/>
      <c r="I309"/>
      <c r="J309"/>
      <c r="K309"/>
      <c r="L309"/>
      <c r="M309"/>
      <c r="N309"/>
      <c r="O309"/>
      <c r="P309"/>
    </row>
    <row r="310" spans="1:16" s="14" customFormat="1" x14ac:dyDescent="0.25">
      <c r="A310"/>
      <c r="B310"/>
      <c r="C310"/>
      <c r="D310"/>
      <c r="E310"/>
      <c r="F310"/>
      <c r="G310"/>
      <c r="H310"/>
      <c r="I310"/>
      <c r="J310"/>
      <c r="K310"/>
      <c r="L310"/>
      <c r="M310"/>
      <c r="N310"/>
      <c r="O310"/>
      <c r="P310"/>
    </row>
    <row r="311" spans="1:16" s="14" customFormat="1" x14ac:dyDescent="0.25">
      <c r="A311"/>
      <c r="B311"/>
      <c r="C311"/>
      <c r="D311"/>
      <c r="E311"/>
      <c r="F311"/>
      <c r="G311"/>
      <c r="H311"/>
      <c r="I311"/>
      <c r="J311"/>
      <c r="K311"/>
      <c r="L311"/>
      <c r="M311"/>
      <c r="N311"/>
      <c r="O311"/>
      <c r="P311"/>
    </row>
    <row r="312" spans="1:16" s="14" customFormat="1" x14ac:dyDescent="0.25">
      <c r="A312"/>
      <c r="B312"/>
      <c r="C312"/>
      <c r="D312"/>
      <c r="E312"/>
      <c r="F312"/>
      <c r="G312"/>
      <c r="H312"/>
      <c r="I312"/>
      <c r="J312"/>
      <c r="K312"/>
      <c r="L312"/>
      <c r="M312"/>
      <c r="N312"/>
      <c r="O312"/>
      <c r="P312"/>
    </row>
    <row r="313" spans="1:16" s="14" customFormat="1" x14ac:dyDescent="0.25">
      <c r="A313"/>
      <c r="B313"/>
      <c r="C313"/>
      <c r="D313"/>
      <c r="E313"/>
      <c r="F313"/>
      <c r="G313"/>
      <c r="H313"/>
      <c r="I313"/>
      <c r="J313"/>
      <c r="K313"/>
      <c r="L313"/>
      <c r="M313"/>
      <c r="N313"/>
      <c r="O313"/>
      <c r="P313"/>
    </row>
    <row r="314" spans="1:16" s="14" customFormat="1" x14ac:dyDescent="0.25">
      <c r="A314"/>
      <c r="B314"/>
      <c r="C314"/>
      <c r="D314"/>
      <c r="E314"/>
      <c r="F314"/>
      <c r="G314"/>
      <c r="H314"/>
      <c r="I314"/>
      <c r="J314"/>
      <c r="K314"/>
      <c r="L314"/>
      <c r="M314"/>
      <c r="N314"/>
      <c r="O314"/>
      <c r="P314"/>
    </row>
    <row r="315" spans="1:16" s="14" customFormat="1" x14ac:dyDescent="0.25">
      <c r="A315"/>
      <c r="B315"/>
      <c r="C315"/>
      <c r="D315"/>
      <c r="E315"/>
      <c r="F315"/>
      <c r="G315"/>
      <c r="H315"/>
      <c r="I315"/>
      <c r="J315"/>
      <c r="K315"/>
      <c r="L315"/>
      <c r="M315"/>
      <c r="N315"/>
      <c r="O315"/>
      <c r="P315"/>
    </row>
    <row r="316" spans="1:16" s="14" customFormat="1" x14ac:dyDescent="0.25">
      <c r="A316"/>
      <c r="B316"/>
      <c r="C316"/>
      <c r="D316"/>
      <c r="E316"/>
      <c r="F316"/>
      <c r="G316"/>
      <c r="H316"/>
      <c r="I316"/>
      <c r="J316"/>
      <c r="K316"/>
      <c r="L316"/>
      <c r="M316"/>
      <c r="N316"/>
      <c r="O316"/>
      <c r="P316"/>
    </row>
    <row r="317" spans="1:16" s="14" customFormat="1" x14ac:dyDescent="0.25">
      <c r="A317"/>
      <c r="B317"/>
      <c r="C317"/>
      <c r="D317"/>
      <c r="E317"/>
      <c r="F317"/>
      <c r="G317"/>
      <c r="H317"/>
      <c r="I317"/>
      <c r="J317"/>
      <c r="K317"/>
      <c r="L317"/>
      <c r="M317"/>
      <c r="N317"/>
      <c r="O317"/>
      <c r="P317"/>
    </row>
    <row r="318" spans="1:16" s="14" customFormat="1" x14ac:dyDescent="0.25">
      <c r="A318"/>
      <c r="B318"/>
      <c r="C318"/>
      <c r="D318"/>
      <c r="E318"/>
      <c r="F318"/>
      <c r="G318"/>
      <c r="H318"/>
      <c r="I318"/>
      <c r="J318"/>
      <c r="K318"/>
      <c r="L318"/>
      <c r="M318"/>
      <c r="N318"/>
      <c r="O318"/>
      <c r="P318"/>
    </row>
    <row r="319" spans="1:16" s="14" customFormat="1" x14ac:dyDescent="0.25">
      <c r="A319"/>
      <c r="B319"/>
      <c r="C319"/>
      <c r="D319"/>
      <c r="E319"/>
      <c r="F319"/>
      <c r="G319"/>
      <c r="H319"/>
      <c r="I319"/>
      <c r="J319"/>
      <c r="K319"/>
      <c r="L319"/>
      <c r="M319"/>
      <c r="N319"/>
      <c r="O319"/>
      <c r="P319"/>
    </row>
    <row r="320" spans="1:16" s="14" customFormat="1" x14ac:dyDescent="0.25">
      <c r="A320"/>
      <c r="B320"/>
      <c r="C320"/>
      <c r="D320"/>
      <c r="E320"/>
      <c r="F320"/>
      <c r="G320"/>
      <c r="H320"/>
      <c r="I320"/>
      <c r="J320"/>
      <c r="K320"/>
      <c r="L320"/>
      <c r="M320"/>
      <c r="N320"/>
      <c r="O320"/>
      <c r="P320"/>
    </row>
    <row r="321" spans="1:16" s="14" customFormat="1" x14ac:dyDescent="0.25">
      <c r="A321"/>
      <c r="B321"/>
      <c r="C321"/>
      <c r="D321"/>
      <c r="E321"/>
      <c r="F321"/>
      <c r="G321"/>
      <c r="H321"/>
      <c r="I321"/>
      <c r="J321"/>
      <c r="K321"/>
      <c r="L321"/>
      <c r="M321"/>
      <c r="N321"/>
      <c r="O321"/>
      <c r="P321"/>
    </row>
    <row r="322" spans="1:16" s="14" customFormat="1" x14ac:dyDescent="0.25">
      <c r="A322"/>
      <c r="B322"/>
      <c r="C322"/>
      <c r="D322"/>
      <c r="E322"/>
      <c r="F322"/>
      <c r="G322"/>
      <c r="H322"/>
      <c r="I322"/>
      <c r="J322"/>
      <c r="K322"/>
      <c r="L322"/>
      <c r="M322"/>
      <c r="N322"/>
      <c r="O322"/>
      <c r="P322"/>
    </row>
    <row r="323" spans="1:16" s="14" customFormat="1" x14ac:dyDescent="0.25">
      <c r="A323"/>
      <c r="B323"/>
      <c r="C323"/>
      <c r="D323"/>
      <c r="E323"/>
      <c r="F323"/>
      <c r="G323"/>
      <c r="H323"/>
      <c r="I323"/>
      <c r="J323"/>
      <c r="K323"/>
      <c r="L323"/>
      <c r="M323"/>
      <c r="N323"/>
      <c r="O323"/>
      <c r="P323"/>
    </row>
    <row r="324" spans="1:16" s="14" customFormat="1" x14ac:dyDescent="0.25">
      <c r="A324"/>
      <c r="B324"/>
      <c r="C324"/>
      <c r="D324"/>
      <c r="E324"/>
      <c r="F324"/>
      <c r="G324"/>
      <c r="H324"/>
      <c r="I324"/>
      <c r="J324"/>
      <c r="K324"/>
      <c r="L324"/>
      <c r="M324"/>
      <c r="N324"/>
      <c r="O324"/>
      <c r="P324"/>
    </row>
    <row r="325" spans="1:16" s="14" customFormat="1" x14ac:dyDescent="0.25">
      <c r="A325"/>
      <c r="B325"/>
      <c r="C325"/>
      <c r="D325"/>
      <c r="E325"/>
      <c r="F325"/>
      <c r="G325"/>
      <c r="H325"/>
      <c r="I325"/>
      <c r="J325"/>
      <c r="K325"/>
      <c r="L325"/>
      <c r="M325"/>
      <c r="N325"/>
      <c r="O325"/>
      <c r="P325"/>
    </row>
    <row r="326" spans="1:16" s="14" customFormat="1" x14ac:dyDescent="0.25">
      <c r="A326"/>
      <c r="B326"/>
      <c r="C326"/>
      <c r="D326"/>
      <c r="E326"/>
      <c r="F326"/>
      <c r="G326"/>
      <c r="H326"/>
      <c r="I326"/>
      <c r="J326"/>
      <c r="K326"/>
      <c r="L326"/>
      <c r="M326"/>
      <c r="N326"/>
      <c r="O326"/>
      <c r="P326"/>
    </row>
    <row r="327" spans="1:16" s="14" customFormat="1" x14ac:dyDescent="0.25">
      <c r="A327"/>
      <c r="B327"/>
      <c r="C327"/>
      <c r="D327"/>
      <c r="E327"/>
      <c r="F327"/>
      <c r="G327"/>
      <c r="H327"/>
      <c r="I327"/>
      <c r="J327"/>
      <c r="K327"/>
      <c r="L327"/>
      <c r="M327"/>
      <c r="N327"/>
      <c r="O327"/>
      <c r="P327"/>
    </row>
    <row r="328" spans="1:16" s="14" customFormat="1" x14ac:dyDescent="0.25">
      <c r="A328"/>
      <c r="B328"/>
      <c r="C328"/>
      <c r="D328"/>
      <c r="E328"/>
      <c r="F328"/>
      <c r="G328"/>
      <c r="H328"/>
      <c r="I328"/>
      <c r="J328"/>
      <c r="K328"/>
      <c r="L328"/>
      <c r="M328"/>
      <c r="N328"/>
      <c r="O328"/>
      <c r="P328"/>
    </row>
    <row r="329" spans="1:16" s="14" customFormat="1" x14ac:dyDescent="0.25">
      <c r="A329"/>
      <c r="B329"/>
      <c r="C329"/>
      <c r="D329"/>
      <c r="E329"/>
      <c r="F329"/>
      <c r="G329"/>
      <c r="H329"/>
      <c r="I329"/>
      <c r="J329"/>
      <c r="K329"/>
      <c r="L329"/>
      <c r="M329"/>
      <c r="N329"/>
      <c r="O329"/>
      <c r="P329"/>
    </row>
    <row r="330" spans="1:16" s="14" customFormat="1" x14ac:dyDescent="0.25">
      <c r="A330"/>
      <c r="B330"/>
      <c r="C330"/>
      <c r="D330"/>
      <c r="E330"/>
      <c r="F330"/>
      <c r="G330"/>
      <c r="H330"/>
      <c r="I330"/>
      <c r="J330"/>
      <c r="K330"/>
      <c r="L330"/>
      <c r="M330"/>
      <c r="N330"/>
      <c r="O330"/>
      <c r="P330"/>
    </row>
    <row r="331" spans="1:16" s="14" customFormat="1" x14ac:dyDescent="0.25">
      <c r="A331"/>
      <c r="B331"/>
      <c r="C331"/>
      <c r="D331"/>
      <c r="E331"/>
      <c r="F331"/>
      <c r="G331"/>
      <c r="H331"/>
      <c r="I331"/>
      <c r="J331"/>
      <c r="K331"/>
      <c r="L331"/>
      <c r="M331"/>
      <c r="N331"/>
      <c r="O331"/>
      <c r="P331"/>
    </row>
    <row r="332" spans="1:16" s="14" customFormat="1" x14ac:dyDescent="0.25">
      <c r="A332"/>
      <c r="B332"/>
      <c r="C332"/>
      <c r="D332"/>
      <c r="E332"/>
      <c r="F332"/>
      <c r="G332"/>
      <c r="H332"/>
      <c r="I332"/>
      <c r="J332"/>
      <c r="K332"/>
      <c r="L332"/>
      <c r="M332"/>
      <c r="N332"/>
      <c r="O332"/>
      <c r="P332"/>
    </row>
    <row r="333" spans="1:16" s="14" customFormat="1" x14ac:dyDescent="0.25">
      <c r="A333"/>
      <c r="B333"/>
      <c r="C333"/>
      <c r="D333"/>
      <c r="E333"/>
      <c r="F333"/>
      <c r="G333"/>
      <c r="H333"/>
      <c r="I333"/>
      <c r="J333"/>
      <c r="K333"/>
      <c r="L333"/>
      <c r="M333"/>
      <c r="N333"/>
      <c r="O333"/>
      <c r="P333"/>
    </row>
    <row r="334" spans="1:16" s="14" customFormat="1" x14ac:dyDescent="0.25">
      <c r="A334"/>
      <c r="B334"/>
      <c r="C334"/>
      <c r="D334"/>
      <c r="E334"/>
      <c r="F334"/>
      <c r="G334"/>
      <c r="H334"/>
      <c r="I334"/>
      <c r="J334"/>
      <c r="K334"/>
      <c r="L334"/>
      <c r="M334"/>
      <c r="N334"/>
      <c r="O334"/>
      <c r="P334"/>
    </row>
    <row r="335" spans="1:16" s="14" customFormat="1" x14ac:dyDescent="0.25">
      <c r="A335"/>
      <c r="B335"/>
      <c r="C335"/>
      <c r="D335"/>
      <c r="E335"/>
      <c r="F335"/>
      <c r="G335"/>
      <c r="H335"/>
      <c r="I335"/>
      <c r="J335"/>
      <c r="K335"/>
      <c r="L335"/>
      <c r="M335"/>
      <c r="N335"/>
      <c r="O335"/>
      <c r="P335"/>
    </row>
    <row r="336" spans="1:16" s="14" customFormat="1" x14ac:dyDescent="0.25">
      <c r="A336"/>
      <c r="B336"/>
      <c r="C336"/>
      <c r="D336"/>
      <c r="E336"/>
      <c r="F336"/>
      <c r="G336"/>
      <c r="H336"/>
      <c r="I336"/>
      <c r="J336"/>
      <c r="K336"/>
      <c r="L336"/>
      <c r="M336"/>
      <c r="N336"/>
      <c r="O336"/>
      <c r="P336"/>
    </row>
    <row r="337" spans="1:16" s="14" customFormat="1" x14ac:dyDescent="0.25">
      <c r="A337"/>
      <c r="B337"/>
      <c r="C337"/>
      <c r="D337"/>
      <c r="E337"/>
      <c r="F337"/>
      <c r="G337"/>
      <c r="H337"/>
      <c r="I337"/>
      <c r="J337"/>
      <c r="K337"/>
      <c r="L337"/>
      <c r="M337"/>
      <c r="N337"/>
      <c r="O337"/>
      <c r="P337"/>
    </row>
    <row r="338" spans="1:16" s="14" customFormat="1" x14ac:dyDescent="0.25">
      <c r="A338"/>
      <c r="B338"/>
      <c r="C338"/>
      <c r="D338"/>
      <c r="E338"/>
      <c r="F338"/>
      <c r="G338"/>
      <c r="H338"/>
      <c r="I338"/>
      <c r="J338"/>
      <c r="K338"/>
      <c r="L338"/>
      <c r="M338"/>
      <c r="N338"/>
      <c r="O338"/>
      <c r="P338"/>
    </row>
    <row r="339" spans="1:16" s="14" customFormat="1" x14ac:dyDescent="0.25">
      <c r="A339"/>
      <c r="B339"/>
      <c r="C339"/>
      <c r="D339"/>
      <c r="E339"/>
      <c r="F339"/>
      <c r="G339"/>
      <c r="H339"/>
      <c r="I339"/>
      <c r="J339"/>
      <c r="K339"/>
      <c r="L339"/>
      <c r="M339"/>
      <c r="N339"/>
      <c r="O339"/>
      <c r="P339"/>
    </row>
    <row r="340" spans="1:16" s="14" customFormat="1" x14ac:dyDescent="0.25">
      <c r="A340"/>
      <c r="B340"/>
      <c r="C340"/>
      <c r="D340"/>
      <c r="E340"/>
      <c r="F340"/>
      <c r="G340"/>
      <c r="H340"/>
      <c r="I340"/>
      <c r="J340"/>
      <c r="K340"/>
      <c r="L340"/>
      <c r="M340"/>
      <c r="N340"/>
      <c r="O340"/>
      <c r="P340"/>
    </row>
    <row r="341" spans="1:16" s="14" customFormat="1" x14ac:dyDescent="0.25">
      <c r="A341"/>
      <c r="B341"/>
      <c r="C341"/>
      <c r="D341"/>
      <c r="E341"/>
      <c r="F341"/>
      <c r="G341"/>
      <c r="H341"/>
      <c r="I341"/>
      <c r="J341"/>
      <c r="K341"/>
      <c r="L341"/>
      <c r="M341"/>
      <c r="N341"/>
      <c r="O341"/>
      <c r="P341"/>
    </row>
    <row r="342" spans="1:16" s="14" customFormat="1" x14ac:dyDescent="0.25">
      <c r="A342"/>
      <c r="B342"/>
      <c r="C342"/>
      <c r="D342"/>
      <c r="E342"/>
      <c r="F342"/>
      <c r="G342"/>
      <c r="H342"/>
      <c r="I342"/>
      <c r="J342"/>
      <c r="K342"/>
      <c r="L342"/>
      <c r="M342"/>
      <c r="N342"/>
      <c r="O342"/>
      <c r="P342"/>
    </row>
    <row r="343" spans="1:16" s="14" customFormat="1" x14ac:dyDescent="0.25">
      <c r="A343"/>
      <c r="B343"/>
      <c r="C343"/>
      <c r="D343"/>
      <c r="E343"/>
      <c r="F343"/>
      <c r="G343"/>
      <c r="H343"/>
      <c r="I343"/>
      <c r="J343"/>
      <c r="K343"/>
      <c r="L343"/>
      <c r="M343"/>
      <c r="N343"/>
      <c r="O343"/>
      <c r="P343"/>
    </row>
    <row r="344" spans="1:16" s="14" customFormat="1" x14ac:dyDescent="0.25">
      <c r="A344"/>
      <c r="B344"/>
      <c r="C344"/>
      <c r="D344"/>
      <c r="E344"/>
      <c r="F344"/>
      <c r="G344"/>
      <c r="H344"/>
      <c r="I344"/>
      <c r="J344"/>
      <c r="K344"/>
      <c r="L344"/>
      <c r="M344"/>
      <c r="N344"/>
      <c r="O344"/>
      <c r="P344"/>
    </row>
    <row r="345" spans="1:16" s="14" customFormat="1" x14ac:dyDescent="0.25">
      <c r="A345"/>
      <c r="B345"/>
      <c r="C345"/>
      <c r="D345"/>
      <c r="E345"/>
      <c r="F345"/>
      <c r="G345"/>
      <c r="H345"/>
      <c r="I345"/>
      <c r="J345"/>
      <c r="K345"/>
      <c r="L345"/>
      <c r="M345"/>
      <c r="N345"/>
      <c r="O345"/>
      <c r="P345"/>
    </row>
    <row r="346" spans="1:16" s="14" customFormat="1" x14ac:dyDescent="0.25">
      <c r="A346"/>
      <c r="B346"/>
      <c r="C346"/>
      <c r="D346"/>
      <c r="E346"/>
      <c r="F346"/>
      <c r="G346"/>
      <c r="H346"/>
      <c r="I346"/>
      <c r="J346"/>
      <c r="K346"/>
      <c r="L346"/>
      <c r="M346"/>
      <c r="N346"/>
      <c r="O346"/>
      <c r="P346"/>
    </row>
    <row r="347" spans="1:16" s="14" customFormat="1" x14ac:dyDescent="0.25">
      <c r="A347"/>
      <c r="B347"/>
      <c r="C347"/>
      <c r="D347"/>
      <c r="E347"/>
      <c r="F347"/>
      <c r="G347"/>
      <c r="H347"/>
      <c r="I347"/>
      <c r="J347"/>
      <c r="K347"/>
      <c r="L347"/>
      <c r="M347"/>
      <c r="N347"/>
      <c r="O347"/>
      <c r="P347"/>
    </row>
    <row r="348" spans="1:16" s="14" customFormat="1" x14ac:dyDescent="0.25">
      <c r="A348"/>
      <c r="B348"/>
      <c r="C348"/>
      <c r="D348"/>
      <c r="E348"/>
      <c r="F348"/>
      <c r="G348"/>
      <c r="H348"/>
      <c r="I348"/>
      <c r="J348"/>
      <c r="K348"/>
      <c r="L348"/>
      <c r="M348"/>
      <c r="N348"/>
      <c r="O348"/>
      <c r="P348"/>
    </row>
    <row r="349" spans="1:16" s="14" customFormat="1" x14ac:dyDescent="0.25">
      <c r="A349"/>
      <c r="B349"/>
      <c r="C349"/>
      <c r="D349"/>
      <c r="E349"/>
      <c r="F349"/>
      <c r="G349"/>
      <c r="H349"/>
      <c r="I349"/>
      <c r="J349"/>
      <c r="K349"/>
      <c r="L349"/>
      <c r="M349"/>
      <c r="N349"/>
      <c r="O349"/>
      <c r="P349"/>
    </row>
    <row r="350" spans="1:16" s="14" customFormat="1" x14ac:dyDescent="0.25">
      <c r="A350"/>
      <c r="B350"/>
      <c r="C350"/>
      <c r="D350"/>
      <c r="E350"/>
      <c r="F350"/>
      <c r="G350"/>
      <c r="H350"/>
      <c r="I350"/>
      <c r="J350"/>
      <c r="K350"/>
      <c r="L350"/>
      <c r="M350"/>
      <c r="N350"/>
      <c r="O350"/>
      <c r="P350"/>
    </row>
    <row r="351" spans="1:16" s="14" customFormat="1" x14ac:dyDescent="0.25">
      <c r="A351"/>
      <c r="B351"/>
      <c r="C351"/>
      <c r="D351"/>
      <c r="E351"/>
      <c r="F351"/>
      <c r="G351"/>
      <c r="H351"/>
      <c r="I351"/>
      <c r="J351"/>
      <c r="K351"/>
      <c r="L351"/>
      <c r="M351"/>
      <c r="N351"/>
      <c r="O351"/>
      <c r="P351"/>
    </row>
    <row r="352" spans="1:16" s="14" customFormat="1" x14ac:dyDescent="0.25">
      <c r="A352"/>
      <c r="B352"/>
      <c r="C352"/>
      <c r="D352"/>
      <c r="E352"/>
      <c r="F352"/>
      <c r="G352"/>
      <c r="H352"/>
      <c r="I352"/>
      <c r="J352"/>
      <c r="K352"/>
      <c r="L352"/>
      <c r="M352"/>
      <c r="N352"/>
      <c r="O352"/>
      <c r="P352"/>
    </row>
    <row r="353" spans="1:16" s="14" customFormat="1" x14ac:dyDescent="0.25">
      <c r="A353"/>
      <c r="B353"/>
      <c r="C353"/>
      <c r="D353"/>
      <c r="E353"/>
      <c r="F353"/>
      <c r="G353"/>
      <c r="H353"/>
      <c r="I353"/>
      <c r="J353"/>
      <c r="K353"/>
      <c r="L353"/>
      <c r="M353"/>
      <c r="N353"/>
      <c r="O353"/>
      <c r="P353"/>
    </row>
    <row r="354" spans="1:16" s="14" customFormat="1" x14ac:dyDescent="0.25">
      <c r="A354"/>
      <c r="B354"/>
      <c r="C354"/>
      <c r="D354"/>
      <c r="E354"/>
      <c r="F354"/>
      <c r="G354"/>
      <c r="H354"/>
      <c r="I354"/>
      <c r="J354"/>
      <c r="K354"/>
      <c r="L354"/>
      <c r="M354"/>
      <c r="N354"/>
      <c r="O354"/>
      <c r="P354"/>
    </row>
    <row r="355" spans="1:16" s="14" customFormat="1" x14ac:dyDescent="0.25">
      <c r="A355"/>
      <c r="B355"/>
      <c r="C355"/>
      <c r="D355"/>
      <c r="E355"/>
      <c r="F355"/>
      <c r="G355"/>
      <c r="H355"/>
      <c r="I355"/>
      <c r="J355"/>
      <c r="K355"/>
      <c r="L355"/>
      <c r="M355"/>
      <c r="N355"/>
      <c r="O355"/>
      <c r="P355"/>
    </row>
    <row r="356" spans="1:16" s="14" customFormat="1" x14ac:dyDescent="0.25">
      <c r="A356"/>
      <c r="B356"/>
      <c r="C356"/>
      <c r="D356"/>
      <c r="E356"/>
      <c r="F356"/>
      <c r="G356"/>
      <c r="H356"/>
      <c r="I356"/>
      <c r="J356"/>
      <c r="K356"/>
      <c r="L356"/>
      <c r="M356"/>
      <c r="N356"/>
      <c r="O356"/>
      <c r="P356"/>
    </row>
    <row r="357" spans="1:16" s="14" customFormat="1" x14ac:dyDescent="0.25">
      <c r="A357"/>
      <c r="B357"/>
      <c r="C357"/>
      <c r="D357"/>
      <c r="E357"/>
      <c r="F357"/>
      <c r="G357"/>
      <c r="H357"/>
      <c r="I357"/>
      <c r="J357"/>
      <c r="K357"/>
      <c r="L357"/>
      <c r="M357"/>
      <c r="N357"/>
      <c r="O357"/>
      <c r="P357"/>
    </row>
    <row r="358" spans="1:16" s="14" customFormat="1" x14ac:dyDescent="0.25">
      <c r="A358"/>
      <c r="B358"/>
      <c r="C358"/>
      <c r="D358"/>
      <c r="E358"/>
      <c r="F358"/>
      <c r="G358"/>
      <c r="H358"/>
      <c r="I358"/>
      <c r="J358"/>
      <c r="K358"/>
      <c r="L358"/>
      <c r="M358"/>
      <c r="N358"/>
      <c r="O358"/>
      <c r="P358"/>
    </row>
    <row r="359" spans="1:16" s="14" customFormat="1" x14ac:dyDescent="0.25">
      <c r="A359"/>
      <c r="B359"/>
      <c r="C359"/>
      <c r="D359"/>
      <c r="E359"/>
      <c r="F359"/>
      <c r="G359"/>
      <c r="H359"/>
      <c r="I359"/>
      <c r="J359"/>
      <c r="K359"/>
      <c r="L359"/>
      <c r="M359"/>
      <c r="N359"/>
      <c r="O359"/>
      <c r="P359"/>
    </row>
    <row r="360" spans="1:16" s="14" customFormat="1" x14ac:dyDescent="0.25">
      <c r="A360"/>
      <c r="B360"/>
      <c r="C360"/>
      <c r="D360"/>
      <c r="E360"/>
      <c r="F360"/>
      <c r="G360"/>
      <c r="H360"/>
      <c r="I360"/>
      <c r="J360"/>
      <c r="K360"/>
      <c r="L360"/>
      <c r="M360"/>
      <c r="N360"/>
      <c r="O360"/>
      <c r="P360"/>
    </row>
    <row r="361" spans="1:16" s="14" customFormat="1" x14ac:dyDescent="0.25">
      <c r="A361"/>
      <c r="B361"/>
      <c r="C361"/>
      <c r="D361"/>
      <c r="E361"/>
      <c r="F361"/>
      <c r="G361"/>
      <c r="H361"/>
      <c r="I361"/>
      <c r="J361"/>
      <c r="K361"/>
      <c r="L361"/>
      <c r="M361"/>
      <c r="N361"/>
      <c r="O361"/>
      <c r="P361"/>
    </row>
    <row r="362" spans="1:16" s="14" customFormat="1" x14ac:dyDescent="0.25">
      <c r="A362"/>
      <c r="B362"/>
      <c r="C362"/>
      <c r="D362"/>
      <c r="E362"/>
      <c r="F362"/>
      <c r="G362"/>
      <c r="H362"/>
      <c r="I362"/>
      <c r="J362"/>
      <c r="K362"/>
      <c r="L362"/>
      <c r="M362"/>
      <c r="N362"/>
      <c r="O362"/>
      <c r="P362"/>
    </row>
    <row r="363" spans="1:16" s="14" customFormat="1" x14ac:dyDescent="0.25">
      <c r="A363"/>
      <c r="B363"/>
      <c r="C363"/>
      <c r="D363"/>
      <c r="E363"/>
      <c r="F363"/>
      <c r="G363"/>
      <c r="H363"/>
      <c r="I363"/>
      <c r="J363"/>
      <c r="K363"/>
      <c r="L363"/>
      <c r="M363"/>
      <c r="N363"/>
      <c r="O363"/>
      <c r="P363"/>
    </row>
    <row r="364" spans="1:16" s="14" customFormat="1" x14ac:dyDescent="0.25">
      <c r="A364"/>
      <c r="B364"/>
      <c r="C364"/>
      <c r="D364"/>
      <c r="E364"/>
      <c r="F364"/>
      <c r="G364"/>
      <c r="H364"/>
      <c r="I364"/>
      <c r="J364"/>
      <c r="K364"/>
      <c r="L364"/>
      <c r="M364"/>
      <c r="N364"/>
      <c r="O364"/>
      <c r="P364"/>
    </row>
    <row r="365" spans="1:16" s="14" customFormat="1" x14ac:dyDescent="0.25">
      <c r="A365"/>
      <c r="B365"/>
      <c r="C365"/>
      <c r="D365"/>
      <c r="E365"/>
      <c r="F365"/>
      <c r="G365"/>
      <c r="H365"/>
      <c r="I365"/>
      <c r="J365"/>
      <c r="K365"/>
      <c r="L365"/>
      <c r="M365"/>
      <c r="N365"/>
      <c r="O365"/>
      <c r="P365"/>
    </row>
    <row r="366" spans="1:16" s="14" customFormat="1" x14ac:dyDescent="0.25">
      <c r="A366"/>
      <c r="B366"/>
      <c r="C366"/>
      <c r="D366"/>
      <c r="E366"/>
      <c r="F366"/>
      <c r="G366"/>
      <c r="H366"/>
      <c r="I366"/>
      <c r="J366"/>
      <c r="K366"/>
      <c r="L366"/>
      <c r="M366"/>
      <c r="N366"/>
      <c r="O366"/>
      <c r="P366"/>
    </row>
    <row r="367" spans="1:16" s="14" customFormat="1" x14ac:dyDescent="0.25">
      <c r="A367"/>
      <c r="B367"/>
      <c r="C367"/>
      <c r="D367"/>
      <c r="E367"/>
      <c r="F367"/>
      <c r="G367"/>
      <c r="H367"/>
      <c r="I367"/>
      <c r="J367"/>
      <c r="K367"/>
      <c r="L367"/>
      <c r="M367"/>
      <c r="N367"/>
      <c r="O367"/>
      <c r="P367"/>
    </row>
    <row r="368" spans="1:16" s="14" customFormat="1" x14ac:dyDescent="0.25">
      <c r="A368"/>
      <c r="B368"/>
      <c r="C368"/>
      <c r="D368"/>
      <c r="E368"/>
      <c r="F368"/>
      <c r="G368"/>
      <c r="H368"/>
      <c r="I368"/>
      <c r="J368"/>
      <c r="K368"/>
      <c r="L368"/>
      <c r="M368"/>
      <c r="N368"/>
      <c r="O368"/>
      <c r="P368"/>
    </row>
    <row r="369" spans="1:23" s="14" customFormat="1" x14ac:dyDescent="0.25">
      <c r="A369"/>
      <c r="B369"/>
      <c r="C369"/>
      <c r="D369"/>
      <c r="E369"/>
      <c r="F369"/>
      <c r="G369"/>
      <c r="H369"/>
      <c r="I369"/>
      <c r="J369"/>
      <c r="K369"/>
      <c r="L369"/>
      <c r="M369"/>
      <c r="N369"/>
      <c r="O369"/>
      <c r="P369"/>
    </row>
    <row r="370" spans="1:23" s="14" customFormat="1" x14ac:dyDescent="0.25">
      <c r="A370"/>
      <c r="B370"/>
      <c r="C370"/>
      <c r="D370"/>
      <c r="E370"/>
      <c r="F370"/>
      <c r="G370"/>
      <c r="H370"/>
      <c r="I370"/>
      <c r="J370"/>
      <c r="K370"/>
      <c r="L370"/>
      <c r="M370"/>
      <c r="N370"/>
      <c r="O370"/>
      <c r="P370"/>
    </row>
    <row r="371" spans="1:23" s="14" customFormat="1" x14ac:dyDescent="0.25">
      <c r="A371"/>
      <c r="B371"/>
      <c r="C371"/>
      <c r="D371"/>
      <c r="E371"/>
      <c r="F371"/>
      <c r="G371"/>
      <c r="H371"/>
      <c r="I371"/>
      <c r="J371"/>
      <c r="K371"/>
      <c r="L371"/>
      <c r="M371"/>
      <c r="N371"/>
      <c r="O371"/>
      <c r="P371"/>
    </row>
    <row r="372" spans="1:23" s="14" customFormat="1" x14ac:dyDescent="0.25">
      <c r="A372"/>
      <c r="B372"/>
      <c r="C372"/>
      <c r="D372"/>
      <c r="E372"/>
      <c r="F372"/>
      <c r="G372"/>
      <c r="H372"/>
      <c r="I372"/>
      <c r="J372"/>
      <c r="K372"/>
      <c r="L372"/>
      <c r="M372"/>
      <c r="N372"/>
      <c r="O372"/>
      <c r="P372"/>
    </row>
    <row r="373" spans="1:23" s="14" customFormat="1" x14ac:dyDescent="0.25">
      <c r="A373"/>
      <c r="B373"/>
      <c r="C373"/>
      <c r="D373"/>
      <c r="E373"/>
      <c r="F373"/>
      <c r="G373"/>
      <c r="H373"/>
      <c r="I373"/>
      <c r="J373"/>
      <c r="K373"/>
      <c r="L373"/>
      <c r="M373"/>
      <c r="N373"/>
      <c r="O373"/>
      <c r="P373"/>
    </row>
    <row r="374" spans="1:23" s="14" customFormat="1" ht="15.75" thickBot="1" x14ac:dyDescent="0.3">
      <c r="A374"/>
      <c r="B374"/>
      <c r="C374"/>
      <c r="D374"/>
      <c r="E374"/>
      <c r="F374"/>
      <c r="G374"/>
      <c r="H374"/>
      <c r="I374"/>
      <c r="J374"/>
      <c r="K374"/>
      <c r="L374"/>
      <c r="M374"/>
      <c r="N374"/>
      <c r="O374"/>
      <c r="P374"/>
    </row>
    <row r="375" spans="1:23" s="14" customFormat="1" ht="15.75" thickBot="1" x14ac:dyDescent="0.3">
      <c r="A375"/>
      <c r="B375"/>
      <c r="C375"/>
      <c r="D375"/>
      <c r="E375"/>
      <c r="F375"/>
      <c r="G375"/>
      <c r="H375"/>
      <c r="I375"/>
      <c r="J375"/>
      <c r="K375"/>
      <c r="L375"/>
      <c r="M375"/>
      <c r="N375"/>
      <c r="O375"/>
      <c r="P375"/>
      <c r="Q375" s="26"/>
      <c r="R375" s="26"/>
      <c r="S375" s="26"/>
      <c r="T375" s="26"/>
      <c r="U375" s="26"/>
      <c r="V375" s="26"/>
      <c r="W375" s="26"/>
    </row>
    <row r="376" spans="1:23" s="14" customFormat="1" x14ac:dyDescent="0.25">
      <c r="A376"/>
      <c r="B376"/>
      <c r="C376"/>
      <c r="D376"/>
      <c r="E376"/>
      <c r="F376"/>
      <c r="G376"/>
      <c r="H376"/>
      <c r="I376"/>
      <c r="J376"/>
      <c r="K376"/>
      <c r="L376"/>
      <c r="M376"/>
      <c r="N376"/>
      <c r="O376"/>
      <c r="P376"/>
    </row>
    <row r="377" spans="1:23" s="14" customFormat="1" x14ac:dyDescent="0.25">
      <c r="A377"/>
      <c r="B377"/>
      <c r="C377"/>
      <c r="D377"/>
      <c r="E377"/>
      <c r="F377"/>
      <c r="G377"/>
      <c r="H377"/>
      <c r="I377"/>
      <c r="J377"/>
      <c r="K377"/>
      <c r="L377"/>
      <c r="M377"/>
      <c r="N377"/>
      <c r="O377"/>
      <c r="P377"/>
    </row>
    <row r="378" spans="1:23" s="14" customFormat="1" ht="15.75" thickBot="1" x14ac:dyDescent="0.3">
      <c r="A378"/>
      <c r="B378"/>
      <c r="C378"/>
      <c r="D378"/>
      <c r="E378"/>
      <c r="F378"/>
      <c r="G378"/>
      <c r="H378"/>
      <c r="I378"/>
      <c r="J378"/>
      <c r="K378"/>
      <c r="L378"/>
      <c r="M378"/>
      <c r="N378"/>
      <c r="O378"/>
      <c r="P378"/>
    </row>
    <row r="379" spans="1:23" s="14" customFormat="1" ht="15.75" thickBot="1" x14ac:dyDescent="0.3">
      <c r="A379"/>
      <c r="B379"/>
      <c r="C379"/>
      <c r="D379"/>
      <c r="E379"/>
      <c r="F379"/>
      <c r="G379"/>
      <c r="H379"/>
      <c r="I379"/>
      <c r="J379"/>
      <c r="K379"/>
      <c r="L379"/>
      <c r="M379"/>
      <c r="N379"/>
      <c r="O379"/>
      <c r="P379"/>
      <c r="Q379" s="36"/>
      <c r="R379" s="36"/>
      <c r="S379" s="36"/>
      <c r="T379" s="36"/>
      <c r="U379" s="36"/>
      <c r="V379" s="36"/>
      <c r="W379" s="36"/>
    </row>
    <row r="380" spans="1:23" s="14" customFormat="1" ht="15.75" thickBot="1" x14ac:dyDescent="0.3">
      <c r="A380"/>
      <c r="B380"/>
      <c r="C380"/>
      <c r="D380"/>
      <c r="E380"/>
      <c r="F380"/>
      <c r="G380"/>
      <c r="H380"/>
      <c r="I380"/>
      <c r="J380"/>
      <c r="K380"/>
      <c r="L380"/>
      <c r="M380"/>
      <c r="N380"/>
      <c r="O380"/>
      <c r="P380"/>
      <c r="Q380" s="26"/>
      <c r="R380" s="26"/>
      <c r="S380" s="26"/>
      <c r="T380" s="26"/>
      <c r="U380" s="26"/>
      <c r="V380" s="26"/>
      <c r="W380" s="26"/>
    </row>
    <row r="381" spans="1:23" s="14" customFormat="1" ht="15.75" thickBot="1" x14ac:dyDescent="0.3">
      <c r="A381"/>
      <c r="B381"/>
      <c r="C381"/>
      <c r="D381"/>
      <c r="E381"/>
      <c r="F381"/>
      <c r="G381"/>
      <c r="H381"/>
      <c r="I381"/>
      <c r="J381"/>
      <c r="K381"/>
      <c r="L381"/>
      <c r="M381"/>
      <c r="N381"/>
      <c r="O381"/>
      <c r="P381"/>
      <c r="Q381" s="37"/>
      <c r="R381" s="37"/>
      <c r="S381" s="37"/>
      <c r="T381" s="37"/>
      <c r="U381" s="37"/>
      <c r="V381" s="37"/>
      <c r="W381" s="37"/>
    </row>
    <row r="382" spans="1:23" s="14" customFormat="1" ht="15.75" thickBot="1" x14ac:dyDescent="0.3">
      <c r="A382"/>
      <c r="B382"/>
      <c r="C382"/>
      <c r="D382"/>
      <c r="E382"/>
      <c r="F382"/>
      <c r="G382"/>
      <c r="H382"/>
      <c r="I382"/>
      <c r="J382"/>
      <c r="K382"/>
      <c r="L382"/>
      <c r="M382"/>
      <c r="N382"/>
      <c r="O382"/>
      <c r="P382"/>
      <c r="Q382" s="26"/>
      <c r="R382" s="26"/>
      <c r="S382" s="26"/>
      <c r="T382" s="26"/>
      <c r="U382" s="26"/>
      <c r="V382" s="26"/>
      <c r="W382" s="26"/>
    </row>
    <row r="383" spans="1:23" s="14" customFormat="1" x14ac:dyDescent="0.25">
      <c r="A383"/>
      <c r="B383"/>
      <c r="C383"/>
      <c r="D383"/>
      <c r="E383"/>
      <c r="F383"/>
      <c r="G383"/>
      <c r="H383"/>
      <c r="I383"/>
      <c r="J383"/>
      <c r="K383"/>
      <c r="L383"/>
      <c r="M383"/>
      <c r="N383"/>
      <c r="O383"/>
      <c r="P383"/>
    </row>
    <row r="384" spans="1:23" s="14" customFormat="1" ht="15.75" thickBot="1" x14ac:dyDescent="0.3">
      <c r="A384"/>
      <c r="B384"/>
      <c r="C384"/>
      <c r="D384"/>
      <c r="E384"/>
      <c r="F384"/>
      <c r="G384"/>
      <c r="H384"/>
      <c r="I384"/>
      <c r="J384"/>
      <c r="K384"/>
      <c r="L384"/>
      <c r="M384"/>
      <c r="N384"/>
      <c r="O384"/>
      <c r="P384"/>
    </row>
    <row r="385" spans="1:23" s="14" customFormat="1" ht="15.75" thickBot="1" x14ac:dyDescent="0.3">
      <c r="A385"/>
      <c r="B385"/>
      <c r="C385"/>
      <c r="D385"/>
      <c r="E385"/>
      <c r="F385"/>
      <c r="G385"/>
      <c r="H385"/>
      <c r="I385"/>
      <c r="J385"/>
      <c r="K385"/>
      <c r="L385"/>
      <c r="M385"/>
      <c r="N385"/>
      <c r="O385"/>
      <c r="P385"/>
      <c r="Q385" s="2"/>
      <c r="R385" s="2"/>
      <c r="S385" s="2"/>
      <c r="T385" s="2"/>
      <c r="U385" s="2"/>
      <c r="V385" s="2"/>
      <c r="W385" s="2"/>
    </row>
    <row r="386" spans="1:23" x14ac:dyDescent="0.25">
      <c r="C386"/>
      <c r="D386"/>
    </row>
    <row r="387" spans="1:23" x14ac:dyDescent="0.25">
      <c r="C387"/>
      <c r="D387"/>
    </row>
    <row r="388" spans="1:23" x14ac:dyDescent="0.25">
      <c r="C388"/>
      <c r="D388"/>
    </row>
    <row r="389" spans="1:23" x14ac:dyDescent="0.25">
      <c r="C389"/>
      <c r="D389"/>
    </row>
    <row r="390" spans="1:23" x14ac:dyDescent="0.25">
      <c r="C390"/>
      <c r="D390"/>
    </row>
    <row r="391" spans="1:23" x14ac:dyDescent="0.25">
      <c r="C391"/>
      <c r="D391"/>
    </row>
    <row r="392" spans="1:23" x14ac:dyDescent="0.25">
      <c r="C392"/>
      <c r="D392"/>
    </row>
    <row r="393" spans="1:23" x14ac:dyDescent="0.25">
      <c r="C393"/>
      <c r="D393"/>
    </row>
    <row r="394" spans="1:23" x14ac:dyDescent="0.25">
      <c r="C394"/>
      <c r="D394"/>
    </row>
    <row r="395" spans="1:23" x14ac:dyDescent="0.25">
      <c r="C395"/>
      <c r="D395"/>
    </row>
    <row r="396" spans="1:23" x14ac:dyDescent="0.25">
      <c r="C396"/>
      <c r="D396"/>
    </row>
    <row r="397" spans="1:23" x14ac:dyDescent="0.25">
      <c r="C397"/>
      <c r="D397"/>
    </row>
    <row r="398" spans="1:23" x14ac:dyDescent="0.25">
      <c r="C398"/>
      <c r="D398"/>
    </row>
    <row r="399" spans="1:23" x14ac:dyDescent="0.25">
      <c r="C399"/>
      <c r="D399"/>
    </row>
    <row r="400" spans="1:23" x14ac:dyDescent="0.25">
      <c r="C400"/>
      <c r="D400"/>
    </row>
    <row r="401" spans="3:4" x14ac:dyDescent="0.25">
      <c r="C401"/>
      <c r="D401"/>
    </row>
    <row r="402" spans="3:4" x14ac:dyDescent="0.25">
      <c r="C402"/>
      <c r="D402"/>
    </row>
    <row r="403" spans="3:4" x14ac:dyDescent="0.25">
      <c r="C403"/>
      <c r="D403"/>
    </row>
    <row r="404" spans="3:4" x14ac:dyDescent="0.25">
      <c r="C404"/>
      <c r="D404"/>
    </row>
    <row r="405" spans="3:4" x14ac:dyDescent="0.25">
      <c r="C405"/>
      <c r="D405"/>
    </row>
    <row r="406" spans="3:4" x14ac:dyDescent="0.25">
      <c r="C406"/>
      <c r="D406"/>
    </row>
    <row r="407" spans="3:4" x14ac:dyDescent="0.25">
      <c r="C407"/>
      <c r="D407"/>
    </row>
    <row r="408" spans="3:4" x14ac:dyDescent="0.25">
      <c r="C408"/>
      <c r="D408"/>
    </row>
    <row r="409" spans="3:4" x14ac:dyDescent="0.25">
      <c r="C409"/>
      <c r="D409"/>
    </row>
    <row r="410" spans="3:4" x14ac:dyDescent="0.25">
      <c r="C410"/>
      <c r="D410"/>
    </row>
    <row r="411" spans="3:4" x14ac:dyDescent="0.25">
      <c r="C411"/>
      <c r="D411"/>
    </row>
    <row r="412" spans="3:4" x14ac:dyDescent="0.25">
      <c r="C412"/>
      <c r="D412"/>
    </row>
    <row r="413" spans="3:4" x14ac:dyDescent="0.25">
      <c r="C413"/>
      <c r="D413"/>
    </row>
    <row r="414" spans="3:4" x14ac:dyDescent="0.25">
      <c r="C414"/>
      <c r="D414"/>
    </row>
    <row r="415" spans="3:4" x14ac:dyDescent="0.25">
      <c r="C415"/>
      <c r="D415"/>
    </row>
    <row r="416" spans="3:4" x14ac:dyDescent="0.25">
      <c r="C416"/>
      <c r="D416"/>
    </row>
    <row r="417" spans="3:4" x14ac:dyDescent="0.25">
      <c r="C417"/>
      <c r="D417"/>
    </row>
    <row r="418" spans="3:4" x14ac:dyDescent="0.25">
      <c r="C418"/>
      <c r="D418"/>
    </row>
    <row r="419" spans="3:4" x14ac:dyDescent="0.25">
      <c r="C419"/>
      <c r="D419"/>
    </row>
    <row r="420" spans="3:4" x14ac:dyDescent="0.25">
      <c r="C420"/>
      <c r="D420"/>
    </row>
    <row r="421" spans="3:4" x14ac:dyDescent="0.25">
      <c r="C421"/>
      <c r="D421"/>
    </row>
    <row r="422" spans="3:4" x14ac:dyDescent="0.25">
      <c r="C422"/>
      <c r="D422"/>
    </row>
    <row r="423" spans="3:4" x14ac:dyDescent="0.25">
      <c r="C423"/>
      <c r="D423"/>
    </row>
    <row r="424" spans="3:4" x14ac:dyDescent="0.25">
      <c r="C424"/>
      <c r="D424"/>
    </row>
    <row r="425" spans="3:4" x14ac:dyDescent="0.25">
      <c r="C425"/>
      <c r="D425"/>
    </row>
    <row r="426" spans="3:4" x14ac:dyDescent="0.25">
      <c r="C426"/>
      <c r="D426"/>
    </row>
    <row r="427" spans="3:4" x14ac:dyDescent="0.25">
      <c r="C427"/>
      <c r="D427"/>
    </row>
    <row r="428" spans="3:4" x14ac:dyDescent="0.25">
      <c r="C428"/>
      <c r="D428"/>
    </row>
    <row r="429" spans="3:4" x14ac:dyDescent="0.25">
      <c r="C429"/>
      <c r="D429"/>
    </row>
    <row r="430" spans="3:4" x14ac:dyDescent="0.25">
      <c r="C430"/>
      <c r="D430"/>
    </row>
    <row r="431" spans="3:4" x14ac:dyDescent="0.25">
      <c r="C431"/>
      <c r="D431"/>
    </row>
    <row r="432" spans="3:4" x14ac:dyDescent="0.25">
      <c r="C432"/>
      <c r="D432"/>
    </row>
    <row r="433" spans="3:4" x14ac:dyDescent="0.25">
      <c r="C433"/>
      <c r="D433"/>
    </row>
    <row r="434" spans="3:4" x14ac:dyDescent="0.25">
      <c r="C434"/>
      <c r="D434"/>
    </row>
    <row r="435" spans="3:4" x14ac:dyDescent="0.25">
      <c r="C435"/>
      <c r="D435"/>
    </row>
    <row r="436" spans="3:4" x14ac:dyDescent="0.25">
      <c r="C436"/>
      <c r="D436"/>
    </row>
    <row r="437" spans="3:4" x14ac:dyDescent="0.25">
      <c r="C437"/>
      <c r="D437"/>
    </row>
    <row r="438" spans="3:4" x14ac:dyDescent="0.25">
      <c r="C438"/>
      <c r="D438"/>
    </row>
    <row r="439" spans="3:4" x14ac:dyDescent="0.25">
      <c r="C439"/>
      <c r="D439"/>
    </row>
    <row r="440" spans="3:4" x14ac:dyDescent="0.25">
      <c r="C440"/>
      <c r="D440"/>
    </row>
    <row r="441" spans="3:4" x14ac:dyDescent="0.25">
      <c r="C441"/>
      <c r="D441"/>
    </row>
    <row r="442" spans="3:4" x14ac:dyDescent="0.25">
      <c r="C442"/>
      <c r="D442"/>
    </row>
    <row r="443" spans="3:4" x14ac:dyDescent="0.25">
      <c r="C443"/>
      <c r="D443"/>
    </row>
    <row r="444" spans="3:4" x14ac:dyDescent="0.25">
      <c r="C444"/>
      <c r="D444"/>
    </row>
    <row r="445" spans="3:4" x14ac:dyDescent="0.25">
      <c r="C445"/>
      <c r="D445"/>
    </row>
    <row r="446" spans="3:4" x14ac:dyDescent="0.25">
      <c r="C446"/>
      <c r="D446"/>
    </row>
    <row r="447" spans="3:4" x14ac:dyDescent="0.25">
      <c r="C447"/>
      <c r="D447"/>
    </row>
    <row r="448" spans="3:4" x14ac:dyDescent="0.25">
      <c r="C448"/>
      <c r="D448"/>
    </row>
    <row r="449" spans="3:4" x14ac:dyDescent="0.25">
      <c r="C449"/>
      <c r="D449"/>
    </row>
    <row r="450" spans="3:4" x14ac:dyDescent="0.25">
      <c r="C450"/>
      <c r="D450"/>
    </row>
    <row r="451" spans="3:4" x14ac:dyDescent="0.25">
      <c r="C451"/>
      <c r="D451"/>
    </row>
    <row r="452" spans="3:4" x14ac:dyDescent="0.25">
      <c r="C452"/>
      <c r="D452"/>
    </row>
    <row r="453" spans="3:4" x14ac:dyDescent="0.25">
      <c r="C453"/>
      <c r="D453"/>
    </row>
    <row r="454" spans="3:4" x14ac:dyDescent="0.25">
      <c r="C454"/>
      <c r="D454"/>
    </row>
    <row r="455" spans="3:4" x14ac:dyDescent="0.25">
      <c r="C455"/>
      <c r="D455"/>
    </row>
    <row r="456" spans="3:4" x14ac:dyDescent="0.25">
      <c r="C456"/>
      <c r="D456"/>
    </row>
    <row r="457" spans="3:4" x14ac:dyDescent="0.25">
      <c r="C457"/>
      <c r="D457"/>
    </row>
    <row r="458" spans="3:4" x14ac:dyDescent="0.25">
      <c r="C458"/>
      <c r="D458"/>
    </row>
    <row r="459" spans="3:4" x14ac:dyDescent="0.25">
      <c r="C459"/>
      <c r="D459"/>
    </row>
    <row r="460" spans="3:4" x14ac:dyDescent="0.25">
      <c r="C460"/>
      <c r="D460"/>
    </row>
    <row r="461" spans="3:4" x14ac:dyDescent="0.25">
      <c r="C461"/>
      <c r="D461"/>
    </row>
    <row r="462" spans="3:4" x14ac:dyDescent="0.25">
      <c r="C462"/>
      <c r="D462"/>
    </row>
    <row r="463" spans="3:4" x14ac:dyDescent="0.25">
      <c r="C463"/>
      <c r="D463"/>
    </row>
    <row r="464" spans="3:4" x14ac:dyDescent="0.25">
      <c r="C464"/>
      <c r="D464"/>
    </row>
    <row r="465" spans="3:4" x14ac:dyDescent="0.25">
      <c r="C465"/>
      <c r="D465"/>
    </row>
    <row r="466" spans="3:4" x14ac:dyDescent="0.25">
      <c r="C466"/>
      <c r="D466"/>
    </row>
    <row r="467" spans="3:4" x14ac:dyDescent="0.25">
      <c r="C467"/>
      <c r="D467"/>
    </row>
    <row r="468" spans="3:4" x14ac:dyDescent="0.25">
      <c r="C468"/>
      <c r="D468"/>
    </row>
    <row r="469" spans="3:4" x14ac:dyDescent="0.25">
      <c r="C469"/>
      <c r="D469"/>
    </row>
    <row r="470" spans="3:4" x14ac:dyDescent="0.25">
      <c r="C470"/>
      <c r="D470"/>
    </row>
    <row r="471" spans="3:4" x14ac:dyDescent="0.25">
      <c r="C471"/>
      <c r="D471"/>
    </row>
    <row r="472" spans="3:4" x14ac:dyDescent="0.25">
      <c r="C472"/>
      <c r="D472"/>
    </row>
    <row r="473" spans="3:4" x14ac:dyDescent="0.25">
      <c r="C473"/>
      <c r="D473"/>
    </row>
    <row r="474" spans="3:4" x14ac:dyDescent="0.25">
      <c r="C474"/>
      <c r="D474"/>
    </row>
    <row r="475" spans="3:4" x14ac:dyDescent="0.25">
      <c r="C475"/>
      <c r="D475"/>
    </row>
    <row r="476" spans="3:4" x14ac:dyDescent="0.25">
      <c r="C476"/>
      <c r="D476"/>
    </row>
    <row r="477" spans="3:4" x14ac:dyDescent="0.25">
      <c r="C477"/>
      <c r="D477"/>
    </row>
    <row r="478" spans="3:4" x14ac:dyDescent="0.25">
      <c r="C478"/>
      <c r="D478"/>
    </row>
    <row r="479" spans="3:4" x14ac:dyDescent="0.25">
      <c r="C479"/>
      <c r="D479"/>
    </row>
    <row r="480" spans="3:4" x14ac:dyDescent="0.25">
      <c r="C480"/>
      <c r="D480"/>
    </row>
    <row r="481" spans="3:4" x14ac:dyDescent="0.25">
      <c r="C481"/>
      <c r="D481"/>
    </row>
    <row r="482" spans="3:4" x14ac:dyDescent="0.25">
      <c r="C482"/>
      <c r="D482"/>
    </row>
    <row r="483" spans="3:4" x14ac:dyDescent="0.25">
      <c r="C483"/>
      <c r="D483"/>
    </row>
    <row r="484" spans="3:4" x14ac:dyDescent="0.25">
      <c r="C484"/>
      <c r="D484"/>
    </row>
    <row r="485" spans="3:4" x14ac:dyDescent="0.25">
      <c r="C485"/>
      <c r="D485"/>
    </row>
    <row r="486" spans="3:4" x14ac:dyDescent="0.25">
      <c r="C486"/>
      <c r="D486"/>
    </row>
    <row r="487" spans="3:4" x14ac:dyDescent="0.25">
      <c r="C487"/>
      <c r="D487"/>
    </row>
    <row r="488" spans="3:4" x14ac:dyDescent="0.25">
      <c r="C488"/>
      <c r="D488"/>
    </row>
    <row r="489" spans="3:4" x14ac:dyDescent="0.25">
      <c r="C489"/>
      <c r="D489"/>
    </row>
    <row r="490" spans="3:4" x14ac:dyDescent="0.25">
      <c r="C490"/>
      <c r="D490"/>
    </row>
    <row r="491" spans="3:4" x14ac:dyDescent="0.25">
      <c r="C491"/>
      <c r="D491"/>
    </row>
    <row r="492" spans="3:4" x14ac:dyDescent="0.25">
      <c r="C492"/>
      <c r="D492"/>
    </row>
    <row r="493" spans="3:4" x14ac:dyDescent="0.25">
      <c r="C493"/>
      <c r="D493"/>
    </row>
    <row r="494" spans="3:4" x14ac:dyDescent="0.25">
      <c r="C494"/>
      <c r="D494"/>
    </row>
    <row r="495" spans="3:4" x14ac:dyDescent="0.25">
      <c r="C495"/>
      <c r="D495"/>
    </row>
    <row r="496" spans="3:4" x14ac:dyDescent="0.25">
      <c r="C496"/>
      <c r="D496"/>
    </row>
    <row r="497" spans="3:4" x14ac:dyDescent="0.25">
      <c r="C497"/>
      <c r="D497"/>
    </row>
    <row r="498" spans="3:4" x14ac:dyDescent="0.25">
      <c r="C498"/>
      <c r="D498"/>
    </row>
    <row r="499" spans="3:4" x14ac:dyDescent="0.25">
      <c r="C499"/>
      <c r="D499"/>
    </row>
    <row r="500" spans="3:4" x14ac:dyDescent="0.25">
      <c r="C500"/>
      <c r="D500"/>
    </row>
    <row r="501" spans="3:4" x14ac:dyDescent="0.25">
      <c r="C501"/>
      <c r="D501"/>
    </row>
    <row r="502" spans="3:4" x14ac:dyDescent="0.25">
      <c r="C502"/>
      <c r="D502"/>
    </row>
    <row r="503" spans="3:4" x14ac:dyDescent="0.25">
      <c r="C503"/>
      <c r="D503"/>
    </row>
    <row r="504" spans="3:4" x14ac:dyDescent="0.25">
      <c r="C504"/>
      <c r="D504"/>
    </row>
    <row r="505" spans="3:4" x14ac:dyDescent="0.25">
      <c r="C505"/>
      <c r="D505"/>
    </row>
    <row r="506" spans="3:4" x14ac:dyDescent="0.25">
      <c r="C506"/>
      <c r="D506"/>
    </row>
    <row r="507" spans="3:4" x14ac:dyDescent="0.25">
      <c r="C507"/>
      <c r="D507"/>
    </row>
    <row r="508" spans="3:4" x14ac:dyDescent="0.25">
      <c r="C508"/>
      <c r="D508"/>
    </row>
    <row r="509" spans="3:4" x14ac:dyDescent="0.25">
      <c r="C509"/>
      <c r="D509"/>
    </row>
    <row r="510" spans="3:4" x14ac:dyDescent="0.25">
      <c r="C510"/>
      <c r="D510"/>
    </row>
    <row r="511" spans="3:4" x14ac:dyDescent="0.25">
      <c r="C511"/>
      <c r="D511"/>
    </row>
    <row r="512" spans="3:4" x14ac:dyDescent="0.25">
      <c r="C512"/>
      <c r="D512"/>
    </row>
    <row r="513" spans="3:4" x14ac:dyDescent="0.25">
      <c r="C513"/>
      <c r="D513"/>
    </row>
    <row r="514" spans="3:4" x14ac:dyDescent="0.25">
      <c r="C514"/>
      <c r="D514"/>
    </row>
    <row r="515" spans="3:4" x14ac:dyDescent="0.25">
      <c r="C515"/>
      <c r="D515"/>
    </row>
    <row r="516" spans="3:4" x14ac:dyDescent="0.25">
      <c r="C516"/>
      <c r="D516"/>
    </row>
    <row r="517" spans="3:4" x14ac:dyDescent="0.25">
      <c r="C517"/>
      <c r="D517"/>
    </row>
    <row r="518" spans="3:4" x14ac:dyDescent="0.25">
      <c r="C518"/>
      <c r="D518"/>
    </row>
    <row r="519" spans="3:4" x14ac:dyDescent="0.25">
      <c r="C519"/>
      <c r="D519"/>
    </row>
    <row r="520" spans="3:4" x14ac:dyDescent="0.25">
      <c r="C520"/>
      <c r="D520"/>
    </row>
    <row r="521" spans="3:4" x14ac:dyDescent="0.25">
      <c r="C521"/>
      <c r="D521"/>
    </row>
    <row r="522" spans="3:4" x14ac:dyDescent="0.25">
      <c r="C522"/>
      <c r="D522"/>
    </row>
    <row r="523" spans="3:4" x14ac:dyDescent="0.25">
      <c r="C523"/>
      <c r="D523"/>
    </row>
    <row r="524" spans="3:4" x14ac:dyDescent="0.25">
      <c r="C524"/>
      <c r="D524"/>
    </row>
    <row r="525" spans="3:4" x14ac:dyDescent="0.25">
      <c r="C525"/>
      <c r="D525"/>
    </row>
    <row r="526" spans="3:4" x14ac:dyDescent="0.25">
      <c r="C526"/>
      <c r="D526"/>
    </row>
    <row r="527" spans="3:4" x14ac:dyDescent="0.25">
      <c r="C527"/>
      <c r="D527"/>
    </row>
    <row r="528" spans="3:4" x14ac:dyDescent="0.25">
      <c r="C528"/>
      <c r="D528"/>
    </row>
    <row r="529" spans="3:4" x14ac:dyDescent="0.25">
      <c r="C529"/>
      <c r="D529"/>
    </row>
    <row r="530" spans="3:4" x14ac:dyDescent="0.25">
      <c r="C530"/>
      <c r="D530"/>
    </row>
    <row r="531" spans="3:4" x14ac:dyDescent="0.25">
      <c r="C531"/>
      <c r="D531"/>
    </row>
    <row r="532" spans="3:4" x14ac:dyDescent="0.25">
      <c r="C532"/>
      <c r="D532"/>
    </row>
    <row r="533" spans="3:4" x14ac:dyDescent="0.25">
      <c r="C533"/>
      <c r="D533"/>
    </row>
    <row r="534" spans="3:4" x14ac:dyDescent="0.25">
      <c r="C534"/>
      <c r="D534"/>
    </row>
    <row r="535" spans="3:4" x14ac:dyDescent="0.25">
      <c r="C535"/>
      <c r="D535"/>
    </row>
    <row r="536" spans="3:4" x14ac:dyDescent="0.25">
      <c r="C536"/>
      <c r="D536"/>
    </row>
    <row r="537" spans="3:4" x14ac:dyDescent="0.25">
      <c r="C537"/>
      <c r="D537"/>
    </row>
    <row r="538" spans="3:4" x14ac:dyDescent="0.25">
      <c r="C538"/>
      <c r="D538"/>
    </row>
    <row r="539" spans="3:4" x14ac:dyDescent="0.25">
      <c r="C539"/>
      <c r="D539"/>
    </row>
    <row r="540" spans="3:4" x14ac:dyDescent="0.25">
      <c r="C540"/>
      <c r="D540"/>
    </row>
    <row r="541" spans="3:4" x14ac:dyDescent="0.25">
      <c r="C541"/>
      <c r="D541"/>
    </row>
    <row r="542" spans="3:4" x14ac:dyDescent="0.25">
      <c r="C542"/>
      <c r="D542"/>
    </row>
    <row r="543" spans="3:4" x14ac:dyDescent="0.25">
      <c r="C543"/>
      <c r="D543"/>
    </row>
    <row r="544" spans="3:4" x14ac:dyDescent="0.25">
      <c r="C544"/>
      <c r="D544"/>
    </row>
    <row r="545" spans="3:4" x14ac:dyDescent="0.25">
      <c r="C545"/>
      <c r="D545"/>
    </row>
    <row r="546" spans="3:4" x14ac:dyDescent="0.25">
      <c r="C546"/>
      <c r="D546"/>
    </row>
    <row r="547" spans="3:4" x14ac:dyDescent="0.25">
      <c r="C547"/>
      <c r="D547"/>
    </row>
    <row r="548" spans="3:4" x14ac:dyDescent="0.25">
      <c r="C548"/>
      <c r="D548"/>
    </row>
    <row r="549" spans="3:4" x14ac:dyDescent="0.25">
      <c r="C549"/>
      <c r="D549"/>
    </row>
    <row r="550" spans="3:4" x14ac:dyDescent="0.25">
      <c r="C550"/>
      <c r="D550"/>
    </row>
    <row r="551" spans="3:4" x14ac:dyDescent="0.25">
      <c r="C551"/>
      <c r="D551"/>
    </row>
    <row r="552" spans="3:4" x14ac:dyDescent="0.25">
      <c r="C552"/>
      <c r="D552"/>
    </row>
    <row r="553" spans="3:4" x14ac:dyDescent="0.25">
      <c r="C553"/>
      <c r="D553"/>
    </row>
    <row r="554" spans="3:4" x14ac:dyDescent="0.25">
      <c r="C554"/>
      <c r="D554"/>
    </row>
    <row r="555" spans="3:4" x14ac:dyDescent="0.25">
      <c r="C555"/>
      <c r="D555"/>
    </row>
    <row r="556" spans="3:4" x14ac:dyDescent="0.25">
      <c r="C556"/>
      <c r="D556"/>
    </row>
    <row r="557" spans="3:4" x14ac:dyDescent="0.25">
      <c r="C557"/>
      <c r="D557"/>
    </row>
    <row r="558" spans="3:4" x14ac:dyDescent="0.25">
      <c r="C558"/>
      <c r="D558"/>
    </row>
    <row r="559" spans="3:4" x14ac:dyDescent="0.25">
      <c r="C559"/>
      <c r="D559"/>
    </row>
    <row r="560" spans="3:4" x14ac:dyDescent="0.25">
      <c r="C560"/>
      <c r="D560"/>
    </row>
    <row r="561" spans="3:4" x14ac:dyDescent="0.25">
      <c r="C561"/>
      <c r="D561"/>
    </row>
    <row r="562" spans="3:4" x14ac:dyDescent="0.25">
      <c r="C562"/>
      <c r="D562"/>
    </row>
    <row r="563" spans="3:4" x14ac:dyDescent="0.25">
      <c r="C563"/>
      <c r="D563"/>
    </row>
    <row r="564" spans="3:4" x14ac:dyDescent="0.25">
      <c r="C564"/>
      <c r="D564"/>
    </row>
    <row r="565" spans="3:4" x14ac:dyDescent="0.25">
      <c r="C565"/>
      <c r="D565"/>
    </row>
    <row r="566" spans="3:4" x14ac:dyDescent="0.25">
      <c r="C566"/>
      <c r="D566"/>
    </row>
    <row r="567" spans="3:4" x14ac:dyDescent="0.25">
      <c r="C567"/>
      <c r="D567"/>
    </row>
    <row r="568" spans="3:4" x14ac:dyDescent="0.25">
      <c r="C568"/>
      <c r="D568"/>
    </row>
    <row r="569" spans="3:4" x14ac:dyDescent="0.25">
      <c r="C569"/>
      <c r="D569"/>
    </row>
    <row r="570" spans="3:4" x14ac:dyDescent="0.25">
      <c r="C570"/>
      <c r="D570"/>
    </row>
    <row r="571" spans="3:4" x14ac:dyDescent="0.25">
      <c r="C571"/>
      <c r="D571"/>
    </row>
    <row r="572" spans="3:4" x14ac:dyDescent="0.25">
      <c r="C572"/>
      <c r="D572"/>
    </row>
    <row r="573" spans="3:4" x14ac:dyDescent="0.25">
      <c r="C573"/>
      <c r="D573"/>
    </row>
    <row r="574" spans="3:4" x14ac:dyDescent="0.25">
      <c r="C574"/>
      <c r="D574"/>
    </row>
    <row r="575" spans="3:4" x14ac:dyDescent="0.25">
      <c r="C575"/>
      <c r="D575"/>
    </row>
    <row r="576" spans="3:4" x14ac:dyDescent="0.25">
      <c r="C576"/>
      <c r="D576"/>
    </row>
    <row r="577" spans="3:4" x14ac:dyDescent="0.25">
      <c r="C577"/>
      <c r="D577"/>
    </row>
    <row r="578" spans="3:4" x14ac:dyDescent="0.25">
      <c r="C578"/>
      <c r="D578"/>
    </row>
    <row r="579" spans="3:4" x14ac:dyDescent="0.25">
      <c r="C579"/>
      <c r="D579"/>
    </row>
    <row r="580" spans="3:4" x14ac:dyDescent="0.25">
      <c r="C580"/>
      <c r="D580"/>
    </row>
    <row r="581" spans="3:4" x14ac:dyDescent="0.25">
      <c r="C581"/>
      <c r="D581"/>
    </row>
    <row r="582" spans="3:4" x14ac:dyDescent="0.25">
      <c r="C582"/>
      <c r="D582"/>
    </row>
    <row r="583" spans="3:4" x14ac:dyDescent="0.25">
      <c r="C583"/>
      <c r="D583"/>
    </row>
    <row r="584" spans="3:4" x14ac:dyDescent="0.25">
      <c r="C584"/>
      <c r="D584"/>
    </row>
    <row r="585" spans="3:4" x14ac:dyDescent="0.25">
      <c r="C585"/>
      <c r="D585"/>
    </row>
    <row r="586" spans="3:4" x14ac:dyDescent="0.25">
      <c r="C586"/>
      <c r="D586"/>
    </row>
    <row r="587" spans="3:4" x14ac:dyDescent="0.25">
      <c r="C587"/>
      <c r="D587"/>
    </row>
    <row r="588" spans="3:4" x14ac:dyDescent="0.25">
      <c r="C588"/>
      <c r="D588"/>
    </row>
    <row r="589" spans="3:4" x14ac:dyDescent="0.25">
      <c r="C589"/>
      <c r="D589"/>
    </row>
    <row r="590" spans="3:4" x14ac:dyDescent="0.25">
      <c r="C590"/>
      <c r="D590"/>
    </row>
    <row r="591" spans="3:4" x14ac:dyDescent="0.25">
      <c r="C591"/>
      <c r="D591"/>
    </row>
    <row r="592" spans="3:4" x14ac:dyDescent="0.25">
      <c r="C592"/>
      <c r="D592"/>
    </row>
    <row r="593" spans="3:4" x14ac:dyDescent="0.25">
      <c r="C593"/>
      <c r="D593"/>
    </row>
    <row r="594" spans="3:4" x14ac:dyDescent="0.25">
      <c r="C594"/>
      <c r="D594"/>
    </row>
    <row r="595" spans="3:4" x14ac:dyDescent="0.25">
      <c r="C595"/>
      <c r="D595"/>
    </row>
    <row r="596" spans="3:4" x14ac:dyDescent="0.25">
      <c r="C596"/>
      <c r="D596"/>
    </row>
    <row r="597" spans="3:4" x14ac:dyDescent="0.25">
      <c r="C597"/>
      <c r="D597"/>
    </row>
    <row r="598" spans="3:4" x14ac:dyDescent="0.25">
      <c r="C598"/>
      <c r="D598"/>
    </row>
    <row r="599" spans="3:4" x14ac:dyDescent="0.25">
      <c r="C599"/>
      <c r="D599"/>
    </row>
    <row r="600" spans="3:4" x14ac:dyDescent="0.25">
      <c r="C600"/>
      <c r="D600"/>
    </row>
    <row r="601" spans="3:4" x14ac:dyDescent="0.25">
      <c r="C601"/>
      <c r="D601"/>
    </row>
    <row r="602" spans="3:4" x14ac:dyDescent="0.25">
      <c r="C602"/>
      <c r="D602"/>
    </row>
    <row r="603" spans="3:4" x14ac:dyDescent="0.25">
      <c r="C603"/>
      <c r="D603"/>
    </row>
    <row r="604" spans="3:4" x14ac:dyDescent="0.25">
      <c r="C604"/>
      <c r="D604"/>
    </row>
    <row r="605" spans="3:4" x14ac:dyDescent="0.25">
      <c r="C605"/>
      <c r="D605"/>
    </row>
    <row r="606" spans="3:4" x14ac:dyDescent="0.25">
      <c r="C606"/>
      <c r="D606"/>
    </row>
    <row r="607" spans="3:4" x14ac:dyDescent="0.25">
      <c r="C607"/>
      <c r="D607"/>
    </row>
    <row r="608" spans="3:4" x14ac:dyDescent="0.25">
      <c r="C608"/>
      <c r="D608"/>
    </row>
    <row r="609" spans="3:4" x14ac:dyDescent="0.25">
      <c r="C609"/>
      <c r="D609"/>
    </row>
    <row r="610" spans="3:4" x14ac:dyDescent="0.25">
      <c r="C610"/>
      <c r="D610"/>
    </row>
    <row r="611" spans="3:4" x14ac:dyDescent="0.25">
      <c r="C611"/>
      <c r="D611"/>
    </row>
    <row r="612" spans="3:4" x14ac:dyDescent="0.25">
      <c r="C612"/>
      <c r="D612"/>
    </row>
    <row r="613" spans="3:4" x14ac:dyDescent="0.25">
      <c r="C613"/>
      <c r="D613"/>
    </row>
    <row r="614" spans="3:4" x14ac:dyDescent="0.25">
      <c r="C614"/>
      <c r="D614"/>
    </row>
    <row r="615" spans="3:4" x14ac:dyDescent="0.25">
      <c r="C615"/>
      <c r="D615"/>
    </row>
    <row r="616" spans="3:4" x14ac:dyDescent="0.25">
      <c r="C616"/>
      <c r="D616"/>
    </row>
    <row r="617" spans="3:4" x14ac:dyDescent="0.25">
      <c r="C617"/>
      <c r="D617"/>
    </row>
    <row r="618" spans="3:4" x14ac:dyDescent="0.25">
      <c r="C618"/>
      <c r="D618"/>
    </row>
    <row r="619" spans="3:4" x14ac:dyDescent="0.25">
      <c r="C619"/>
      <c r="D619"/>
    </row>
    <row r="620" spans="3:4" x14ac:dyDescent="0.25">
      <c r="C620"/>
      <c r="D620"/>
    </row>
    <row r="621" spans="3:4" x14ac:dyDescent="0.25">
      <c r="C621"/>
      <c r="D621"/>
    </row>
    <row r="622" spans="3:4" x14ac:dyDescent="0.25">
      <c r="C622"/>
      <c r="D622"/>
    </row>
    <row r="623" spans="3:4" x14ac:dyDescent="0.25">
      <c r="C623"/>
      <c r="D623"/>
    </row>
    <row r="624" spans="3:4" x14ac:dyDescent="0.25">
      <c r="C624"/>
      <c r="D624"/>
    </row>
    <row r="625" spans="3:4" x14ac:dyDescent="0.25">
      <c r="C625"/>
      <c r="D625"/>
    </row>
    <row r="626" spans="3:4" x14ac:dyDescent="0.25">
      <c r="C626"/>
      <c r="D626"/>
    </row>
    <row r="627" spans="3:4" x14ac:dyDescent="0.25">
      <c r="C627"/>
      <c r="D627"/>
    </row>
    <row r="628" spans="3:4" x14ac:dyDescent="0.25">
      <c r="C628"/>
      <c r="D628"/>
    </row>
    <row r="629" spans="3:4" x14ac:dyDescent="0.25">
      <c r="C629"/>
      <c r="D629"/>
    </row>
    <row r="630" spans="3:4" x14ac:dyDescent="0.25">
      <c r="C630"/>
      <c r="D630"/>
    </row>
    <row r="631" spans="3:4" x14ac:dyDescent="0.25">
      <c r="C631"/>
      <c r="D631"/>
    </row>
    <row r="632" spans="3:4" x14ac:dyDescent="0.25">
      <c r="C632"/>
      <c r="D632"/>
    </row>
    <row r="633" spans="3:4" x14ac:dyDescent="0.25">
      <c r="C633"/>
      <c r="D633"/>
    </row>
    <row r="634" spans="3:4" x14ac:dyDescent="0.25">
      <c r="C634"/>
      <c r="D634"/>
    </row>
    <row r="635" spans="3:4" x14ac:dyDescent="0.25">
      <c r="C635"/>
      <c r="D635"/>
    </row>
    <row r="636" spans="3:4" x14ac:dyDescent="0.25">
      <c r="C636"/>
      <c r="D636"/>
    </row>
    <row r="637" spans="3:4" x14ac:dyDescent="0.25">
      <c r="C637"/>
      <c r="D637"/>
    </row>
    <row r="638" spans="3:4" x14ac:dyDescent="0.25">
      <c r="C638"/>
      <c r="D638"/>
    </row>
    <row r="639" spans="3:4" x14ac:dyDescent="0.25">
      <c r="C639"/>
      <c r="D639"/>
    </row>
    <row r="640" spans="3:4" x14ac:dyDescent="0.25">
      <c r="C640"/>
      <c r="D640"/>
    </row>
    <row r="641" spans="3:4" x14ac:dyDescent="0.25">
      <c r="C641"/>
      <c r="D641"/>
    </row>
    <row r="642" spans="3:4" x14ac:dyDescent="0.25">
      <c r="C642"/>
      <c r="D642"/>
    </row>
    <row r="643" spans="3:4" x14ac:dyDescent="0.25">
      <c r="C643"/>
      <c r="D643"/>
    </row>
    <row r="644" spans="3:4" x14ac:dyDescent="0.25">
      <c r="C644"/>
      <c r="D644"/>
    </row>
    <row r="645" spans="3:4" x14ac:dyDescent="0.25">
      <c r="C645"/>
      <c r="D645"/>
    </row>
    <row r="646" spans="3:4" x14ac:dyDescent="0.25">
      <c r="C646"/>
      <c r="D646"/>
    </row>
    <row r="647" spans="3:4" x14ac:dyDescent="0.25">
      <c r="C647"/>
      <c r="D647"/>
    </row>
    <row r="648" spans="3:4" x14ac:dyDescent="0.25">
      <c r="C648"/>
      <c r="D648"/>
    </row>
    <row r="649" spans="3:4" x14ac:dyDescent="0.25">
      <c r="C649"/>
      <c r="D649"/>
    </row>
    <row r="650" spans="3:4" x14ac:dyDescent="0.25">
      <c r="C650"/>
      <c r="D650"/>
    </row>
    <row r="651" spans="3:4" x14ac:dyDescent="0.25">
      <c r="C651"/>
      <c r="D651"/>
    </row>
    <row r="652" spans="3:4" x14ac:dyDescent="0.25">
      <c r="C652"/>
      <c r="D652"/>
    </row>
    <row r="653" spans="3:4" x14ac:dyDescent="0.25">
      <c r="C653"/>
      <c r="D653"/>
    </row>
    <row r="654" spans="3:4" x14ac:dyDescent="0.25">
      <c r="C654"/>
      <c r="D654"/>
    </row>
    <row r="655" spans="3:4" x14ac:dyDescent="0.25">
      <c r="C655"/>
      <c r="D655"/>
    </row>
    <row r="656" spans="3:4" x14ac:dyDescent="0.25">
      <c r="C656"/>
      <c r="D656"/>
    </row>
    <row r="657" spans="3:4" x14ac:dyDescent="0.25">
      <c r="C657"/>
      <c r="D657"/>
    </row>
    <row r="658" spans="3:4" x14ac:dyDescent="0.25">
      <c r="C658"/>
      <c r="D658"/>
    </row>
    <row r="659" spans="3:4" x14ac:dyDescent="0.25">
      <c r="C659"/>
      <c r="D659"/>
    </row>
    <row r="660" spans="3:4" x14ac:dyDescent="0.25">
      <c r="C660"/>
      <c r="D660"/>
    </row>
    <row r="661" spans="3:4" x14ac:dyDescent="0.25">
      <c r="C661"/>
      <c r="D661"/>
    </row>
    <row r="662" spans="3:4" x14ac:dyDescent="0.25">
      <c r="C662"/>
      <c r="D662"/>
    </row>
    <row r="663" spans="3:4" x14ac:dyDescent="0.25">
      <c r="C663"/>
      <c r="D663"/>
    </row>
    <row r="664" spans="3:4" x14ac:dyDescent="0.25">
      <c r="C664"/>
      <c r="D664"/>
    </row>
    <row r="665" spans="3:4" x14ac:dyDescent="0.25">
      <c r="C665"/>
      <c r="D665"/>
    </row>
    <row r="666" spans="3:4" x14ac:dyDescent="0.25">
      <c r="C666"/>
      <c r="D666"/>
    </row>
    <row r="667" spans="3:4" x14ac:dyDescent="0.25">
      <c r="C667"/>
      <c r="D667"/>
    </row>
    <row r="668" spans="3:4" x14ac:dyDescent="0.25">
      <c r="C668"/>
      <c r="D668"/>
    </row>
    <row r="669" spans="3:4" x14ac:dyDescent="0.25">
      <c r="C669"/>
      <c r="D669"/>
    </row>
    <row r="670" spans="3:4" x14ac:dyDescent="0.25">
      <c r="C670"/>
      <c r="D670"/>
    </row>
    <row r="671" spans="3:4" x14ac:dyDescent="0.25">
      <c r="C671"/>
      <c r="D671"/>
    </row>
    <row r="672" spans="3:4" x14ac:dyDescent="0.25">
      <c r="C672"/>
      <c r="D672"/>
    </row>
    <row r="673" spans="3:4" x14ac:dyDescent="0.25">
      <c r="C673"/>
      <c r="D673"/>
    </row>
    <row r="674" spans="3:4" x14ac:dyDescent="0.25">
      <c r="C674"/>
      <c r="D674"/>
    </row>
    <row r="675" spans="3:4" x14ac:dyDescent="0.25">
      <c r="C675"/>
      <c r="D675"/>
    </row>
    <row r="676" spans="3:4" x14ac:dyDescent="0.25">
      <c r="C676"/>
      <c r="D676"/>
    </row>
    <row r="677" spans="3:4" x14ac:dyDescent="0.25">
      <c r="C677"/>
      <c r="D677"/>
    </row>
    <row r="678" spans="3:4" x14ac:dyDescent="0.25">
      <c r="C678"/>
      <c r="D678"/>
    </row>
    <row r="679" spans="3:4" x14ac:dyDescent="0.25">
      <c r="C679"/>
      <c r="D679"/>
    </row>
    <row r="680" spans="3:4" x14ac:dyDescent="0.25">
      <c r="C680"/>
      <c r="D680"/>
    </row>
    <row r="681" spans="3:4" x14ac:dyDescent="0.25">
      <c r="C681"/>
      <c r="D681"/>
    </row>
    <row r="682" spans="3:4" x14ac:dyDescent="0.25">
      <c r="C682"/>
      <c r="D682"/>
    </row>
    <row r="683" spans="3:4" x14ac:dyDescent="0.25">
      <c r="C683"/>
      <c r="D683"/>
    </row>
    <row r="684" spans="3:4" x14ac:dyDescent="0.25">
      <c r="C684"/>
      <c r="D684"/>
    </row>
    <row r="685" spans="3:4" x14ac:dyDescent="0.25">
      <c r="C685"/>
      <c r="D685"/>
    </row>
    <row r="686" spans="3:4" x14ac:dyDescent="0.25">
      <c r="C686"/>
      <c r="D686"/>
    </row>
    <row r="687" spans="3:4" x14ac:dyDescent="0.25">
      <c r="C687"/>
      <c r="D687"/>
    </row>
    <row r="688" spans="3:4" x14ac:dyDescent="0.25">
      <c r="C688"/>
      <c r="D688"/>
    </row>
    <row r="689" spans="3:4" x14ac:dyDescent="0.25">
      <c r="C689"/>
      <c r="D689"/>
    </row>
    <row r="690" spans="3:4" x14ac:dyDescent="0.25">
      <c r="C690"/>
      <c r="D690"/>
    </row>
    <row r="691" spans="3:4" x14ac:dyDescent="0.25">
      <c r="C691"/>
      <c r="D691"/>
    </row>
    <row r="692" spans="3:4" x14ac:dyDescent="0.25">
      <c r="C692"/>
      <c r="D692"/>
    </row>
    <row r="693" spans="3:4" x14ac:dyDescent="0.25">
      <c r="C693"/>
      <c r="D693"/>
    </row>
    <row r="694" spans="3:4" x14ac:dyDescent="0.25">
      <c r="C694"/>
      <c r="D694"/>
    </row>
    <row r="695" spans="3:4" x14ac:dyDescent="0.25">
      <c r="C695"/>
      <c r="D695"/>
    </row>
    <row r="696" spans="3:4" x14ac:dyDescent="0.25">
      <c r="C696"/>
      <c r="D696"/>
    </row>
    <row r="697" spans="3:4" x14ac:dyDescent="0.25">
      <c r="C697"/>
      <c r="D697"/>
    </row>
    <row r="698" spans="3:4" x14ac:dyDescent="0.25">
      <c r="C698"/>
      <c r="D698"/>
    </row>
    <row r="699" spans="3:4" x14ac:dyDescent="0.25">
      <c r="C699"/>
      <c r="D699"/>
    </row>
    <row r="700" spans="3:4" x14ac:dyDescent="0.25">
      <c r="C700"/>
      <c r="D700"/>
    </row>
    <row r="701" spans="3:4" x14ac:dyDescent="0.25">
      <c r="C701"/>
      <c r="D701"/>
    </row>
    <row r="702" spans="3:4" x14ac:dyDescent="0.25">
      <c r="C702"/>
      <c r="D702"/>
    </row>
    <row r="703" spans="3:4" x14ac:dyDescent="0.25">
      <c r="C703"/>
      <c r="D703"/>
    </row>
    <row r="704" spans="3:4" x14ac:dyDescent="0.25">
      <c r="C704"/>
      <c r="D704"/>
    </row>
    <row r="705" spans="3:4" x14ac:dyDescent="0.25">
      <c r="C705"/>
      <c r="D705"/>
    </row>
    <row r="706" spans="3:4" x14ac:dyDescent="0.25">
      <c r="C706"/>
      <c r="D706"/>
    </row>
    <row r="707" spans="3:4" x14ac:dyDescent="0.25">
      <c r="C707"/>
      <c r="D707"/>
    </row>
    <row r="708" spans="3:4" x14ac:dyDescent="0.25">
      <c r="C708"/>
      <c r="D708"/>
    </row>
    <row r="709" spans="3:4" x14ac:dyDescent="0.25">
      <c r="C709"/>
      <c r="D709"/>
    </row>
    <row r="710" spans="3:4" x14ac:dyDescent="0.25">
      <c r="C710"/>
      <c r="D710"/>
    </row>
    <row r="711" spans="3:4" x14ac:dyDescent="0.25">
      <c r="C711"/>
      <c r="D711"/>
    </row>
    <row r="712" spans="3:4" x14ac:dyDescent="0.25">
      <c r="C712"/>
      <c r="D712"/>
    </row>
    <row r="713" spans="3:4" x14ac:dyDescent="0.25">
      <c r="C713"/>
      <c r="D713"/>
    </row>
    <row r="714" spans="3:4" x14ac:dyDescent="0.25">
      <c r="C714"/>
      <c r="D714"/>
    </row>
    <row r="715" spans="3:4" x14ac:dyDescent="0.25">
      <c r="C715"/>
      <c r="D715"/>
    </row>
    <row r="716" spans="3:4" x14ac:dyDescent="0.25">
      <c r="C716"/>
      <c r="D716"/>
    </row>
    <row r="717" spans="3:4" x14ac:dyDescent="0.25">
      <c r="C717"/>
      <c r="D717"/>
    </row>
    <row r="718" spans="3:4" x14ac:dyDescent="0.25">
      <c r="C718"/>
      <c r="D718"/>
    </row>
    <row r="719" spans="3:4" x14ac:dyDescent="0.25">
      <c r="C719"/>
      <c r="D719"/>
    </row>
    <row r="720" spans="3:4" x14ac:dyDescent="0.25">
      <c r="C720"/>
      <c r="D720"/>
    </row>
    <row r="721" spans="3:4" x14ac:dyDescent="0.25">
      <c r="C721"/>
      <c r="D721"/>
    </row>
    <row r="722" spans="3:4" x14ac:dyDescent="0.25">
      <c r="C722"/>
      <c r="D722"/>
    </row>
    <row r="723" spans="3:4" x14ac:dyDescent="0.25">
      <c r="C723"/>
      <c r="D723"/>
    </row>
    <row r="724" spans="3:4" x14ac:dyDescent="0.25">
      <c r="C724"/>
      <c r="D724"/>
    </row>
    <row r="725" spans="3:4" x14ac:dyDescent="0.25">
      <c r="C725"/>
      <c r="D725"/>
    </row>
    <row r="726" spans="3:4" x14ac:dyDescent="0.25">
      <c r="C726"/>
      <c r="D726"/>
    </row>
    <row r="727" spans="3:4" x14ac:dyDescent="0.25">
      <c r="C727"/>
      <c r="D727"/>
    </row>
    <row r="728" spans="3:4" x14ac:dyDescent="0.25">
      <c r="C728"/>
      <c r="D728"/>
    </row>
    <row r="729" spans="3:4" x14ac:dyDescent="0.25">
      <c r="C729"/>
      <c r="D729"/>
    </row>
    <row r="730" spans="3:4" x14ac:dyDescent="0.25">
      <c r="C730"/>
      <c r="D730"/>
    </row>
    <row r="731" spans="3:4" x14ac:dyDescent="0.25">
      <c r="C731"/>
      <c r="D731"/>
    </row>
    <row r="732" spans="3:4" x14ac:dyDescent="0.25">
      <c r="C732"/>
      <c r="D732"/>
    </row>
    <row r="733" spans="3:4" x14ac:dyDescent="0.25">
      <c r="C733"/>
      <c r="D733"/>
    </row>
    <row r="734" spans="3:4" x14ac:dyDescent="0.25">
      <c r="C734"/>
      <c r="D734"/>
    </row>
    <row r="735" spans="3:4" x14ac:dyDescent="0.25">
      <c r="C735"/>
      <c r="D735"/>
    </row>
    <row r="736" spans="3:4" x14ac:dyDescent="0.25">
      <c r="C736"/>
      <c r="D736"/>
    </row>
    <row r="737" spans="3:4" x14ac:dyDescent="0.25">
      <c r="C737"/>
      <c r="D737"/>
    </row>
    <row r="738" spans="3:4" x14ac:dyDescent="0.25">
      <c r="C738"/>
      <c r="D738"/>
    </row>
    <row r="739" spans="3:4" x14ac:dyDescent="0.25">
      <c r="C739"/>
      <c r="D739"/>
    </row>
    <row r="740" spans="3:4" x14ac:dyDescent="0.25">
      <c r="C740"/>
      <c r="D740"/>
    </row>
    <row r="741" spans="3:4" x14ac:dyDescent="0.25">
      <c r="C741"/>
      <c r="D741"/>
    </row>
    <row r="742" spans="3:4" x14ac:dyDescent="0.25">
      <c r="C742"/>
      <c r="D742"/>
    </row>
    <row r="743" spans="3:4" x14ac:dyDescent="0.25">
      <c r="C743"/>
      <c r="D743"/>
    </row>
    <row r="744" spans="3:4" x14ac:dyDescent="0.25">
      <c r="C744"/>
      <c r="D744"/>
    </row>
    <row r="745" spans="3:4" x14ac:dyDescent="0.25">
      <c r="C745"/>
      <c r="D745"/>
    </row>
    <row r="746" spans="3:4" x14ac:dyDescent="0.25">
      <c r="C746"/>
      <c r="D746"/>
    </row>
    <row r="747" spans="3:4" x14ac:dyDescent="0.25">
      <c r="C747"/>
      <c r="D747"/>
    </row>
    <row r="748" spans="3:4" x14ac:dyDescent="0.25">
      <c r="C748"/>
      <c r="D748"/>
    </row>
    <row r="749" spans="3:4" x14ac:dyDescent="0.25">
      <c r="C749"/>
      <c r="D749"/>
    </row>
    <row r="750" spans="3:4" x14ac:dyDescent="0.25">
      <c r="C750"/>
      <c r="D750"/>
    </row>
    <row r="751" spans="3:4" x14ac:dyDescent="0.25">
      <c r="C751"/>
      <c r="D751"/>
    </row>
    <row r="752" spans="3:4" x14ac:dyDescent="0.25">
      <c r="C752"/>
      <c r="D752"/>
    </row>
    <row r="753" spans="3:4" x14ac:dyDescent="0.25">
      <c r="C753"/>
      <c r="D753"/>
    </row>
    <row r="754" spans="3:4" x14ac:dyDescent="0.25">
      <c r="C754"/>
      <c r="D754"/>
    </row>
    <row r="755" spans="3:4" x14ac:dyDescent="0.25">
      <c r="C755"/>
      <c r="D755"/>
    </row>
    <row r="756" spans="3:4" x14ac:dyDescent="0.25">
      <c r="C756"/>
      <c r="D756"/>
    </row>
    <row r="757" spans="3:4" x14ac:dyDescent="0.25">
      <c r="C757"/>
      <c r="D757"/>
    </row>
    <row r="758" spans="3:4" x14ac:dyDescent="0.25">
      <c r="C758"/>
      <c r="D758"/>
    </row>
    <row r="759" spans="3:4" x14ac:dyDescent="0.25">
      <c r="C759"/>
      <c r="D759"/>
    </row>
    <row r="760" spans="3:4" x14ac:dyDescent="0.25">
      <c r="C760"/>
      <c r="D760"/>
    </row>
    <row r="761" spans="3:4" x14ac:dyDescent="0.25">
      <c r="C761"/>
      <c r="D761"/>
    </row>
    <row r="762" spans="3:4" x14ac:dyDescent="0.25">
      <c r="C762"/>
      <c r="D762"/>
    </row>
    <row r="763" spans="3:4" x14ac:dyDescent="0.25">
      <c r="C763"/>
      <c r="D763"/>
    </row>
    <row r="764" spans="3:4" x14ac:dyDescent="0.25">
      <c r="C764"/>
      <c r="D764"/>
    </row>
    <row r="765" spans="3:4" x14ac:dyDescent="0.25">
      <c r="C765"/>
      <c r="D765"/>
    </row>
    <row r="766" spans="3:4" x14ac:dyDescent="0.25">
      <c r="C766"/>
      <c r="D766"/>
    </row>
    <row r="767" spans="3:4" x14ac:dyDescent="0.25">
      <c r="C767"/>
      <c r="D767"/>
    </row>
    <row r="768" spans="3:4" x14ac:dyDescent="0.25">
      <c r="C768"/>
      <c r="D768"/>
    </row>
    <row r="769" spans="3:4" x14ac:dyDescent="0.25">
      <c r="C769"/>
      <c r="D769"/>
    </row>
    <row r="770" spans="3:4" x14ac:dyDescent="0.25">
      <c r="C770"/>
      <c r="D770"/>
    </row>
    <row r="771" spans="3:4" x14ac:dyDescent="0.25">
      <c r="C771"/>
      <c r="D771"/>
    </row>
    <row r="772" spans="3:4" x14ac:dyDescent="0.25">
      <c r="C772"/>
      <c r="D772"/>
    </row>
    <row r="773" spans="3:4" x14ac:dyDescent="0.25">
      <c r="C773"/>
      <c r="D773"/>
    </row>
    <row r="774" spans="3:4" x14ac:dyDescent="0.25">
      <c r="C774"/>
      <c r="D774"/>
    </row>
    <row r="775" spans="3:4" x14ac:dyDescent="0.25">
      <c r="C775"/>
      <c r="D775"/>
    </row>
    <row r="776" spans="3:4" x14ac:dyDescent="0.25">
      <c r="C776"/>
      <c r="D776"/>
    </row>
    <row r="777" spans="3:4" x14ac:dyDescent="0.25">
      <c r="C777"/>
      <c r="D777"/>
    </row>
    <row r="778" spans="3:4" x14ac:dyDescent="0.25">
      <c r="C778"/>
      <c r="D778"/>
    </row>
    <row r="779" spans="3:4" x14ac:dyDescent="0.25">
      <c r="C779"/>
      <c r="D779"/>
    </row>
    <row r="780" spans="3:4" x14ac:dyDescent="0.25">
      <c r="C780"/>
      <c r="D780"/>
    </row>
    <row r="781" spans="3:4" x14ac:dyDescent="0.25">
      <c r="C781"/>
      <c r="D781"/>
    </row>
    <row r="782" spans="3:4" x14ac:dyDescent="0.25">
      <c r="C782"/>
      <c r="D782"/>
    </row>
    <row r="783" spans="3:4" x14ac:dyDescent="0.25">
      <c r="C783"/>
      <c r="D783"/>
    </row>
    <row r="784" spans="3:4" x14ac:dyDescent="0.25">
      <c r="C784"/>
      <c r="D784"/>
    </row>
    <row r="785" spans="3:4" x14ac:dyDescent="0.25">
      <c r="C785"/>
      <c r="D785"/>
    </row>
    <row r="786" spans="3:4" x14ac:dyDescent="0.25">
      <c r="C786"/>
      <c r="D786"/>
    </row>
    <row r="787" spans="3:4" x14ac:dyDescent="0.25">
      <c r="C787"/>
      <c r="D787"/>
    </row>
    <row r="788" spans="3:4" x14ac:dyDescent="0.25">
      <c r="C788"/>
      <c r="D788"/>
    </row>
    <row r="789" spans="3:4" x14ac:dyDescent="0.25">
      <c r="C789"/>
      <c r="D789"/>
    </row>
    <row r="790" spans="3:4" x14ac:dyDescent="0.25">
      <c r="C790"/>
      <c r="D790"/>
    </row>
    <row r="791" spans="3:4" x14ac:dyDescent="0.25">
      <c r="C791"/>
      <c r="D791"/>
    </row>
    <row r="792" spans="3:4" x14ac:dyDescent="0.25">
      <c r="C792"/>
      <c r="D792"/>
    </row>
    <row r="793" spans="3:4" x14ac:dyDescent="0.25">
      <c r="C793"/>
      <c r="D793"/>
    </row>
    <row r="794" spans="3:4" x14ac:dyDescent="0.25">
      <c r="C794"/>
      <c r="D794"/>
    </row>
    <row r="795" spans="3:4" x14ac:dyDescent="0.25">
      <c r="C795"/>
      <c r="D795"/>
    </row>
    <row r="796" spans="3:4" x14ac:dyDescent="0.25">
      <c r="C796"/>
      <c r="D796"/>
    </row>
    <row r="797" spans="3:4" x14ac:dyDescent="0.25">
      <c r="C797"/>
      <c r="D797"/>
    </row>
    <row r="798" spans="3:4" x14ac:dyDescent="0.25">
      <c r="C798"/>
      <c r="D798"/>
    </row>
    <row r="799" spans="3:4" x14ac:dyDescent="0.25">
      <c r="C799"/>
      <c r="D799"/>
    </row>
    <row r="800" spans="3:4" x14ac:dyDescent="0.25">
      <c r="C800"/>
      <c r="D800"/>
    </row>
    <row r="801" spans="3:4" x14ac:dyDescent="0.25">
      <c r="C801"/>
      <c r="D801"/>
    </row>
    <row r="802" spans="3:4" x14ac:dyDescent="0.25">
      <c r="C802"/>
      <c r="D802"/>
    </row>
    <row r="803" spans="3:4" x14ac:dyDescent="0.25">
      <c r="C803"/>
      <c r="D803"/>
    </row>
    <row r="804" spans="3:4" x14ac:dyDescent="0.25">
      <c r="C804"/>
      <c r="D804"/>
    </row>
    <row r="805" spans="3:4" x14ac:dyDescent="0.25">
      <c r="C805"/>
      <c r="D805"/>
    </row>
    <row r="806" spans="3:4" x14ac:dyDescent="0.25">
      <c r="C806"/>
      <c r="D806"/>
    </row>
    <row r="807" spans="3:4" x14ac:dyDescent="0.25">
      <c r="C807"/>
      <c r="D807"/>
    </row>
    <row r="808" spans="3:4" x14ac:dyDescent="0.25">
      <c r="C808"/>
      <c r="D808"/>
    </row>
    <row r="809" spans="3:4" x14ac:dyDescent="0.25">
      <c r="C809"/>
      <c r="D809"/>
    </row>
    <row r="810" spans="3:4" x14ac:dyDescent="0.25">
      <c r="C810"/>
      <c r="D810"/>
    </row>
    <row r="811" spans="3:4" x14ac:dyDescent="0.25">
      <c r="C811"/>
      <c r="D811"/>
    </row>
    <row r="812" spans="3:4" x14ac:dyDescent="0.25">
      <c r="C812"/>
      <c r="D812"/>
    </row>
    <row r="813" spans="3:4" x14ac:dyDescent="0.25">
      <c r="C813"/>
      <c r="D813"/>
    </row>
    <row r="814" spans="3:4" x14ac:dyDescent="0.25">
      <c r="C814"/>
      <c r="D814"/>
    </row>
    <row r="815" spans="3:4" x14ac:dyDescent="0.25">
      <c r="C815"/>
      <c r="D815"/>
    </row>
    <row r="816" spans="3:4" x14ac:dyDescent="0.25">
      <c r="C816"/>
      <c r="D816"/>
    </row>
    <row r="817" spans="3:4" x14ac:dyDescent="0.25">
      <c r="C817"/>
      <c r="D817"/>
    </row>
    <row r="818" spans="3:4" x14ac:dyDescent="0.25">
      <c r="C818"/>
      <c r="D818"/>
    </row>
    <row r="819" spans="3:4" x14ac:dyDescent="0.25">
      <c r="C819"/>
      <c r="D819"/>
    </row>
    <row r="820" spans="3:4" x14ac:dyDescent="0.25">
      <c r="C820"/>
      <c r="D820"/>
    </row>
    <row r="821" spans="3:4" x14ac:dyDescent="0.25">
      <c r="C821"/>
      <c r="D821"/>
    </row>
    <row r="822" spans="3:4" x14ac:dyDescent="0.25">
      <c r="C822"/>
      <c r="D822"/>
    </row>
    <row r="823" spans="3:4" x14ac:dyDescent="0.25">
      <c r="C823"/>
      <c r="D823"/>
    </row>
    <row r="824" spans="3:4" x14ac:dyDescent="0.25">
      <c r="C824"/>
      <c r="D824"/>
    </row>
    <row r="825" spans="3:4" x14ac:dyDescent="0.25">
      <c r="C825"/>
      <c r="D825"/>
    </row>
    <row r="826" spans="3:4" x14ac:dyDescent="0.25">
      <c r="C826"/>
      <c r="D826"/>
    </row>
    <row r="827" spans="3:4" x14ac:dyDescent="0.25">
      <c r="C827"/>
      <c r="D827"/>
    </row>
    <row r="828" spans="3:4" x14ac:dyDescent="0.25">
      <c r="C828"/>
      <c r="D828"/>
    </row>
    <row r="829" spans="3:4" x14ac:dyDescent="0.25">
      <c r="C829"/>
      <c r="D829"/>
    </row>
    <row r="830" spans="3:4" x14ac:dyDescent="0.25">
      <c r="C830"/>
      <c r="D830"/>
    </row>
    <row r="831" spans="3:4" x14ac:dyDescent="0.25">
      <c r="C831"/>
      <c r="D831"/>
    </row>
    <row r="832" spans="3:4" x14ac:dyDescent="0.25">
      <c r="C832"/>
      <c r="D832"/>
    </row>
    <row r="833" spans="3:4" x14ac:dyDescent="0.25">
      <c r="C833"/>
      <c r="D833"/>
    </row>
    <row r="834" spans="3:4" x14ac:dyDescent="0.25">
      <c r="C834"/>
      <c r="D834"/>
    </row>
    <row r="835" spans="3:4" x14ac:dyDescent="0.25">
      <c r="C835"/>
      <c r="D835"/>
    </row>
    <row r="836" spans="3:4" x14ac:dyDescent="0.25">
      <c r="C836"/>
      <c r="D836"/>
    </row>
    <row r="837" spans="3:4" x14ac:dyDescent="0.25">
      <c r="C837"/>
      <c r="D837"/>
    </row>
    <row r="838" spans="3:4" x14ac:dyDescent="0.25">
      <c r="C838"/>
      <c r="D838"/>
    </row>
    <row r="839" spans="3:4" x14ac:dyDescent="0.25">
      <c r="C839"/>
      <c r="D839"/>
    </row>
    <row r="840" spans="3:4" x14ac:dyDescent="0.25">
      <c r="C840"/>
      <c r="D840"/>
    </row>
    <row r="841" spans="3:4" x14ac:dyDescent="0.25">
      <c r="C841"/>
      <c r="D841"/>
    </row>
    <row r="842" spans="3:4" x14ac:dyDescent="0.25">
      <c r="C842"/>
      <c r="D842"/>
    </row>
    <row r="843" spans="3:4" x14ac:dyDescent="0.25">
      <c r="C843"/>
      <c r="D843"/>
    </row>
    <row r="844" spans="3:4" x14ac:dyDescent="0.25">
      <c r="C844"/>
      <c r="D844"/>
    </row>
    <row r="845" spans="3:4" x14ac:dyDescent="0.25">
      <c r="C845"/>
      <c r="D845"/>
    </row>
    <row r="846" spans="3:4" x14ac:dyDescent="0.25">
      <c r="C846"/>
      <c r="D846"/>
    </row>
    <row r="847" spans="3:4" x14ac:dyDescent="0.25">
      <c r="C847"/>
      <c r="D847"/>
    </row>
    <row r="848" spans="3:4" x14ac:dyDescent="0.25">
      <c r="C848"/>
      <c r="D848"/>
    </row>
    <row r="849" spans="3:4" x14ac:dyDescent="0.25">
      <c r="C849"/>
      <c r="D849"/>
    </row>
    <row r="850" spans="3:4" x14ac:dyDescent="0.25">
      <c r="C850"/>
      <c r="D850"/>
    </row>
    <row r="851" spans="3:4" x14ac:dyDescent="0.25">
      <c r="C851"/>
      <c r="D851"/>
    </row>
    <row r="852" spans="3:4" x14ac:dyDescent="0.25">
      <c r="C852"/>
      <c r="D852"/>
    </row>
    <row r="853" spans="3:4" x14ac:dyDescent="0.25">
      <c r="C853"/>
      <c r="D853"/>
    </row>
    <row r="854" spans="3:4" x14ac:dyDescent="0.25">
      <c r="C854"/>
      <c r="D854"/>
    </row>
    <row r="855" spans="3:4" x14ac:dyDescent="0.25">
      <c r="C855"/>
      <c r="D855"/>
    </row>
    <row r="856" spans="3:4" x14ac:dyDescent="0.25">
      <c r="C856"/>
      <c r="D856"/>
    </row>
    <row r="857" spans="3:4" x14ac:dyDescent="0.25">
      <c r="C857"/>
      <c r="D857"/>
    </row>
    <row r="858" spans="3:4" x14ac:dyDescent="0.25">
      <c r="C858"/>
      <c r="D858"/>
    </row>
    <row r="859" spans="3:4" x14ac:dyDescent="0.25">
      <c r="C859"/>
      <c r="D859"/>
    </row>
    <row r="860" spans="3:4" x14ac:dyDescent="0.25">
      <c r="C860"/>
      <c r="D860"/>
    </row>
    <row r="861" spans="3:4" x14ac:dyDescent="0.25">
      <c r="C861"/>
      <c r="D861"/>
    </row>
    <row r="862" spans="3:4" x14ac:dyDescent="0.25">
      <c r="C862"/>
      <c r="D862"/>
    </row>
    <row r="863" spans="3:4" x14ac:dyDescent="0.25">
      <c r="C863"/>
      <c r="D863"/>
    </row>
    <row r="864" spans="3:4" x14ac:dyDescent="0.25">
      <c r="C864"/>
      <c r="D864"/>
    </row>
    <row r="865" spans="3:4" x14ac:dyDescent="0.25">
      <c r="C865"/>
      <c r="D865"/>
    </row>
    <row r="866" spans="3:4" x14ac:dyDescent="0.25">
      <c r="C866"/>
      <c r="D866"/>
    </row>
    <row r="867" spans="3:4" x14ac:dyDescent="0.25">
      <c r="C867"/>
      <c r="D867"/>
    </row>
    <row r="868" spans="3:4" x14ac:dyDescent="0.25">
      <c r="C868"/>
      <c r="D868"/>
    </row>
    <row r="869" spans="3:4" x14ac:dyDescent="0.25">
      <c r="C869"/>
      <c r="D869"/>
    </row>
    <row r="870" spans="3:4" x14ac:dyDescent="0.25">
      <c r="C870"/>
      <c r="D870"/>
    </row>
    <row r="871" spans="3:4" x14ac:dyDescent="0.25">
      <c r="C871"/>
      <c r="D871"/>
    </row>
    <row r="872" spans="3:4" x14ac:dyDescent="0.25">
      <c r="C872"/>
      <c r="D872"/>
    </row>
    <row r="873" spans="3:4" x14ac:dyDescent="0.25">
      <c r="C873"/>
      <c r="D873"/>
    </row>
    <row r="874" spans="3:4" x14ac:dyDescent="0.25">
      <c r="C874"/>
      <c r="D874"/>
    </row>
    <row r="875" spans="3:4" x14ac:dyDescent="0.25">
      <c r="C875"/>
      <c r="D875"/>
    </row>
    <row r="876" spans="3:4" x14ac:dyDescent="0.25">
      <c r="C876"/>
      <c r="D876"/>
    </row>
    <row r="877" spans="3:4" x14ac:dyDescent="0.25">
      <c r="C877"/>
      <c r="D877"/>
    </row>
    <row r="878" spans="3:4" x14ac:dyDescent="0.25">
      <c r="C878"/>
      <c r="D878"/>
    </row>
    <row r="879" spans="3:4" x14ac:dyDescent="0.25">
      <c r="C879"/>
      <c r="D879"/>
    </row>
    <row r="880" spans="3:4" x14ac:dyDescent="0.25">
      <c r="C880"/>
      <c r="D880"/>
    </row>
    <row r="881" spans="3:4" x14ac:dyDescent="0.25">
      <c r="C881"/>
      <c r="D881"/>
    </row>
    <row r="882" spans="3:4" x14ac:dyDescent="0.25">
      <c r="C882"/>
      <c r="D882"/>
    </row>
    <row r="883" spans="3:4" x14ac:dyDescent="0.25">
      <c r="C883"/>
      <c r="D883"/>
    </row>
    <row r="884" spans="3:4" x14ac:dyDescent="0.25">
      <c r="C884"/>
      <c r="D884"/>
    </row>
    <row r="885" spans="3:4" x14ac:dyDescent="0.25">
      <c r="C885"/>
      <c r="D885"/>
    </row>
    <row r="886" spans="3:4" x14ac:dyDescent="0.25">
      <c r="C886"/>
      <c r="D886"/>
    </row>
    <row r="887" spans="3:4" x14ac:dyDescent="0.25">
      <c r="C887"/>
      <c r="D887"/>
    </row>
    <row r="888" spans="3:4" x14ac:dyDescent="0.25">
      <c r="C888"/>
      <c r="D888"/>
    </row>
    <row r="889" spans="3:4" x14ac:dyDescent="0.25">
      <c r="C889"/>
      <c r="D889"/>
    </row>
    <row r="890" spans="3:4" x14ac:dyDescent="0.25">
      <c r="C890"/>
      <c r="D890"/>
    </row>
    <row r="891" spans="3:4" x14ac:dyDescent="0.25">
      <c r="C891"/>
      <c r="D891"/>
    </row>
    <row r="892" spans="3:4" x14ac:dyDescent="0.25">
      <c r="C892"/>
      <c r="D892"/>
    </row>
    <row r="893" spans="3:4" x14ac:dyDescent="0.25">
      <c r="C893"/>
      <c r="D893"/>
    </row>
    <row r="894" spans="3:4" x14ac:dyDescent="0.25">
      <c r="C894"/>
      <c r="D894"/>
    </row>
    <row r="895" spans="3:4" x14ac:dyDescent="0.25">
      <c r="C895"/>
      <c r="D895"/>
    </row>
    <row r="896" spans="3:4" x14ac:dyDescent="0.25">
      <c r="C896"/>
      <c r="D896"/>
    </row>
    <row r="897" spans="3:4" x14ac:dyDescent="0.25">
      <c r="C897"/>
      <c r="D897"/>
    </row>
    <row r="898" spans="3:4" x14ac:dyDescent="0.25">
      <c r="C898"/>
      <c r="D898"/>
    </row>
    <row r="899" spans="3:4" x14ac:dyDescent="0.25">
      <c r="C899"/>
      <c r="D899"/>
    </row>
    <row r="900" spans="3:4" x14ac:dyDescent="0.25">
      <c r="C900"/>
      <c r="D900"/>
    </row>
    <row r="901" spans="3:4" x14ac:dyDescent="0.25">
      <c r="C901"/>
      <c r="D901"/>
    </row>
    <row r="902" spans="3:4" x14ac:dyDescent="0.25">
      <c r="C902"/>
      <c r="D902"/>
    </row>
    <row r="903" spans="3:4" x14ac:dyDescent="0.25">
      <c r="C903"/>
      <c r="D903"/>
    </row>
    <row r="904" spans="3:4" x14ac:dyDescent="0.25">
      <c r="C904"/>
      <c r="D904"/>
    </row>
    <row r="905" spans="3:4" x14ac:dyDescent="0.25">
      <c r="C905"/>
      <c r="D905"/>
    </row>
    <row r="906" spans="3:4" x14ac:dyDescent="0.25">
      <c r="C906"/>
      <c r="D906"/>
    </row>
    <row r="907" spans="3:4" x14ac:dyDescent="0.25">
      <c r="C907"/>
      <c r="D907"/>
    </row>
    <row r="908" spans="3:4" x14ac:dyDescent="0.25">
      <c r="C908"/>
      <c r="D908"/>
    </row>
    <row r="909" spans="3:4" x14ac:dyDescent="0.25">
      <c r="C909"/>
      <c r="D909"/>
    </row>
    <row r="910" spans="3:4" x14ac:dyDescent="0.25">
      <c r="C910"/>
      <c r="D910"/>
    </row>
    <row r="911" spans="3:4" x14ac:dyDescent="0.25">
      <c r="C911"/>
      <c r="D911"/>
    </row>
    <row r="912" spans="3:4" x14ac:dyDescent="0.25">
      <c r="C912"/>
      <c r="D912"/>
    </row>
    <row r="913" spans="3:4" x14ac:dyDescent="0.25">
      <c r="C913"/>
      <c r="D913"/>
    </row>
    <row r="914" spans="3:4" x14ac:dyDescent="0.25">
      <c r="C914"/>
      <c r="D914"/>
    </row>
    <row r="915" spans="3:4" x14ac:dyDescent="0.25">
      <c r="C915"/>
      <c r="D915"/>
    </row>
    <row r="916" spans="3:4" x14ac:dyDescent="0.25">
      <c r="C916"/>
      <c r="D916"/>
    </row>
    <row r="917" spans="3:4" x14ac:dyDescent="0.25">
      <c r="C917"/>
      <c r="D917"/>
    </row>
    <row r="918" spans="3:4" x14ac:dyDescent="0.25">
      <c r="C918"/>
      <c r="D918"/>
    </row>
    <row r="919" spans="3:4" x14ac:dyDescent="0.25">
      <c r="C919"/>
      <c r="D919"/>
    </row>
    <row r="920" spans="3:4" x14ac:dyDescent="0.25">
      <c r="C920"/>
      <c r="D920"/>
    </row>
    <row r="921" spans="3:4" x14ac:dyDescent="0.25">
      <c r="C921"/>
      <c r="D921"/>
    </row>
    <row r="922" spans="3:4" x14ac:dyDescent="0.25">
      <c r="C922"/>
      <c r="D922"/>
    </row>
    <row r="923" spans="3:4" x14ac:dyDescent="0.25">
      <c r="C923"/>
      <c r="D923"/>
    </row>
    <row r="924" spans="3:4" x14ac:dyDescent="0.25">
      <c r="C924"/>
      <c r="D924"/>
    </row>
    <row r="925" spans="3:4" x14ac:dyDescent="0.25">
      <c r="C925"/>
      <c r="D925"/>
    </row>
    <row r="926" spans="3:4" x14ac:dyDescent="0.25">
      <c r="C926"/>
      <c r="D926"/>
    </row>
    <row r="927" spans="3:4" x14ac:dyDescent="0.25">
      <c r="C927"/>
      <c r="D927"/>
    </row>
    <row r="928" spans="3:4" x14ac:dyDescent="0.25">
      <c r="C928"/>
      <c r="D928"/>
    </row>
    <row r="929" spans="3:4" x14ac:dyDescent="0.25">
      <c r="C929"/>
      <c r="D929"/>
    </row>
    <row r="930" spans="3:4" x14ac:dyDescent="0.25">
      <c r="C930"/>
      <c r="D930"/>
    </row>
    <row r="931" spans="3:4" x14ac:dyDescent="0.25">
      <c r="C931"/>
      <c r="D931"/>
    </row>
    <row r="932" spans="3:4" x14ac:dyDescent="0.25">
      <c r="C932"/>
      <c r="D932"/>
    </row>
    <row r="933" spans="3:4" x14ac:dyDescent="0.25">
      <c r="C933"/>
      <c r="D933"/>
    </row>
    <row r="934" spans="3:4" x14ac:dyDescent="0.25">
      <c r="C934"/>
      <c r="D934"/>
    </row>
    <row r="935" spans="3:4" x14ac:dyDescent="0.25">
      <c r="C935"/>
      <c r="D935"/>
    </row>
    <row r="936" spans="3:4" x14ac:dyDescent="0.25">
      <c r="C936"/>
      <c r="D936"/>
    </row>
    <row r="937" spans="3:4" x14ac:dyDescent="0.25">
      <c r="C937"/>
      <c r="D937"/>
    </row>
    <row r="938" spans="3:4" x14ac:dyDescent="0.25">
      <c r="C938"/>
      <c r="D938"/>
    </row>
    <row r="939" spans="3:4" x14ac:dyDescent="0.25">
      <c r="C939"/>
      <c r="D939"/>
    </row>
    <row r="940" spans="3:4" x14ac:dyDescent="0.25">
      <c r="C940"/>
      <c r="D940"/>
    </row>
    <row r="941" spans="3:4" x14ac:dyDescent="0.25">
      <c r="C941"/>
      <c r="D941"/>
    </row>
    <row r="942" spans="3:4" x14ac:dyDescent="0.25">
      <c r="C942"/>
      <c r="D942"/>
    </row>
    <row r="943" spans="3:4" x14ac:dyDescent="0.25">
      <c r="C943"/>
      <c r="D943"/>
    </row>
    <row r="944" spans="3:4" x14ac:dyDescent="0.25">
      <c r="C944"/>
      <c r="D944"/>
    </row>
    <row r="945" spans="3:4" x14ac:dyDescent="0.25">
      <c r="C945"/>
      <c r="D945"/>
    </row>
    <row r="946" spans="3:4" x14ac:dyDescent="0.25">
      <c r="C946"/>
      <c r="D946"/>
    </row>
    <row r="947" spans="3:4" x14ac:dyDescent="0.25">
      <c r="C947"/>
      <c r="D947"/>
    </row>
    <row r="948" spans="3:4" x14ac:dyDescent="0.25">
      <c r="C948"/>
      <c r="D948"/>
    </row>
    <row r="949" spans="3:4" x14ac:dyDescent="0.25">
      <c r="C949"/>
      <c r="D949"/>
    </row>
    <row r="950" spans="3:4" x14ac:dyDescent="0.25">
      <c r="C950"/>
      <c r="D950"/>
    </row>
    <row r="951" spans="3:4" x14ac:dyDescent="0.25">
      <c r="C951"/>
      <c r="D951"/>
    </row>
    <row r="952" spans="3:4" x14ac:dyDescent="0.25">
      <c r="C952"/>
      <c r="D952"/>
    </row>
    <row r="953" spans="3:4" x14ac:dyDescent="0.25">
      <c r="C953"/>
      <c r="D953"/>
    </row>
    <row r="954" spans="3:4" x14ac:dyDescent="0.25">
      <c r="C954"/>
      <c r="D954"/>
    </row>
    <row r="955" spans="3:4" x14ac:dyDescent="0.25">
      <c r="C955"/>
      <c r="D955"/>
    </row>
    <row r="956" spans="3:4" x14ac:dyDescent="0.25">
      <c r="C956"/>
      <c r="D956"/>
    </row>
    <row r="957" spans="3:4" x14ac:dyDescent="0.25">
      <c r="C957"/>
      <c r="D957"/>
    </row>
    <row r="958" spans="3:4" x14ac:dyDescent="0.25">
      <c r="C958"/>
      <c r="D958"/>
    </row>
    <row r="959" spans="3:4" x14ac:dyDescent="0.25">
      <c r="C959"/>
      <c r="D959"/>
    </row>
    <row r="960" spans="3:4" x14ac:dyDescent="0.25">
      <c r="C960"/>
      <c r="D960"/>
    </row>
    <row r="961" spans="3:4" x14ac:dyDescent="0.25">
      <c r="C961"/>
      <c r="D961"/>
    </row>
    <row r="962" spans="3:4" x14ac:dyDescent="0.25">
      <c r="C962"/>
      <c r="D962"/>
    </row>
    <row r="963" spans="3:4" x14ac:dyDescent="0.25">
      <c r="C963"/>
      <c r="D963"/>
    </row>
    <row r="964" spans="3:4" x14ac:dyDescent="0.25">
      <c r="C964"/>
      <c r="D964"/>
    </row>
    <row r="965" spans="3:4" x14ac:dyDescent="0.25">
      <c r="C965"/>
      <c r="D965"/>
    </row>
    <row r="966" spans="3:4" x14ac:dyDescent="0.25">
      <c r="C966"/>
      <c r="D966"/>
    </row>
    <row r="967" spans="3:4" x14ac:dyDescent="0.25">
      <c r="C967"/>
      <c r="D967"/>
    </row>
    <row r="968" spans="3:4" x14ac:dyDescent="0.25">
      <c r="C968"/>
      <c r="D968"/>
    </row>
    <row r="969" spans="3:4" x14ac:dyDescent="0.25">
      <c r="C969"/>
      <c r="D969"/>
    </row>
    <row r="970" spans="3:4" x14ac:dyDescent="0.25">
      <c r="C970"/>
      <c r="D970"/>
    </row>
    <row r="971" spans="3:4" x14ac:dyDescent="0.25">
      <c r="C971"/>
      <c r="D971"/>
    </row>
    <row r="972" spans="3:4" x14ac:dyDescent="0.25">
      <c r="C972"/>
      <c r="D972"/>
    </row>
    <row r="973" spans="3:4" x14ac:dyDescent="0.25">
      <c r="C973"/>
      <c r="D973"/>
    </row>
    <row r="974" spans="3:4" x14ac:dyDescent="0.25">
      <c r="C974"/>
      <c r="D974"/>
    </row>
    <row r="975" spans="3:4" x14ac:dyDescent="0.25">
      <c r="C975"/>
      <c r="D975"/>
    </row>
    <row r="976" spans="3:4" x14ac:dyDescent="0.25">
      <c r="C976"/>
      <c r="D976"/>
    </row>
    <row r="977" spans="3:4" x14ac:dyDescent="0.25">
      <c r="C977"/>
      <c r="D977"/>
    </row>
    <row r="978" spans="3:4" x14ac:dyDescent="0.25">
      <c r="C978"/>
      <c r="D978"/>
    </row>
    <row r="979" spans="3:4" x14ac:dyDescent="0.25">
      <c r="C979"/>
      <c r="D979"/>
    </row>
    <row r="980" spans="3:4" x14ac:dyDescent="0.25">
      <c r="C980"/>
      <c r="D980"/>
    </row>
    <row r="981" spans="3:4" x14ac:dyDescent="0.25">
      <c r="C981"/>
      <c r="D981"/>
    </row>
    <row r="982" spans="3:4" x14ac:dyDescent="0.25">
      <c r="C982"/>
      <c r="D982"/>
    </row>
    <row r="983" spans="3:4" x14ac:dyDescent="0.25">
      <c r="C983"/>
      <c r="D983"/>
    </row>
    <row r="984" spans="3:4" x14ac:dyDescent="0.25">
      <c r="C984"/>
      <c r="D984"/>
    </row>
    <row r="985" spans="3:4" x14ac:dyDescent="0.25">
      <c r="C985"/>
      <c r="D985"/>
    </row>
    <row r="986" spans="3:4" x14ac:dyDescent="0.25">
      <c r="C986"/>
      <c r="D986"/>
    </row>
    <row r="987" spans="3:4" x14ac:dyDescent="0.25">
      <c r="C987"/>
      <c r="D987"/>
    </row>
    <row r="988" spans="3:4" x14ac:dyDescent="0.25">
      <c r="C988"/>
      <c r="D988"/>
    </row>
    <row r="989" spans="3:4" x14ac:dyDescent="0.25">
      <c r="C989"/>
      <c r="D989"/>
    </row>
    <row r="990" spans="3:4" x14ac:dyDescent="0.25">
      <c r="C990"/>
      <c r="D990"/>
    </row>
    <row r="991" spans="3:4" x14ac:dyDescent="0.25">
      <c r="C991"/>
      <c r="D991"/>
    </row>
    <row r="992" spans="3:4" x14ac:dyDescent="0.25">
      <c r="C992"/>
      <c r="D992"/>
    </row>
    <row r="993" spans="3:4" x14ac:dyDescent="0.25">
      <c r="C993"/>
      <c r="D993"/>
    </row>
    <row r="994" spans="3:4" x14ac:dyDescent="0.25">
      <c r="C994"/>
      <c r="D994"/>
    </row>
    <row r="995" spans="3:4" x14ac:dyDescent="0.25">
      <c r="C995"/>
      <c r="D995"/>
    </row>
    <row r="996" spans="3:4" x14ac:dyDescent="0.25">
      <c r="C996"/>
      <c r="D996"/>
    </row>
    <row r="997" spans="3:4" x14ac:dyDescent="0.25">
      <c r="C997"/>
      <c r="D997"/>
    </row>
    <row r="998" spans="3:4" x14ac:dyDescent="0.25">
      <c r="C998"/>
      <c r="D998"/>
    </row>
    <row r="999" spans="3:4" x14ac:dyDescent="0.25">
      <c r="C999"/>
      <c r="D999"/>
    </row>
    <row r="1000" spans="3:4" x14ac:dyDescent="0.25">
      <c r="C1000"/>
      <c r="D1000"/>
    </row>
    <row r="1001" spans="3:4" x14ac:dyDescent="0.25">
      <c r="C1001"/>
      <c r="D1001"/>
    </row>
    <row r="1002" spans="3:4" x14ac:dyDescent="0.25">
      <c r="C1002"/>
      <c r="D1002"/>
    </row>
    <row r="1003" spans="3:4" x14ac:dyDescent="0.25">
      <c r="C1003"/>
      <c r="D1003"/>
    </row>
    <row r="1004" spans="3:4" x14ac:dyDescent="0.25">
      <c r="C1004"/>
      <c r="D1004"/>
    </row>
    <row r="1005" spans="3:4" x14ac:dyDescent="0.25">
      <c r="C1005"/>
      <c r="D1005"/>
    </row>
    <row r="1006" spans="3:4" x14ac:dyDescent="0.25">
      <c r="C1006"/>
      <c r="D1006"/>
    </row>
    <row r="1007" spans="3:4" x14ac:dyDescent="0.25">
      <c r="C1007"/>
      <c r="D1007"/>
    </row>
    <row r="1008" spans="3:4" x14ac:dyDescent="0.25">
      <c r="C1008"/>
      <c r="D1008"/>
    </row>
    <row r="1009" spans="3:4" x14ac:dyDescent="0.25">
      <c r="C1009"/>
      <c r="D1009"/>
    </row>
    <row r="1010" spans="3:4" x14ac:dyDescent="0.25">
      <c r="C1010"/>
      <c r="D1010"/>
    </row>
    <row r="1011" spans="3:4" x14ac:dyDescent="0.25">
      <c r="C1011"/>
      <c r="D1011"/>
    </row>
    <row r="1012" spans="3:4" x14ac:dyDescent="0.25">
      <c r="C1012"/>
      <c r="D1012"/>
    </row>
    <row r="1013" spans="3:4" x14ac:dyDescent="0.25">
      <c r="C1013"/>
      <c r="D1013"/>
    </row>
    <row r="1014" spans="3:4" x14ac:dyDescent="0.25">
      <c r="C1014"/>
      <c r="D1014"/>
    </row>
    <row r="1015" spans="3:4" x14ac:dyDescent="0.25">
      <c r="C1015"/>
      <c r="D1015"/>
    </row>
    <row r="1016" spans="3:4" x14ac:dyDescent="0.25">
      <c r="C1016"/>
      <c r="D1016"/>
    </row>
    <row r="1017" spans="3:4" x14ac:dyDescent="0.25">
      <c r="C1017"/>
      <c r="D1017"/>
    </row>
    <row r="1018" spans="3:4" x14ac:dyDescent="0.25">
      <c r="C1018"/>
      <c r="D1018"/>
    </row>
    <row r="1019" spans="3:4" x14ac:dyDescent="0.25">
      <c r="C1019"/>
      <c r="D1019"/>
    </row>
    <row r="1020" spans="3:4" x14ac:dyDescent="0.25">
      <c r="C1020"/>
      <c r="D1020"/>
    </row>
    <row r="1021" spans="3:4" x14ac:dyDescent="0.25">
      <c r="C1021"/>
      <c r="D1021"/>
    </row>
    <row r="1022" spans="3:4" x14ac:dyDescent="0.25">
      <c r="C1022"/>
      <c r="D1022"/>
    </row>
    <row r="1023" spans="3:4" x14ac:dyDescent="0.25">
      <c r="C1023"/>
      <c r="D1023"/>
    </row>
    <row r="1024" spans="3:4" x14ac:dyDescent="0.25">
      <c r="C1024"/>
      <c r="D1024"/>
    </row>
    <row r="1025" spans="3:4" x14ac:dyDescent="0.25">
      <c r="C1025"/>
      <c r="D1025"/>
    </row>
    <row r="1026" spans="3:4" x14ac:dyDescent="0.25">
      <c r="C1026"/>
      <c r="D1026"/>
    </row>
    <row r="1027" spans="3:4" x14ac:dyDescent="0.25">
      <c r="C1027"/>
      <c r="D1027"/>
    </row>
    <row r="1028" spans="3:4" x14ac:dyDescent="0.25">
      <c r="C1028"/>
      <c r="D1028"/>
    </row>
    <row r="1029" spans="3:4" x14ac:dyDescent="0.25">
      <c r="C1029"/>
      <c r="D1029"/>
    </row>
    <row r="1030" spans="3:4" x14ac:dyDescent="0.25">
      <c r="C1030"/>
      <c r="D1030"/>
    </row>
    <row r="1031" spans="3:4" x14ac:dyDescent="0.25">
      <c r="C1031"/>
      <c r="D1031"/>
    </row>
    <row r="1032" spans="3:4" x14ac:dyDescent="0.25">
      <c r="C1032"/>
      <c r="D1032"/>
    </row>
    <row r="1033" spans="3:4" x14ac:dyDescent="0.25">
      <c r="C1033"/>
      <c r="D1033"/>
    </row>
    <row r="1034" spans="3:4" x14ac:dyDescent="0.25">
      <c r="C1034"/>
      <c r="D1034"/>
    </row>
    <row r="1035" spans="3:4" x14ac:dyDescent="0.25">
      <c r="C1035"/>
      <c r="D1035"/>
    </row>
    <row r="1036" spans="3:4" x14ac:dyDescent="0.25">
      <c r="C1036"/>
      <c r="D1036"/>
    </row>
    <row r="1037" spans="3:4" x14ac:dyDescent="0.25">
      <c r="C1037"/>
      <c r="D1037"/>
    </row>
    <row r="1038" spans="3:4" x14ac:dyDescent="0.25">
      <c r="C1038"/>
      <c r="D1038"/>
    </row>
    <row r="1039" spans="3:4" x14ac:dyDescent="0.25">
      <c r="C1039"/>
      <c r="D1039"/>
    </row>
    <row r="1040" spans="3:4" x14ac:dyDescent="0.25">
      <c r="C1040"/>
      <c r="D1040"/>
    </row>
    <row r="1041" spans="3:4" x14ac:dyDescent="0.25">
      <c r="C1041"/>
      <c r="D1041"/>
    </row>
    <row r="1042" spans="3:4" x14ac:dyDescent="0.25">
      <c r="C1042"/>
      <c r="D1042"/>
    </row>
    <row r="1043" spans="3:4" x14ac:dyDescent="0.25">
      <c r="C1043"/>
      <c r="D1043"/>
    </row>
    <row r="1044" spans="3:4" x14ac:dyDescent="0.25">
      <c r="C1044"/>
      <c r="D1044"/>
    </row>
    <row r="1045" spans="3:4" x14ac:dyDescent="0.25">
      <c r="C1045"/>
      <c r="D1045"/>
    </row>
    <row r="1046" spans="3:4" x14ac:dyDescent="0.25">
      <c r="C1046"/>
      <c r="D1046"/>
    </row>
    <row r="1047" spans="3:4" x14ac:dyDescent="0.25">
      <c r="C1047"/>
      <c r="D1047"/>
    </row>
    <row r="1048" spans="3:4" x14ac:dyDescent="0.25">
      <c r="C1048"/>
      <c r="D1048"/>
    </row>
    <row r="1049" spans="3:4" x14ac:dyDescent="0.25">
      <c r="C1049"/>
      <c r="D1049"/>
    </row>
    <row r="1050" spans="3:4" x14ac:dyDescent="0.25">
      <c r="C1050"/>
      <c r="D1050"/>
    </row>
    <row r="1051" spans="3:4" x14ac:dyDescent="0.25">
      <c r="C1051"/>
      <c r="D1051"/>
    </row>
    <row r="1052" spans="3:4" x14ac:dyDescent="0.25">
      <c r="C1052"/>
      <c r="D1052"/>
    </row>
    <row r="1053" spans="3:4" x14ac:dyDescent="0.25">
      <c r="C1053"/>
      <c r="D1053"/>
    </row>
    <row r="1054" spans="3:4" x14ac:dyDescent="0.25">
      <c r="C1054"/>
      <c r="D1054"/>
    </row>
    <row r="1055" spans="3:4" x14ac:dyDescent="0.25">
      <c r="C1055"/>
      <c r="D1055"/>
    </row>
    <row r="1056" spans="3:4" x14ac:dyDescent="0.25">
      <c r="C1056"/>
      <c r="D1056"/>
    </row>
    <row r="1057" spans="3:4" x14ac:dyDescent="0.25">
      <c r="C1057"/>
      <c r="D1057"/>
    </row>
    <row r="1058" spans="3:4" x14ac:dyDescent="0.25">
      <c r="C1058"/>
      <c r="D1058"/>
    </row>
    <row r="1059" spans="3:4" x14ac:dyDescent="0.25">
      <c r="C1059"/>
      <c r="D1059"/>
    </row>
    <row r="1060" spans="3:4" x14ac:dyDescent="0.25">
      <c r="C1060"/>
      <c r="D1060"/>
    </row>
    <row r="1061" spans="3:4" x14ac:dyDescent="0.25">
      <c r="C1061"/>
      <c r="D1061"/>
    </row>
    <row r="1062" spans="3:4" x14ac:dyDescent="0.25">
      <c r="C1062"/>
      <c r="D1062"/>
    </row>
    <row r="1063" spans="3:4" x14ac:dyDescent="0.25">
      <c r="C1063"/>
      <c r="D1063"/>
    </row>
    <row r="1064" spans="3:4" x14ac:dyDescent="0.25">
      <c r="C1064"/>
      <c r="D1064"/>
    </row>
    <row r="1065" spans="3:4" x14ac:dyDescent="0.25">
      <c r="C1065"/>
      <c r="D1065"/>
    </row>
    <row r="1066" spans="3:4" x14ac:dyDescent="0.25">
      <c r="C1066"/>
      <c r="D1066"/>
    </row>
    <row r="1067" spans="3:4" x14ac:dyDescent="0.25">
      <c r="C1067"/>
      <c r="D1067"/>
    </row>
    <row r="1068" spans="3:4" x14ac:dyDescent="0.25">
      <c r="C1068"/>
      <c r="D1068"/>
    </row>
    <row r="1069" spans="3:4" x14ac:dyDescent="0.25">
      <c r="C1069"/>
      <c r="D1069"/>
    </row>
    <row r="1070" spans="3:4" x14ac:dyDescent="0.25">
      <c r="C1070"/>
      <c r="D1070"/>
    </row>
    <row r="1071" spans="3:4" x14ac:dyDescent="0.25">
      <c r="C1071"/>
      <c r="D1071"/>
    </row>
    <row r="1072" spans="3:4" x14ac:dyDescent="0.25">
      <c r="C1072"/>
      <c r="D1072"/>
    </row>
    <row r="1073" spans="3:4" x14ac:dyDescent="0.25">
      <c r="C1073"/>
      <c r="D1073"/>
    </row>
    <row r="1074" spans="3:4" x14ac:dyDescent="0.25">
      <c r="C1074"/>
      <c r="D1074"/>
    </row>
    <row r="1075" spans="3:4" x14ac:dyDescent="0.25">
      <c r="C1075"/>
      <c r="D1075"/>
    </row>
    <row r="1076" spans="3:4" x14ac:dyDescent="0.25">
      <c r="C1076"/>
      <c r="D1076"/>
    </row>
    <row r="1077" spans="3:4" x14ac:dyDescent="0.25">
      <c r="C1077"/>
      <c r="D1077"/>
    </row>
    <row r="1078" spans="3:4" x14ac:dyDescent="0.25">
      <c r="C1078"/>
      <c r="D1078"/>
    </row>
    <row r="1079" spans="3:4" x14ac:dyDescent="0.25">
      <c r="C1079"/>
      <c r="D1079"/>
    </row>
    <row r="1080" spans="3:4" x14ac:dyDescent="0.25">
      <c r="C1080"/>
      <c r="D1080"/>
    </row>
    <row r="1081" spans="3:4" x14ac:dyDescent="0.25">
      <c r="C1081"/>
      <c r="D1081"/>
    </row>
    <row r="1082" spans="3:4" x14ac:dyDescent="0.25">
      <c r="C1082"/>
      <c r="D1082"/>
    </row>
    <row r="1083" spans="3:4" x14ac:dyDescent="0.25">
      <c r="C1083"/>
      <c r="D1083"/>
    </row>
    <row r="1084" spans="3:4" x14ac:dyDescent="0.25">
      <c r="C1084"/>
      <c r="D1084"/>
    </row>
    <row r="1085" spans="3:4" x14ac:dyDescent="0.25">
      <c r="C1085"/>
      <c r="D1085"/>
    </row>
    <row r="1086" spans="3:4" x14ac:dyDescent="0.25">
      <c r="C1086"/>
      <c r="D1086"/>
    </row>
    <row r="1087" spans="3:4" x14ac:dyDescent="0.25">
      <c r="C1087"/>
      <c r="D1087"/>
    </row>
    <row r="1088" spans="3:4" x14ac:dyDescent="0.25">
      <c r="C1088"/>
      <c r="D1088"/>
    </row>
    <row r="1089" spans="3:4" x14ac:dyDescent="0.25">
      <c r="C1089"/>
      <c r="D1089"/>
    </row>
    <row r="1090" spans="3:4" x14ac:dyDescent="0.25">
      <c r="C1090"/>
      <c r="D1090"/>
    </row>
    <row r="1091" spans="3:4" x14ac:dyDescent="0.25">
      <c r="C1091"/>
      <c r="D1091"/>
    </row>
    <row r="1092" spans="3:4" x14ac:dyDescent="0.25">
      <c r="C1092"/>
      <c r="D1092"/>
    </row>
    <row r="1093" spans="3:4" x14ac:dyDescent="0.25">
      <c r="C1093"/>
      <c r="D1093"/>
    </row>
    <row r="1094" spans="3:4" x14ac:dyDescent="0.25">
      <c r="C1094"/>
      <c r="D1094"/>
    </row>
    <row r="1095" spans="3:4" x14ac:dyDescent="0.25">
      <c r="C1095"/>
      <c r="D1095"/>
    </row>
    <row r="1096" spans="3:4" x14ac:dyDescent="0.25">
      <c r="C1096"/>
      <c r="D1096"/>
    </row>
    <row r="1097" spans="3:4" x14ac:dyDescent="0.25">
      <c r="C1097"/>
      <c r="D1097"/>
    </row>
    <row r="1098" spans="3:4" x14ac:dyDescent="0.25">
      <c r="C1098"/>
      <c r="D1098"/>
    </row>
    <row r="1099" spans="3:4" x14ac:dyDescent="0.25">
      <c r="C1099"/>
      <c r="D1099"/>
    </row>
    <row r="1100" spans="3:4" x14ac:dyDescent="0.25">
      <c r="C1100"/>
      <c r="D1100"/>
    </row>
    <row r="1101" spans="3:4" x14ac:dyDescent="0.25">
      <c r="C1101"/>
      <c r="D1101"/>
    </row>
    <row r="1102" spans="3:4" x14ac:dyDescent="0.25">
      <c r="C1102"/>
      <c r="D1102"/>
    </row>
    <row r="1103" spans="3:4" x14ac:dyDescent="0.25">
      <c r="C1103"/>
      <c r="D1103"/>
    </row>
    <row r="1104" spans="3:4" x14ac:dyDescent="0.25">
      <c r="C1104"/>
      <c r="D1104"/>
    </row>
    <row r="1105" spans="3:4" x14ac:dyDescent="0.25">
      <c r="C1105"/>
      <c r="D1105"/>
    </row>
    <row r="1106" spans="3:4" x14ac:dyDescent="0.25">
      <c r="C1106"/>
      <c r="D1106"/>
    </row>
    <row r="1107" spans="3:4" x14ac:dyDescent="0.25">
      <c r="C1107"/>
      <c r="D1107"/>
    </row>
    <row r="1108" spans="3:4" x14ac:dyDescent="0.25">
      <c r="C1108"/>
      <c r="D1108"/>
    </row>
    <row r="1109" spans="3:4" x14ac:dyDescent="0.25">
      <c r="C1109"/>
      <c r="D1109"/>
    </row>
    <row r="1110" spans="3:4" x14ac:dyDescent="0.25">
      <c r="C1110"/>
      <c r="D1110"/>
    </row>
    <row r="1111" spans="3:4" x14ac:dyDescent="0.25">
      <c r="C1111"/>
      <c r="D1111"/>
    </row>
    <row r="1112" spans="3:4" x14ac:dyDescent="0.25">
      <c r="C1112"/>
      <c r="D1112"/>
    </row>
    <row r="1113" spans="3:4" x14ac:dyDescent="0.25">
      <c r="C1113"/>
      <c r="D1113"/>
    </row>
    <row r="1114" spans="3:4" x14ac:dyDescent="0.25">
      <c r="C1114"/>
      <c r="D1114"/>
    </row>
    <row r="1115" spans="3:4" x14ac:dyDescent="0.25">
      <c r="C1115"/>
      <c r="D1115"/>
    </row>
    <row r="1116" spans="3:4" x14ac:dyDescent="0.25">
      <c r="C1116"/>
      <c r="D1116"/>
    </row>
    <row r="1117" spans="3:4" x14ac:dyDescent="0.25">
      <c r="C1117"/>
      <c r="D1117"/>
    </row>
    <row r="1118" spans="3:4" x14ac:dyDescent="0.25">
      <c r="C1118"/>
      <c r="D1118"/>
    </row>
    <row r="1119" spans="3:4" x14ac:dyDescent="0.25">
      <c r="C1119"/>
      <c r="D1119"/>
    </row>
    <row r="1120" spans="3:4" x14ac:dyDescent="0.25">
      <c r="C1120"/>
      <c r="D1120"/>
    </row>
    <row r="1121" spans="3:4" x14ac:dyDescent="0.25">
      <c r="C1121"/>
      <c r="D1121"/>
    </row>
    <row r="1122" spans="3:4" x14ac:dyDescent="0.25">
      <c r="C1122"/>
      <c r="D1122"/>
    </row>
    <row r="1123" spans="3:4" x14ac:dyDescent="0.25">
      <c r="C1123"/>
      <c r="D1123"/>
    </row>
    <row r="1124" spans="3:4" x14ac:dyDescent="0.25">
      <c r="C1124"/>
      <c r="D1124"/>
    </row>
    <row r="1125" spans="3:4" x14ac:dyDescent="0.25">
      <c r="C1125"/>
      <c r="D1125"/>
    </row>
    <row r="1126" spans="3:4" x14ac:dyDescent="0.25">
      <c r="C1126"/>
      <c r="D1126"/>
    </row>
    <row r="1127" spans="3:4" x14ac:dyDescent="0.25">
      <c r="C1127"/>
      <c r="D1127"/>
    </row>
    <row r="1128" spans="3:4" x14ac:dyDescent="0.25">
      <c r="C1128"/>
      <c r="D1128"/>
    </row>
    <row r="1129" spans="3:4" x14ac:dyDescent="0.25">
      <c r="C1129"/>
      <c r="D1129"/>
    </row>
    <row r="1130" spans="3:4" x14ac:dyDescent="0.25">
      <c r="C1130"/>
      <c r="D1130"/>
    </row>
    <row r="1131" spans="3:4" x14ac:dyDescent="0.25">
      <c r="C1131"/>
      <c r="D1131"/>
    </row>
    <row r="1132" spans="3:4" x14ac:dyDescent="0.25">
      <c r="C1132"/>
      <c r="D1132"/>
    </row>
    <row r="1133" spans="3:4" x14ac:dyDescent="0.25">
      <c r="C1133"/>
      <c r="D1133"/>
    </row>
    <row r="1134" spans="3:4" x14ac:dyDescent="0.25">
      <c r="C1134"/>
      <c r="D1134"/>
    </row>
    <row r="1135" spans="3:4" x14ac:dyDescent="0.25">
      <c r="C1135"/>
      <c r="D1135"/>
    </row>
    <row r="1136" spans="3:4" x14ac:dyDescent="0.25">
      <c r="C1136"/>
      <c r="D1136"/>
    </row>
    <row r="1137" spans="3:4" x14ac:dyDescent="0.25">
      <c r="C1137"/>
      <c r="D1137"/>
    </row>
    <row r="1138" spans="3:4" x14ac:dyDescent="0.25">
      <c r="C1138"/>
      <c r="D1138"/>
    </row>
    <row r="1139" spans="3:4" x14ac:dyDescent="0.25">
      <c r="C1139"/>
      <c r="D1139"/>
    </row>
    <row r="1140" spans="3:4" x14ac:dyDescent="0.25">
      <c r="C1140"/>
      <c r="D1140"/>
    </row>
    <row r="1141" spans="3:4" x14ac:dyDescent="0.25">
      <c r="C1141"/>
      <c r="D1141"/>
    </row>
    <row r="1142" spans="3:4" x14ac:dyDescent="0.25">
      <c r="C1142"/>
      <c r="D1142"/>
    </row>
    <row r="1143" spans="3:4" x14ac:dyDescent="0.25">
      <c r="C1143"/>
      <c r="D1143"/>
    </row>
    <row r="1144" spans="3:4" x14ac:dyDescent="0.25">
      <c r="C1144"/>
      <c r="D1144"/>
    </row>
    <row r="1145" spans="3:4" x14ac:dyDescent="0.25">
      <c r="C1145"/>
      <c r="D1145"/>
    </row>
    <row r="1146" spans="3:4" x14ac:dyDescent="0.25">
      <c r="C1146"/>
      <c r="D1146"/>
    </row>
    <row r="1147" spans="3:4" x14ac:dyDescent="0.25">
      <c r="C1147"/>
      <c r="D1147"/>
    </row>
    <row r="1148" spans="3:4" x14ac:dyDescent="0.25">
      <c r="C1148"/>
      <c r="D1148"/>
    </row>
    <row r="1149" spans="3:4" x14ac:dyDescent="0.25">
      <c r="C1149"/>
      <c r="D1149"/>
    </row>
    <row r="1150" spans="3:4" x14ac:dyDescent="0.25">
      <c r="C1150"/>
      <c r="D1150"/>
    </row>
    <row r="1151" spans="3:4" x14ac:dyDescent="0.25">
      <c r="C1151"/>
      <c r="D1151"/>
    </row>
    <row r="1152" spans="3:4" x14ac:dyDescent="0.25">
      <c r="C1152"/>
      <c r="D1152"/>
    </row>
    <row r="1153" spans="3:4" x14ac:dyDescent="0.25">
      <c r="C1153"/>
      <c r="D1153"/>
    </row>
    <row r="1154" spans="3:4" x14ac:dyDescent="0.25">
      <c r="C1154"/>
      <c r="D1154"/>
    </row>
    <row r="1155" spans="3:4" x14ac:dyDescent="0.25">
      <c r="C1155"/>
      <c r="D1155"/>
    </row>
    <row r="1156" spans="3:4" x14ac:dyDescent="0.25">
      <c r="C1156"/>
      <c r="D1156"/>
    </row>
    <row r="1157" spans="3:4" x14ac:dyDescent="0.25">
      <c r="C1157"/>
      <c r="D1157"/>
    </row>
    <row r="1158" spans="3:4" x14ac:dyDescent="0.25">
      <c r="C1158"/>
      <c r="D1158"/>
    </row>
    <row r="1159" spans="3:4" x14ac:dyDescent="0.25">
      <c r="C1159"/>
      <c r="D1159"/>
    </row>
    <row r="1160" spans="3:4" x14ac:dyDescent="0.25">
      <c r="C1160"/>
      <c r="D1160"/>
    </row>
    <row r="1161" spans="3:4" x14ac:dyDescent="0.25">
      <c r="C1161"/>
      <c r="D1161"/>
    </row>
    <row r="1162" spans="3:4" x14ac:dyDescent="0.25">
      <c r="C1162"/>
      <c r="D1162"/>
    </row>
    <row r="1163" spans="3:4" x14ac:dyDescent="0.25">
      <c r="C1163"/>
      <c r="D1163"/>
    </row>
    <row r="1164" spans="3:4" x14ac:dyDescent="0.25">
      <c r="C1164"/>
      <c r="D1164"/>
    </row>
    <row r="1165" spans="3:4" x14ac:dyDescent="0.25">
      <c r="C1165"/>
      <c r="D1165"/>
    </row>
    <row r="1166" spans="3:4" x14ac:dyDescent="0.25">
      <c r="C1166"/>
      <c r="D1166"/>
    </row>
    <row r="1167" spans="3:4" x14ac:dyDescent="0.25">
      <c r="C1167"/>
      <c r="D1167"/>
    </row>
    <row r="1168" spans="3:4" x14ac:dyDescent="0.25">
      <c r="C1168"/>
      <c r="D1168"/>
    </row>
    <row r="1169" spans="3:4" x14ac:dyDescent="0.25">
      <c r="C1169"/>
      <c r="D1169"/>
    </row>
    <row r="1170" spans="3:4" x14ac:dyDescent="0.25">
      <c r="C1170"/>
      <c r="D1170"/>
    </row>
    <row r="1171" spans="3:4" x14ac:dyDescent="0.25">
      <c r="C1171"/>
      <c r="D1171"/>
    </row>
    <row r="1172" spans="3:4" x14ac:dyDescent="0.25">
      <c r="C1172"/>
      <c r="D1172"/>
    </row>
    <row r="1173" spans="3:4" x14ac:dyDescent="0.25">
      <c r="C1173"/>
      <c r="D1173"/>
    </row>
    <row r="1174" spans="3:4" x14ac:dyDescent="0.25">
      <c r="C1174"/>
      <c r="D1174"/>
    </row>
    <row r="1175" spans="3:4" x14ac:dyDescent="0.25">
      <c r="C1175"/>
      <c r="D1175"/>
    </row>
    <row r="1176" spans="3:4" x14ac:dyDescent="0.25">
      <c r="C1176"/>
      <c r="D1176"/>
    </row>
    <row r="1177" spans="3:4" x14ac:dyDescent="0.25">
      <c r="C1177"/>
      <c r="D1177"/>
    </row>
    <row r="1178" spans="3:4" x14ac:dyDescent="0.25">
      <c r="C1178"/>
      <c r="D1178"/>
    </row>
    <row r="1179" spans="3:4" x14ac:dyDescent="0.25">
      <c r="C1179"/>
      <c r="D1179"/>
    </row>
    <row r="1180" spans="3:4" x14ac:dyDescent="0.25">
      <c r="C1180"/>
      <c r="D1180"/>
    </row>
    <row r="1181" spans="3:4" x14ac:dyDescent="0.25">
      <c r="C1181"/>
      <c r="D1181"/>
    </row>
    <row r="1182" spans="3:4" x14ac:dyDescent="0.25">
      <c r="C1182"/>
      <c r="D1182"/>
    </row>
    <row r="1183" spans="3:4" x14ac:dyDescent="0.25">
      <c r="C1183"/>
      <c r="D1183"/>
    </row>
    <row r="1184" spans="3:4" x14ac:dyDescent="0.25">
      <c r="C1184"/>
      <c r="D1184"/>
    </row>
    <row r="1185" spans="3:4" x14ac:dyDescent="0.25">
      <c r="C1185"/>
      <c r="D1185"/>
    </row>
    <row r="1186" spans="3:4" x14ac:dyDescent="0.25">
      <c r="C1186"/>
      <c r="D1186"/>
    </row>
    <row r="1187" spans="3:4" x14ac:dyDescent="0.25">
      <c r="C1187"/>
      <c r="D1187"/>
    </row>
    <row r="1188" spans="3:4" x14ac:dyDescent="0.25">
      <c r="C1188"/>
      <c r="D1188"/>
    </row>
    <row r="1189" spans="3:4" x14ac:dyDescent="0.25">
      <c r="C1189"/>
      <c r="D1189"/>
    </row>
    <row r="1190" spans="3:4" x14ac:dyDescent="0.25">
      <c r="C1190"/>
      <c r="D1190"/>
    </row>
    <row r="1191" spans="3:4" x14ac:dyDescent="0.25">
      <c r="C1191"/>
      <c r="D1191"/>
    </row>
    <row r="1192" spans="3:4" x14ac:dyDescent="0.25">
      <c r="C1192"/>
      <c r="D1192"/>
    </row>
    <row r="1193" spans="3:4" x14ac:dyDescent="0.25">
      <c r="C1193"/>
      <c r="D1193"/>
    </row>
    <row r="1194" spans="3:4" x14ac:dyDescent="0.25">
      <c r="C1194"/>
      <c r="D1194"/>
    </row>
    <row r="1195" spans="3:4" x14ac:dyDescent="0.25">
      <c r="C1195"/>
      <c r="D1195"/>
    </row>
    <row r="1196" spans="3:4" x14ac:dyDescent="0.25">
      <c r="C1196"/>
      <c r="D1196"/>
    </row>
    <row r="1197" spans="3:4" x14ac:dyDescent="0.25">
      <c r="C1197"/>
      <c r="D1197"/>
    </row>
    <row r="1198" spans="3:4" x14ac:dyDescent="0.25">
      <c r="C1198"/>
      <c r="D1198"/>
    </row>
    <row r="1199" spans="3:4" x14ac:dyDescent="0.25">
      <c r="C1199"/>
      <c r="D1199"/>
    </row>
    <row r="1200" spans="3:4" x14ac:dyDescent="0.25">
      <c r="C1200"/>
      <c r="D1200"/>
    </row>
    <row r="1201" spans="3:4" x14ac:dyDescent="0.25">
      <c r="C1201"/>
      <c r="D1201"/>
    </row>
    <row r="1202" spans="3:4" x14ac:dyDescent="0.25">
      <c r="C1202"/>
      <c r="D1202"/>
    </row>
    <row r="1203" spans="3:4" x14ac:dyDescent="0.25">
      <c r="C1203"/>
      <c r="D1203"/>
    </row>
    <row r="1204" spans="3:4" x14ac:dyDescent="0.25">
      <c r="C1204"/>
      <c r="D1204"/>
    </row>
    <row r="1205" spans="3:4" x14ac:dyDescent="0.25">
      <c r="C1205"/>
      <c r="D1205"/>
    </row>
    <row r="1206" spans="3:4" x14ac:dyDescent="0.25">
      <c r="C1206"/>
      <c r="D1206"/>
    </row>
    <row r="1207" spans="3:4" x14ac:dyDescent="0.25">
      <c r="C1207"/>
      <c r="D1207"/>
    </row>
    <row r="1208" spans="3:4" x14ac:dyDescent="0.25">
      <c r="C1208"/>
      <c r="D1208"/>
    </row>
    <row r="1209" spans="3:4" x14ac:dyDescent="0.25">
      <c r="C1209"/>
      <c r="D1209"/>
    </row>
    <row r="1210" spans="3:4" x14ac:dyDescent="0.25">
      <c r="C1210"/>
      <c r="D1210"/>
    </row>
    <row r="1211" spans="3:4" x14ac:dyDescent="0.25">
      <c r="C1211"/>
      <c r="D1211"/>
    </row>
    <row r="1212" spans="3:4" x14ac:dyDescent="0.25">
      <c r="C1212"/>
      <c r="D1212"/>
    </row>
    <row r="1213" spans="3:4" x14ac:dyDescent="0.25">
      <c r="C1213"/>
      <c r="D1213"/>
    </row>
    <row r="1214" spans="3:4" x14ac:dyDescent="0.25">
      <c r="C1214"/>
      <c r="D1214"/>
    </row>
    <row r="1215" spans="3:4" x14ac:dyDescent="0.25">
      <c r="C1215"/>
      <c r="D1215"/>
    </row>
    <row r="1216" spans="3:4" x14ac:dyDescent="0.25">
      <c r="C1216"/>
      <c r="D1216"/>
    </row>
    <row r="1217" spans="3:4" x14ac:dyDescent="0.25">
      <c r="C1217"/>
      <c r="D1217"/>
    </row>
    <row r="1218" spans="3:4" x14ac:dyDescent="0.25">
      <c r="C1218"/>
      <c r="D1218"/>
    </row>
    <row r="1219" spans="3:4" x14ac:dyDescent="0.25">
      <c r="C1219"/>
      <c r="D1219"/>
    </row>
    <row r="1220" spans="3:4" x14ac:dyDescent="0.25">
      <c r="C1220"/>
      <c r="D1220"/>
    </row>
    <row r="1221" spans="3:4" x14ac:dyDescent="0.25">
      <c r="C1221"/>
      <c r="D1221"/>
    </row>
    <row r="1222" spans="3:4" x14ac:dyDescent="0.25">
      <c r="C1222"/>
      <c r="D1222"/>
    </row>
    <row r="1223" spans="3:4" x14ac:dyDescent="0.25">
      <c r="C1223"/>
      <c r="D1223"/>
    </row>
    <row r="1224" spans="3:4" x14ac:dyDescent="0.25">
      <c r="C1224"/>
      <c r="D1224"/>
    </row>
    <row r="1225" spans="3:4" x14ac:dyDescent="0.25">
      <c r="C1225"/>
      <c r="D1225"/>
    </row>
    <row r="1226" spans="3:4" x14ac:dyDescent="0.25">
      <c r="C1226"/>
      <c r="D1226"/>
    </row>
    <row r="1227" spans="3:4" x14ac:dyDescent="0.25">
      <c r="C1227"/>
      <c r="D1227"/>
    </row>
    <row r="1228" spans="3:4" x14ac:dyDescent="0.25">
      <c r="C1228"/>
      <c r="D1228"/>
    </row>
    <row r="1229" spans="3:4" x14ac:dyDescent="0.25">
      <c r="C1229"/>
      <c r="D1229"/>
    </row>
    <row r="1230" spans="3:4" x14ac:dyDescent="0.25">
      <c r="C1230"/>
      <c r="D1230"/>
    </row>
    <row r="1231" spans="3:4" x14ac:dyDescent="0.25">
      <c r="C1231"/>
      <c r="D1231"/>
    </row>
    <row r="1232" spans="3:4" x14ac:dyDescent="0.25">
      <c r="C1232"/>
      <c r="D1232"/>
    </row>
    <row r="1233" spans="3:4" x14ac:dyDescent="0.25">
      <c r="C1233"/>
      <c r="D1233"/>
    </row>
    <row r="1234" spans="3:4" x14ac:dyDescent="0.25">
      <c r="C1234"/>
      <c r="D1234"/>
    </row>
    <row r="1235" spans="3:4" x14ac:dyDescent="0.25">
      <c r="C1235"/>
      <c r="D1235"/>
    </row>
    <row r="1236" spans="3:4" x14ac:dyDescent="0.25">
      <c r="C1236"/>
      <c r="D1236"/>
    </row>
    <row r="1237" spans="3:4" x14ac:dyDescent="0.25">
      <c r="C1237"/>
      <c r="D1237"/>
    </row>
    <row r="1238" spans="3:4" x14ac:dyDescent="0.25">
      <c r="C1238"/>
      <c r="D1238"/>
    </row>
    <row r="1239" spans="3:4" x14ac:dyDescent="0.25">
      <c r="C1239"/>
      <c r="D1239"/>
    </row>
    <row r="1240" spans="3:4" x14ac:dyDescent="0.25">
      <c r="C1240"/>
      <c r="D1240"/>
    </row>
    <row r="1241" spans="3:4" x14ac:dyDescent="0.25">
      <c r="C1241"/>
      <c r="D1241"/>
    </row>
    <row r="1242" spans="3:4" x14ac:dyDescent="0.25">
      <c r="C1242"/>
      <c r="D1242"/>
    </row>
    <row r="1243" spans="3:4" x14ac:dyDescent="0.25">
      <c r="C1243"/>
      <c r="D1243"/>
    </row>
    <row r="1244" spans="3:4" x14ac:dyDescent="0.25">
      <c r="C1244"/>
      <c r="D1244"/>
    </row>
    <row r="1245" spans="3:4" x14ac:dyDescent="0.25">
      <c r="C1245"/>
      <c r="D1245"/>
    </row>
    <row r="1246" spans="3:4" x14ac:dyDescent="0.25">
      <c r="C1246"/>
      <c r="D1246"/>
    </row>
    <row r="1247" spans="3:4" x14ac:dyDescent="0.25">
      <c r="C1247"/>
      <c r="D1247"/>
    </row>
    <row r="1248" spans="3:4" x14ac:dyDescent="0.25">
      <c r="C1248"/>
      <c r="D1248"/>
    </row>
    <row r="1249" spans="3:4" x14ac:dyDescent="0.25">
      <c r="C1249"/>
      <c r="D1249"/>
    </row>
    <row r="1250" spans="3:4" x14ac:dyDescent="0.25">
      <c r="C1250"/>
      <c r="D1250"/>
    </row>
    <row r="1251" spans="3:4" x14ac:dyDescent="0.25">
      <c r="C1251"/>
      <c r="D1251"/>
    </row>
    <row r="1252" spans="3:4" x14ac:dyDescent="0.25">
      <c r="C1252"/>
      <c r="D1252"/>
    </row>
    <row r="1253" spans="3:4" x14ac:dyDescent="0.25">
      <c r="C1253"/>
      <c r="D1253"/>
    </row>
    <row r="1254" spans="3:4" x14ac:dyDescent="0.25">
      <c r="C1254"/>
      <c r="D1254"/>
    </row>
    <row r="1255" spans="3:4" x14ac:dyDescent="0.25">
      <c r="C1255"/>
      <c r="D1255"/>
    </row>
    <row r="1256" spans="3:4" x14ac:dyDescent="0.25">
      <c r="C1256"/>
      <c r="D1256"/>
    </row>
    <row r="1257" spans="3:4" x14ac:dyDescent="0.25">
      <c r="C1257"/>
      <c r="D1257"/>
    </row>
    <row r="1258" spans="3:4" x14ac:dyDescent="0.25">
      <c r="C1258"/>
      <c r="D1258"/>
    </row>
    <row r="1259" spans="3:4" x14ac:dyDescent="0.25">
      <c r="C1259"/>
      <c r="D1259"/>
    </row>
    <row r="1260" spans="3:4" x14ac:dyDescent="0.25">
      <c r="C1260"/>
      <c r="D1260"/>
    </row>
    <row r="1261" spans="3:4" x14ac:dyDescent="0.25">
      <c r="C1261"/>
      <c r="D1261"/>
    </row>
    <row r="1262" spans="3:4" x14ac:dyDescent="0.25">
      <c r="C1262"/>
      <c r="D1262"/>
    </row>
    <row r="1263" spans="3:4" x14ac:dyDescent="0.25">
      <c r="C1263"/>
      <c r="D1263"/>
    </row>
    <row r="1264" spans="3:4" x14ac:dyDescent="0.25">
      <c r="C1264"/>
      <c r="D1264"/>
    </row>
    <row r="1265" spans="3:4" x14ac:dyDescent="0.25">
      <c r="C1265"/>
      <c r="D1265"/>
    </row>
    <row r="1266" spans="3:4" x14ac:dyDescent="0.25">
      <c r="C1266"/>
      <c r="D1266"/>
    </row>
    <row r="1267" spans="3:4" x14ac:dyDescent="0.25">
      <c r="C1267"/>
      <c r="D1267"/>
    </row>
    <row r="1268" spans="3:4" x14ac:dyDescent="0.25">
      <c r="C1268"/>
      <c r="D1268"/>
    </row>
    <row r="1269" spans="3:4" x14ac:dyDescent="0.25">
      <c r="C1269"/>
      <c r="D1269"/>
    </row>
    <row r="1270" spans="3:4" x14ac:dyDescent="0.25">
      <c r="C1270"/>
      <c r="D1270"/>
    </row>
    <row r="1271" spans="3:4" x14ac:dyDescent="0.25">
      <c r="C1271"/>
      <c r="D1271"/>
    </row>
    <row r="1272" spans="3:4" x14ac:dyDescent="0.25">
      <c r="C1272"/>
      <c r="D1272"/>
    </row>
    <row r="1273" spans="3:4" x14ac:dyDescent="0.25">
      <c r="C1273"/>
      <c r="D1273"/>
    </row>
    <row r="1274" spans="3:4" x14ac:dyDescent="0.25">
      <c r="C1274"/>
      <c r="D1274"/>
    </row>
    <row r="1275" spans="3:4" x14ac:dyDescent="0.25">
      <c r="C1275"/>
      <c r="D1275"/>
    </row>
    <row r="1276" spans="3:4" x14ac:dyDescent="0.25">
      <c r="C1276"/>
      <c r="D1276"/>
    </row>
    <row r="1277" spans="3:4" x14ac:dyDescent="0.25">
      <c r="C1277"/>
      <c r="D1277"/>
    </row>
    <row r="1278" spans="3:4" x14ac:dyDescent="0.25">
      <c r="C1278"/>
      <c r="D1278"/>
    </row>
    <row r="1279" spans="3:4" x14ac:dyDescent="0.25">
      <c r="C1279"/>
      <c r="D1279"/>
    </row>
    <row r="1280" spans="3:4" x14ac:dyDescent="0.25">
      <c r="C1280"/>
      <c r="D1280"/>
    </row>
    <row r="1281" spans="3:4" x14ac:dyDescent="0.25">
      <c r="C1281"/>
      <c r="D1281"/>
    </row>
    <row r="1282" spans="3:4" x14ac:dyDescent="0.25">
      <c r="C1282"/>
      <c r="D1282"/>
    </row>
    <row r="1283" spans="3:4" x14ac:dyDescent="0.25">
      <c r="C1283"/>
      <c r="D1283"/>
    </row>
    <row r="1284" spans="3:4" x14ac:dyDescent="0.25">
      <c r="C1284"/>
      <c r="D1284"/>
    </row>
    <row r="1285" spans="3:4" x14ac:dyDescent="0.25">
      <c r="C1285"/>
      <c r="D1285"/>
    </row>
    <row r="1286" spans="3:4" x14ac:dyDescent="0.25">
      <c r="C1286"/>
      <c r="D1286"/>
    </row>
    <row r="1287" spans="3:4" x14ac:dyDescent="0.25">
      <c r="C1287"/>
      <c r="D1287"/>
    </row>
    <row r="1288" spans="3:4" x14ac:dyDescent="0.25">
      <c r="C1288"/>
      <c r="D1288"/>
    </row>
    <row r="1289" spans="3:4" x14ac:dyDescent="0.25">
      <c r="C1289"/>
      <c r="D1289"/>
    </row>
    <row r="1290" spans="3:4" x14ac:dyDescent="0.25">
      <c r="C1290"/>
      <c r="D1290"/>
    </row>
    <row r="1291" spans="3:4" x14ac:dyDescent="0.25">
      <c r="C1291"/>
      <c r="D1291"/>
    </row>
    <row r="1292" spans="3:4" x14ac:dyDescent="0.25">
      <c r="C1292"/>
      <c r="D1292"/>
    </row>
    <row r="1293" spans="3:4" x14ac:dyDescent="0.25">
      <c r="C1293"/>
      <c r="D1293"/>
    </row>
    <row r="1294" spans="3:4" x14ac:dyDescent="0.25">
      <c r="C1294"/>
      <c r="D1294"/>
    </row>
    <row r="1295" spans="3:4" x14ac:dyDescent="0.25">
      <c r="C1295"/>
      <c r="D1295"/>
    </row>
    <row r="1296" spans="3:4" x14ac:dyDescent="0.25">
      <c r="C1296"/>
      <c r="D1296"/>
    </row>
    <row r="1297" spans="3:4" x14ac:dyDescent="0.25">
      <c r="C1297"/>
      <c r="D1297"/>
    </row>
    <row r="1298" spans="3:4" x14ac:dyDescent="0.25">
      <c r="C1298"/>
      <c r="D1298"/>
    </row>
    <row r="1299" spans="3:4" x14ac:dyDescent="0.25">
      <c r="C1299"/>
      <c r="D1299"/>
    </row>
    <row r="1300" spans="3:4" x14ac:dyDescent="0.25">
      <c r="C1300"/>
      <c r="D1300"/>
    </row>
    <row r="1301" spans="3:4" x14ac:dyDescent="0.25">
      <c r="C1301"/>
      <c r="D1301"/>
    </row>
    <row r="1302" spans="3:4" x14ac:dyDescent="0.25">
      <c r="C1302"/>
      <c r="D1302"/>
    </row>
    <row r="1303" spans="3:4" x14ac:dyDescent="0.25">
      <c r="C1303"/>
      <c r="D1303"/>
    </row>
    <row r="1304" spans="3:4" x14ac:dyDescent="0.25">
      <c r="C1304"/>
      <c r="D1304"/>
    </row>
    <row r="1305" spans="3:4" x14ac:dyDescent="0.25">
      <c r="C1305"/>
      <c r="D1305"/>
    </row>
    <row r="1306" spans="3:4" x14ac:dyDescent="0.25">
      <c r="C1306"/>
      <c r="D1306"/>
    </row>
    <row r="1307" spans="3:4" x14ac:dyDescent="0.25">
      <c r="C1307"/>
      <c r="D1307"/>
    </row>
    <row r="1308" spans="3:4" x14ac:dyDescent="0.25">
      <c r="C1308"/>
      <c r="D1308"/>
    </row>
    <row r="1309" spans="3:4" x14ac:dyDescent="0.25">
      <c r="C1309"/>
      <c r="D1309"/>
    </row>
    <row r="1310" spans="3:4" x14ac:dyDescent="0.25">
      <c r="C1310"/>
      <c r="D1310"/>
    </row>
    <row r="1311" spans="3:4" x14ac:dyDescent="0.25">
      <c r="C1311"/>
      <c r="D1311"/>
    </row>
    <row r="1312" spans="3:4" x14ac:dyDescent="0.25">
      <c r="C1312"/>
      <c r="D1312"/>
    </row>
    <row r="1313" spans="3:4" x14ac:dyDescent="0.25">
      <c r="C1313"/>
      <c r="D1313"/>
    </row>
    <row r="1314" spans="3:4" x14ac:dyDescent="0.25">
      <c r="C1314"/>
      <c r="D1314"/>
    </row>
    <row r="1315" spans="3:4" x14ac:dyDescent="0.25">
      <c r="C1315"/>
      <c r="D1315"/>
    </row>
    <row r="1316" spans="3:4" x14ac:dyDescent="0.25">
      <c r="C1316"/>
      <c r="D1316"/>
    </row>
    <row r="1317" spans="3:4" x14ac:dyDescent="0.25">
      <c r="C1317"/>
      <c r="D1317"/>
    </row>
    <row r="1318" spans="3:4" x14ac:dyDescent="0.25">
      <c r="C1318"/>
      <c r="D1318"/>
    </row>
    <row r="1319" spans="3:4" x14ac:dyDescent="0.25">
      <c r="C1319"/>
      <c r="D1319"/>
    </row>
    <row r="1320" spans="3:4" x14ac:dyDescent="0.25">
      <c r="C1320"/>
      <c r="D1320"/>
    </row>
    <row r="1321" spans="3:4" x14ac:dyDescent="0.25">
      <c r="C1321"/>
      <c r="D1321"/>
    </row>
    <row r="1322" spans="3:4" x14ac:dyDescent="0.25">
      <c r="C1322"/>
      <c r="D1322"/>
    </row>
    <row r="1323" spans="3:4" x14ac:dyDescent="0.25">
      <c r="C1323"/>
      <c r="D1323"/>
    </row>
    <row r="1324" spans="3:4" x14ac:dyDescent="0.25">
      <c r="C1324"/>
      <c r="D1324"/>
    </row>
    <row r="1325" spans="3:4" x14ac:dyDescent="0.25">
      <c r="C1325"/>
      <c r="D1325"/>
    </row>
    <row r="1326" spans="3:4" x14ac:dyDescent="0.25">
      <c r="C1326"/>
      <c r="D1326"/>
    </row>
    <row r="1327" spans="3:4" x14ac:dyDescent="0.25">
      <c r="C1327"/>
      <c r="D1327"/>
    </row>
    <row r="1328" spans="3:4" x14ac:dyDescent="0.25">
      <c r="C1328"/>
      <c r="D1328"/>
    </row>
    <row r="1329" spans="3:4" x14ac:dyDescent="0.25">
      <c r="C1329"/>
      <c r="D1329"/>
    </row>
    <row r="1330" spans="3:4" x14ac:dyDescent="0.25">
      <c r="C1330"/>
      <c r="D1330"/>
    </row>
    <row r="1331" spans="3:4" x14ac:dyDescent="0.25">
      <c r="C1331"/>
      <c r="D1331"/>
    </row>
    <row r="1332" spans="3:4" x14ac:dyDescent="0.25">
      <c r="C1332"/>
      <c r="D1332"/>
    </row>
    <row r="1333" spans="3:4" x14ac:dyDescent="0.25">
      <c r="C1333"/>
      <c r="D1333"/>
    </row>
    <row r="1334" spans="3:4" x14ac:dyDescent="0.25">
      <c r="C1334"/>
      <c r="D1334"/>
    </row>
    <row r="1335" spans="3:4" x14ac:dyDescent="0.25">
      <c r="C1335"/>
      <c r="D1335"/>
    </row>
    <row r="1336" spans="3:4" x14ac:dyDescent="0.25">
      <c r="C1336"/>
      <c r="D1336"/>
    </row>
    <row r="1337" spans="3:4" x14ac:dyDescent="0.25">
      <c r="C1337"/>
      <c r="D1337"/>
    </row>
    <row r="1338" spans="3:4" x14ac:dyDescent="0.25">
      <c r="C1338"/>
      <c r="D1338"/>
    </row>
    <row r="1339" spans="3:4" x14ac:dyDescent="0.25">
      <c r="C1339"/>
      <c r="D1339"/>
    </row>
    <row r="1340" spans="3:4" x14ac:dyDescent="0.25">
      <c r="C1340"/>
      <c r="D1340"/>
    </row>
    <row r="1341" spans="3:4" x14ac:dyDescent="0.25">
      <c r="C1341"/>
      <c r="D1341"/>
    </row>
    <row r="1342" spans="3:4" x14ac:dyDescent="0.25">
      <c r="C1342"/>
      <c r="D1342"/>
    </row>
    <row r="1343" spans="3:4" x14ac:dyDescent="0.25">
      <c r="C1343"/>
      <c r="D1343"/>
    </row>
    <row r="1344" spans="3:4" x14ac:dyDescent="0.25">
      <c r="C1344"/>
      <c r="D1344"/>
    </row>
    <row r="1345" spans="3:4" x14ac:dyDescent="0.25">
      <c r="C1345"/>
      <c r="D1345"/>
    </row>
    <row r="1346" spans="3:4" x14ac:dyDescent="0.25">
      <c r="C1346"/>
      <c r="D1346"/>
    </row>
    <row r="1347" spans="3:4" x14ac:dyDescent="0.25">
      <c r="C1347"/>
      <c r="D1347"/>
    </row>
    <row r="1348" spans="3:4" x14ac:dyDescent="0.25">
      <c r="C1348"/>
      <c r="D1348"/>
    </row>
    <row r="1349" spans="3:4" x14ac:dyDescent="0.25">
      <c r="C1349"/>
      <c r="D1349"/>
    </row>
    <row r="1350" spans="3:4" x14ac:dyDescent="0.25">
      <c r="C1350"/>
      <c r="D1350"/>
    </row>
    <row r="1351" spans="3:4" x14ac:dyDescent="0.25">
      <c r="C1351"/>
      <c r="D1351"/>
    </row>
    <row r="1352" spans="3:4" x14ac:dyDescent="0.25">
      <c r="C1352"/>
      <c r="D1352"/>
    </row>
    <row r="1353" spans="3:4" x14ac:dyDescent="0.25">
      <c r="C1353"/>
      <c r="D1353"/>
    </row>
    <row r="1354" spans="3:4" x14ac:dyDescent="0.25">
      <c r="C1354"/>
      <c r="D1354"/>
    </row>
    <row r="1355" spans="3:4" x14ac:dyDescent="0.25">
      <c r="C1355"/>
      <c r="D1355"/>
    </row>
    <row r="1356" spans="3:4" x14ac:dyDescent="0.25">
      <c r="C1356"/>
      <c r="D1356"/>
    </row>
    <row r="1357" spans="3:4" x14ac:dyDescent="0.25">
      <c r="C1357"/>
      <c r="D1357"/>
    </row>
    <row r="1358" spans="3:4" x14ac:dyDescent="0.25">
      <c r="C1358"/>
      <c r="D1358"/>
    </row>
    <row r="1359" spans="3:4" x14ac:dyDescent="0.25">
      <c r="C1359"/>
      <c r="D1359"/>
    </row>
    <row r="1360" spans="3:4" x14ac:dyDescent="0.25">
      <c r="C1360"/>
      <c r="D1360"/>
    </row>
    <row r="1361" spans="3:4" x14ac:dyDescent="0.25">
      <c r="C1361"/>
      <c r="D1361"/>
    </row>
    <row r="1362" spans="3:4" x14ac:dyDescent="0.25">
      <c r="C1362"/>
      <c r="D1362"/>
    </row>
    <row r="1363" spans="3:4" x14ac:dyDescent="0.25">
      <c r="C1363"/>
      <c r="D1363"/>
    </row>
    <row r="1364" spans="3:4" x14ac:dyDescent="0.25">
      <c r="C1364"/>
      <c r="D1364"/>
    </row>
    <row r="1365" spans="3:4" x14ac:dyDescent="0.25">
      <c r="C1365"/>
      <c r="D1365"/>
    </row>
    <row r="1366" spans="3:4" x14ac:dyDescent="0.25">
      <c r="C1366"/>
      <c r="D1366"/>
    </row>
    <row r="1367" spans="3:4" x14ac:dyDescent="0.25">
      <c r="C1367"/>
      <c r="D1367"/>
    </row>
    <row r="1368" spans="3:4" x14ac:dyDescent="0.25">
      <c r="C1368"/>
      <c r="D1368"/>
    </row>
    <row r="1369" spans="3:4" x14ac:dyDescent="0.25">
      <c r="C1369"/>
      <c r="D1369"/>
    </row>
    <row r="1370" spans="3:4" x14ac:dyDescent="0.25">
      <c r="C1370"/>
      <c r="D1370"/>
    </row>
    <row r="1371" spans="3:4" x14ac:dyDescent="0.25">
      <c r="C1371"/>
      <c r="D1371"/>
    </row>
    <row r="1372" spans="3:4" x14ac:dyDescent="0.25">
      <c r="C1372"/>
      <c r="D1372"/>
    </row>
    <row r="1373" spans="3:4" x14ac:dyDescent="0.25">
      <c r="C1373"/>
      <c r="D1373"/>
    </row>
    <row r="1374" spans="3:4" x14ac:dyDescent="0.25">
      <c r="C1374"/>
      <c r="D1374"/>
    </row>
    <row r="1375" spans="3:4" x14ac:dyDescent="0.25">
      <c r="C1375"/>
      <c r="D1375"/>
    </row>
    <row r="1376" spans="3:4" x14ac:dyDescent="0.25">
      <c r="C1376"/>
      <c r="D1376"/>
    </row>
    <row r="1377" spans="3:4" x14ac:dyDescent="0.25">
      <c r="C1377"/>
      <c r="D1377"/>
    </row>
    <row r="1378" spans="3:4" x14ac:dyDescent="0.25">
      <c r="C1378"/>
      <c r="D1378"/>
    </row>
    <row r="1379" spans="3:4" x14ac:dyDescent="0.25">
      <c r="C1379"/>
      <c r="D1379"/>
    </row>
    <row r="1380" spans="3:4" x14ac:dyDescent="0.25">
      <c r="C1380"/>
      <c r="D1380"/>
    </row>
    <row r="1381" spans="3:4" x14ac:dyDescent="0.25">
      <c r="C1381"/>
      <c r="D1381"/>
    </row>
    <row r="1382" spans="3:4" x14ac:dyDescent="0.25">
      <c r="C1382"/>
      <c r="D1382"/>
    </row>
    <row r="1383" spans="3:4" x14ac:dyDescent="0.25">
      <c r="C1383"/>
      <c r="D1383"/>
    </row>
    <row r="1384" spans="3:4" x14ac:dyDescent="0.25">
      <c r="C1384"/>
      <c r="D1384"/>
    </row>
    <row r="1385" spans="3:4" x14ac:dyDescent="0.25">
      <c r="C1385"/>
      <c r="D1385"/>
    </row>
    <row r="1386" spans="3:4" x14ac:dyDescent="0.25">
      <c r="C1386"/>
      <c r="D1386"/>
    </row>
    <row r="1387" spans="3:4" x14ac:dyDescent="0.25">
      <c r="C1387"/>
      <c r="D1387"/>
    </row>
    <row r="1388" spans="3:4" x14ac:dyDescent="0.25">
      <c r="C1388"/>
      <c r="D1388"/>
    </row>
    <row r="1389" spans="3:4" x14ac:dyDescent="0.25">
      <c r="C1389"/>
      <c r="D1389"/>
    </row>
    <row r="1390" spans="3:4" x14ac:dyDescent="0.25">
      <c r="C1390"/>
      <c r="D1390"/>
    </row>
    <row r="1391" spans="3:4" x14ac:dyDescent="0.25">
      <c r="C1391"/>
      <c r="D1391"/>
    </row>
    <row r="1392" spans="3:4" x14ac:dyDescent="0.25">
      <c r="C1392"/>
      <c r="D1392"/>
    </row>
    <row r="1393" spans="3:4" x14ac:dyDescent="0.25">
      <c r="C1393"/>
      <c r="D1393"/>
    </row>
    <row r="1394" spans="3:4" x14ac:dyDescent="0.25">
      <c r="C1394"/>
      <c r="D1394"/>
    </row>
    <row r="1395" spans="3:4" x14ac:dyDescent="0.25">
      <c r="C1395"/>
      <c r="D1395"/>
    </row>
    <row r="1396" spans="3:4" x14ac:dyDescent="0.25">
      <c r="C1396"/>
      <c r="D1396"/>
    </row>
    <row r="1397" spans="3:4" x14ac:dyDescent="0.25">
      <c r="C1397"/>
      <c r="D1397"/>
    </row>
    <row r="1398" spans="3:4" x14ac:dyDescent="0.25">
      <c r="C1398"/>
      <c r="D1398"/>
    </row>
    <row r="1399" spans="3:4" x14ac:dyDescent="0.25">
      <c r="C1399"/>
      <c r="D1399"/>
    </row>
    <row r="1400" spans="3:4" x14ac:dyDescent="0.25">
      <c r="C1400"/>
      <c r="D1400"/>
    </row>
    <row r="1401" spans="3:4" x14ac:dyDescent="0.25">
      <c r="C1401"/>
      <c r="D1401"/>
    </row>
    <row r="1402" spans="3:4" x14ac:dyDescent="0.25">
      <c r="C1402"/>
      <c r="D1402"/>
    </row>
    <row r="1403" spans="3:4" x14ac:dyDescent="0.25">
      <c r="C1403"/>
      <c r="D1403"/>
    </row>
    <row r="1404" spans="3:4" x14ac:dyDescent="0.25">
      <c r="C1404"/>
      <c r="D1404"/>
    </row>
    <row r="1405" spans="3:4" x14ac:dyDescent="0.25">
      <c r="C1405"/>
      <c r="D1405"/>
    </row>
    <row r="1406" spans="3:4" x14ac:dyDescent="0.25">
      <c r="C1406"/>
      <c r="D1406"/>
    </row>
    <row r="1407" spans="3:4" x14ac:dyDescent="0.25">
      <c r="C1407"/>
      <c r="D1407"/>
    </row>
    <row r="1408" spans="3:4" x14ac:dyDescent="0.25">
      <c r="C1408"/>
      <c r="D1408"/>
    </row>
    <row r="1409" spans="3:4" x14ac:dyDescent="0.25">
      <c r="C1409"/>
      <c r="D1409"/>
    </row>
    <row r="1410" spans="3:4" x14ac:dyDescent="0.25">
      <c r="C1410"/>
      <c r="D1410"/>
    </row>
    <row r="1411" spans="3:4" x14ac:dyDescent="0.25">
      <c r="C1411"/>
      <c r="D1411"/>
    </row>
    <row r="1412" spans="3:4" x14ac:dyDescent="0.25">
      <c r="C1412"/>
      <c r="D1412"/>
    </row>
    <row r="1413" spans="3:4" x14ac:dyDescent="0.25">
      <c r="C1413"/>
      <c r="D1413"/>
    </row>
    <row r="1414" spans="3:4" x14ac:dyDescent="0.25">
      <c r="C1414"/>
      <c r="D1414"/>
    </row>
    <row r="1415" spans="3:4" x14ac:dyDescent="0.25">
      <c r="C1415"/>
      <c r="D1415"/>
    </row>
    <row r="1416" spans="3:4" x14ac:dyDescent="0.25">
      <c r="C1416"/>
      <c r="D1416"/>
    </row>
    <row r="1417" spans="3:4" x14ac:dyDescent="0.25">
      <c r="C1417"/>
      <c r="D1417"/>
    </row>
    <row r="1418" spans="3:4" x14ac:dyDescent="0.25">
      <c r="C1418"/>
      <c r="D1418"/>
    </row>
    <row r="1419" spans="3:4" x14ac:dyDescent="0.25">
      <c r="C1419"/>
      <c r="D1419"/>
    </row>
    <row r="1420" spans="3:4" x14ac:dyDescent="0.25">
      <c r="C1420"/>
      <c r="D1420"/>
    </row>
    <row r="1421" spans="3:4" x14ac:dyDescent="0.25">
      <c r="C1421"/>
      <c r="D1421"/>
    </row>
    <row r="1422" spans="3:4" x14ac:dyDescent="0.25">
      <c r="C1422"/>
      <c r="D1422"/>
    </row>
    <row r="1423" spans="3:4" x14ac:dyDescent="0.25">
      <c r="C1423"/>
      <c r="D1423"/>
    </row>
    <row r="1424" spans="3:4" x14ac:dyDescent="0.25">
      <c r="C1424"/>
      <c r="D1424"/>
    </row>
    <row r="1425" spans="3:4" x14ac:dyDescent="0.25">
      <c r="C1425"/>
      <c r="D1425"/>
    </row>
    <row r="1426" spans="3:4" x14ac:dyDescent="0.25">
      <c r="C1426"/>
      <c r="D1426"/>
    </row>
    <row r="1427" spans="3:4" x14ac:dyDescent="0.25">
      <c r="C1427"/>
      <c r="D1427"/>
    </row>
    <row r="1428" spans="3:4" x14ac:dyDescent="0.25">
      <c r="C1428"/>
      <c r="D1428"/>
    </row>
    <row r="1429" spans="3:4" x14ac:dyDescent="0.25">
      <c r="C1429"/>
      <c r="D1429"/>
    </row>
    <row r="1430" spans="3:4" x14ac:dyDescent="0.25">
      <c r="C1430"/>
      <c r="D1430"/>
    </row>
    <row r="1431" spans="3:4" x14ac:dyDescent="0.25">
      <c r="C1431"/>
      <c r="D1431"/>
    </row>
    <row r="1432" spans="3:4" x14ac:dyDescent="0.25">
      <c r="C1432"/>
      <c r="D1432"/>
    </row>
    <row r="1433" spans="3:4" x14ac:dyDescent="0.25">
      <c r="C1433"/>
      <c r="D1433"/>
    </row>
    <row r="1434" spans="3:4" x14ac:dyDescent="0.25">
      <c r="C1434"/>
      <c r="D1434"/>
    </row>
    <row r="1435" spans="3:4" x14ac:dyDescent="0.25">
      <c r="C1435"/>
      <c r="D1435"/>
    </row>
    <row r="1436" spans="3:4" x14ac:dyDescent="0.25">
      <c r="C1436"/>
      <c r="D1436"/>
    </row>
    <row r="1437" spans="3:4" x14ac:dyDescent="0.25">
      <c r="C1437"/>
      <c r="D1437"/>
    </row>
    <row r="1438" spans="3:4" x14ac:dyDescent="0.25">
      <c r="C1438"/>
      <c r="D1438"/>
    </row>
    <row r="1439" spans="3:4" x14ac:dyDescent="0.25">
      <c r="C1439"/>
      <c r="D1439"/>
    </row>
    <row r="1440" spans="3:4" x14ac:dyDescent="0.25">
      <c r="C1440"/>
      <c r="D1440"/>
    </row>
    <row r="1441" spans="3:4" x14ac:dyDescent="0.25">
      <c r="C1441"/>
      <c r="D1441"/>
    </row>
    <row r="1442" spans="3:4" x14ac:dyDescent="0.25">
      <c r="C1442"/>
      <c r="D1442"/>
    </row>
    <row r="1443" spans="3:4" x14ac:dyDescent="0.25">
      <c r="C1443"/>
      <c r="D1443"/>
    </row>
    <row r="1444" spans="3:4" x14ac:dyDescent="0.25">
      <c r="C1444"/>
      <c r="D1444"/>
    </row>
    <row r="1445" spans="3:4" x14ac:dyDescent="0.25">
      <c r="C1445"/>
      <c r="D1445"/>
    </row>
    <row r="1446" spans="3:4" x14ac:dyDescent="0.25">
      <c r="C1446"/>
      <c r="D1446"/>
    </row>
    <row r="1447" spans="3:4" x14ac:dyDescent="0.25">
      <c r="C1447"/>
      <c r="D1447"/>
    </row>
    <row r="1448" spans="3:4" x14ac:dyDescent="0.25">
      <c r="C1448"/>
      <c r="D1448"/>
    </row>
    <row r="1449" spans="3:4" x14ac:dyDescent="0.25">
      <c r="C1449"/>
      <c r="D1449"/>
    </row>
    <row r="1450" spans="3:4" x14ac:dyDescent="0.25">
      <c r="C1450"/>
      <c r="D1450"/>
    </row>
    <row r="1451" spans="3:4" x14ac:dyDescent="0.25">
      <c r="C1451"/>
      <c r="D1451"/>
    </row>
    <row r="1452" spans="3:4" x14ac:dyDescent="0.25">
      <c r="C1452"/>
      <c r="D1452"/>
    </row>
    <row r="1453" spans="3:4" x14ac:dyDescent="0.25">
      <c r="C1453"/>
      <c r="D1453"/>
    </row>
    <row r="1454" spans="3:4" x14ac:dyDescent="0.25">
      <c r="C1454"/>
      <c r="D1454"/>
    </row>
    <row r="1455" spans="3:4" x14ac:dyDescent="0.25">
      <c r="C1455"/>
      <c r="D1455"/>
    </row>
    <row r="1456" spans="3:4" x14ac:dyDescent="0.25">
      <c r="C1456"/>
      <c r="D1456"/>
    </row>
    <row r="1457" spans="3:4" x14ac:dyDescent="0.25">
      <c r="C1457"/>
      <c r="D1457"/>
    </row>
    <row r="1458" spans="3:4" x14ac:dyDescent="0.25">
      <c r="C1458"/>
      <c r="D1458"/>
    </row>
    <row r="1459" spans="3:4" x14ac:dyDescent="0.25">
      <c r="C1459"/>
      <c r="D1459"/>
    </row>
    <row r="1460" spans="3:4" x14ac:dyDescent="0.25">
      <c r="C1460"/>
      <c r="D1460"/>
    </row>
    <row r="1461" spans="3:4" x14ac:dyDescent="0.25">
      <c r="C1461"/>
      <c r="D1461"/>
    </row>
    <row r="1462" spans="3:4" x14ac:dyDescent="0.25">
      <c r="C1462"/>
      <c r="D1462"/>
    </row>
    <row r="1463" spans="3:4" x14ac:dyDescent="0.25">
      <c r="C1463"/>
      <c r="D1463"/>
    </row>
    <row r="1464" spans="3:4" x14ac:dyDescent="0.25">
      <c r="C1464"/>
      <c r="D1464"/>
    </row>
    <row r="1465" spans="3:4" x14ac:dyDescent="0.25">
      <c r="C1465"/>
      <c r="D1465"/>
    </row>
    <row r="1466" spans="3:4" x14ac:dyDescent="0.25">
      <c r="C1466"/>
      <c r="D1466"/>
    </row>
    <row r="1467" spans="3:4" x14ac:dyDescent="0.25">
      <c r="C1467"/>
      <c r="D1467"/>
    </row>
    <row r="1468" spans="3:4" x14ac:dyDescent="0.25">
      <c r="C1468"/>
      <c r="D1468"/>
    </row>
    <row r="1469" spans="3:4" x14ac:dyDescent="0.25">
      <c r="C1469"/>
      <c r="D1469"/>
    </row>
    <row r="1470" spans="3:4" x14ac:dyDescent="0.25">
      <c r="C1470"/>
      <c r="D1470"/>
    </row>
    <row r="1471" spans="3:4" x14ac:dyDescent="0.25">
      <c r="C1471"/>
      <c r="D1471"/>
    </row>
    <row r="1472" spans="3:4" x14ac:dyDescent="0.25">
      <c r="C1472"/>
      <c r="D1472"/>
    </row>
    <row r="1473" spans="3:4" x14ac:dyDescent="0.25">
      <c r="C1473"/>
      <c r="D1473"/>
    </row>
    <row r="1474" spans="3:4" x14ac:dyDescent="0.25">
      <c r="C1474"/>
      <c r="D1474"/>
    </row>
    <row r="1475" spans="3:4" x14ac:dyDescent="0.25">
      <c r="C1475"/>
      <c r="D1475"/>
    </row>
    <row r="1476" spans="3:4" x14ac:dyDescent="0.25">
      <c r="C1476"/>
      <c r="D1476"/>
    </row>
    <row r="1477" spans="3:4" x14ac:dyDescent="0.25">
      <c r="C1477"/>
      <c r="D1477"/>
    </row>
    <row r="1478" spans="3:4" x14ac:dyDescent="0.25">
      <c r="C1478"/>
      <c r="D1478"/>
    </row>
    <row r="1479" spans="3:4" x14ac:dyDescent="0.25">
      <c r="C1479"/>
      <c r="D1479"/>
    </row>
    <row r="1480" spans="3:4" x14ac:dyDescent="0.25">
      <c r="C1480"/>
      <c r="D1480"/>
    </row>
    <row r="1481" spans="3:4" x14ac:dyDescent="0.25">
      <c r="C1481"/>
      <c r="D1481"/>
    </row>
    <row r="1482" spans="3:4" x14ac:dyDescent="0.25">
      <c r="C1482"/>
      <c r="D1482"/>
    </row>
    <row r="1483" spans="3:4" x14ac:dyDescent="0.25">
      <c r="C1483"/>
      <c r="D1483"/>
    </row>
    <row r="1484" spans="3:4" x14ac:dyDescent="0.25">
      <c r="C1484"/>
      <c r="D1484"/>
    </row>
    <row r="1485" spans="3:4" x14ac:dyDescent="0.25">
      <c r="C1485"/>
      <c r="D1485"/>
    </row>
    <row r="1486" spans="3:4" x14ac:dyDescent="0.25">
      <c r="C1486"/>
      <c r="D1486"/>
    </row>
    <row r="1487" spans="3:4" x14ac:dyDescent="0.25">
      <c r="C1487"/>
      <c r="D1487"/>
    </row>
    <row r="1488" spans="3:4" x14ac:dyDescent="0.25">
      <c r="C1488"/>
      <c r="D1488"/>
    </row>
    <row r="1489" spans="3:4" x14ac:dyDescent="0.25">
      <c r="C1489"/>
      <c r="D1489"/>
    </row>
    <row r="1490" spans="3:4" x14ac:dyDescent="0.25">
      <c r="C1490"/>
      <c r="D1490"/>
    </row>
    <row r="1491" spans="3:4" x14ac:dyDescent="0.25">
      <c r="C1491"/>
      <c r="D1491"/>
    </row>
    <row r="1492" spans="3:4" x14ac:dyDescent="0.25">
      <c r="C1492"/>
      <c r="D1492"/>
    </row>
    <row r="1493" spans="3:4" x14ac:dyDescent="0.25">
      <c r="C1493"/>
      <c r="D1493"/>
    </row>
    <row r="1494" spans="3:4" x14ac:dyDescent="0.25">
      <c r="C1494"/>
      <c r="D1494"/>
    </row>
    <row r="1495" spans="3:4" x14ac:dyDescent="0.25">
      <c r="C1495"/>
      <c r="D1495"/>
    </row>
    <row r="1496" spans="3:4" x14ac:dyDescent="0.25">
      <c r="C1496"/>
      <c r="D1496"/>
    </row>
    <row r="1497" spans="3:4" x14ac:dyDescent="0.25">
      <c r="C1497"/>
      <c r="D1497"/>
    </row>
    <row r="1498" spans="3:4" x14ac:dyDescent="0.25">
      <c r="C1498"/>
      <c r="D1498"/>
    </row>
    <row r="1499" spans="3:4" x14ac:dyDescent="0.25">
      <c r="C1499"/>
      <c r="D1499"/>
    </row>
    <row r="1500" spans="3:4" x14ac:dyDescent="0.25">
      <c r="C1500"/>
      <c r="D1500"/>
    </row>
    <row r="1501" spans="3:4" x14ac:dyDescent="0.25">
      <c r="C1501"/>
      <c r="D1501"/>
    </row>
    <row r="1502" spans="3:4" x14ac:dyDescent="0.25">
      <c r="C1502"/>
      <c r="D1502"/>
    </row>
    <row r="1503" spans="3:4" x14ac:dyDescent="0.25">
      <c r="C1503"/>
      <c r="D1503"/>
    </row>
    <row r="1504" spans="3:4" x14ac:dyDescent="0.25">
      <c r="C1504"/>
      <c r="D1504"/>
    </row>
    <row r="1505" spans="3:4" x14ac:dyDescent="0.25">
      <c r="C1505"/>
      <c r="D1505"/>
    </row>
    <row r="1506" spans="3:4" x14ac:dyDescent="0.25">
      <c r="C1506"/>
      <c r="D1506"/>
    </row>
    <row r="1507" spans="3:4" x14ac:dyDescent="0.25">
      <c r="C1507"/>
      <c r="D1507"/>
    </row>
    <row r="1508" spans="3:4" x14ac:dyDescent="0.25">
      <c r="C1508"/>
      <c r="D1508"/>
    </row>
    <row r="1509" spans="3:4" x14ac:dyDescent="0.25">
      <c r="C1509"/>
      <c r="D1509"/>
    </row>
    <row r="1510" spans="3:4" x14ac:dyDescent="0.25">
      <c r="C1510"/>
      <c r="D1510"/>
    </row>
    <row r="1511" spans="3:4" x14ac:dyDescent="0.25">
      <c r="C1511"/>
      <c r="D1511"/>
    </row>
    <row r="1512" spans="3:4" x14ac:dyDescent="0.25">
      <c r="C1512"/>
      <c r="D1512"/>
    </row>
    <row r="1513" spans="3:4" x14ac:dyDescent="0.25">
      <c r="C1513"/>
      <c r="D1513"/>
    </row>
    <row r="1514" spans="3:4" x14ac:dyDescent="0.25">
      <c r="C1514"/>
      <c r="D1514"/>
    </row>
    <row r="1515" spans="3:4" x14ac:dyDescent="0.25">
      <c r="C1515"/>
      <c r="D1515"/>
    </row>
    <row r="1516" spans="3:4" x14ac:dyDescent="0.25">
      <c r="C1516"/>
      <c r="D1516"/>
    </row>
    <row r="1517" spans="3:4" x14ac:dyDescent="0.25">
      <c r="C1517"/>
      <c r="D1517"/>
    </row>
    <row r="1518" spans="3:4" x14ac:dyDescent="0.25">
      <c r="C1518"/>
      <c r="D1518"/>
    </row>
    <row r="1519" spans="3:4" x14ac:dyDescent="0.25">
      <c r="C1519"/>
      <c r="D1519"/>
    </row>
    <row r="1520" spans="3:4" x14ac:dyDescent="0.25">
      <c r="C1520"/>
      <c r="D1520"/>
    </row>
    <row r="1521" spans="3:4" x14ac:dyDescent="0.25">
      <c r="C1521"/>
      <c r="D1521"/>
    </row>
    <row r="1522" spans="3:4" x14ac:dyDescent="0.25">
      <c r="C1522"/>
      <c r="D1522"/>
    </row>
    <row r="1523" spans="3:4" x14ac:dyDescent="0.25">
      <c r="C1523"/>
      <c r="D1523"/>
    </row>
    <row r="1524" spans="3:4" x14ac:dyDescent="0.25">
      <c r="C1524"/>
      <c r="D1524"/>
    </row>
    <row r="1525" spans="3:4" x14ac:dyDescent="0.25">
      <c r="C1525"/>
      <c r="D1525"/>
    </row>
    <row r="1526" spans="3:4" x14ac:dyDescent="0.25">
      <c r="C1526"/>
      <c r="D1526"/>
    </row>
    <row r="1527" spans="3:4" x14ac:dyDescent="0.25">
      <c r="C1527"/>
      <c r="D1527"/>
    </row>
    <row r="1528" spans="3:4" x14ac:dyDescent="0.25">
      <c r="C1528"/>
      <c r="D1528"/>
    </row>
    <row r="1529" spans="3:4" x14ac:dyDescent="0.25">
      <c r="C1529"/>
      <c r="D1529"/>
    </row>
    <row r="1530" spans="3:4" x14ac:dyDescent="0.25">
      <c r="C1530"/>
      <c r="D1530"/>
    </row>
    <row r="1531" spans="3:4" x14ac:dyDescent="0.25">
      <c r="C1531"/>
      <c r="D1531"/>
    </row>
    <row r="1532" spans="3:4" x14ac:dyDescent="0.25">
      <c r="C1532"/>
      <c r="D1532"/>
    </row>
    <row r="1533" spans="3:4" x14ac:dyDescent="0.25">
      <c r="C1533"/>
      <c r="D1533"/>
    </row>
    <row r="1534" spans="3:4" x14ac:dyDescent="0.25">
      <c r="C1534"/>
      <c r="D1534"/>
    </row>
    <row r="1535" spans="3:4" x14ac:dyDescent="0.25">
      <c r="C1535"/>
      <c r="D1535"/>
    </row>
    <row r="1536" spans="3:4" x14ac:dyDescent="0.25">
      <c r="C1536"/>
      <c r="D1536"/>
    </row>
    <row r="1537" spans="3:4" x14ac:dyDescent="0.25">
      <c r="C1537"/>
      <c r="D1537"/>
    </row>
    <row r="1538" spans="3:4" x14ac:dyDescent="0.25">
      <c r="C1538"/>
      <c r="D1538"/>
    </row>
    <row r="1539" spans="3:4" x14ac:dyDescent="0.25">
      <c r="C1539"/>
      <c r="D1539"/>
    </row>
    <row r="1540" spans="3:4" x14ac:dyDescent="0.25">
      <c r="C1540"/>
      <c r="D1540"/>
    </row>
    <row r="1541" spans="3:4" x14ac:dyDescent="0.25">
      <c r="C1541"/>
      <c r="D1541"/>
    </row>
    <row r="1542" spans="3:4" x14ac:dyDescent="0.25">
      <c r="C1542"/>
      <c r="D1542"/>
    </row>
    <row r="1543" spans="3:4" x14ac:dyDescent="0.25">
      <c r="C1543"/>
      <c r="D1543"/>
    </row>
    <row r="1544" spans="3:4" x14ac:dyDescent="0.25">
      <c r="C1544"/>
      <c r="D1544"/>
    </row>
    <row r="1545" spans="3:4" x14ac:dyDescent="0.25">
      <c r="C1545"/>
      <c r="D1545"/>
    </row>
    <row r="1546" spans="3:4" x14ac:dyDescent="0.25">
      <c r="C1546"/>
      <c r="D1546"/>
    </row>
    <row r="1547" spans="3:4" x14ac:dyDescent="0.25">
      <c r="C1547"/>
      <c r="D1547"/>
    </row>
    <row r="1548" spans="3:4" x14ac:dyDescent="0.25">
      <c r="C1548"/>
      <c r="D1548"/>
    </row>
    <row r="1549" spans="3:4" x14ac:dyDescent="0.25">
      <c r="C1549"/>
      <c r="D1549"/>
    </row>
    <row r="1550" spans="3:4" x14ac:dyDescent="0.25">
      <c r="C1550"/>
      <c r="D1550"/>
    </row>
    <row r="1551" spans="3:4" x14ac:dyDescent="0.25">
      <c r="C1551"/>
      <c r="D1551"/>
    </row>
    <row r="1552" spans="3:4" x14ac:dyDescent="0.25">
      <c r="C1552"/>
      <c r="D1552"/>
    </row>
    <row r="1553" spans="3:4" x14ac:dyDescent="0.25">
      <c r="C1553"/>
      <c r="D1553"/>
    </row>
    <row r="1554" spans="3:4" x14ac:dyDescent="0.25">
      <c r="C1554"/>
      <c r="D1554"/>
    </row>
    <row r="1555" spans="3:4" x14ac:dyDescent="0.25">
      <c r="C1555"/>
      <c r="D1555"/>
    </row>
    <row r="1556" spans="3:4" x14ac:dyDescent="0.25">
      <c r="C1556"/>
      <c r="D1556"/>
    </row>
    <row r="1557" spans="3:4" x14ac:dyDescent="0.25">
      <c r="C1557"/>
      <c r="D1557"/>
    </row>
    <row r="1558" spans="3:4" x14ac:dyDescent="0.25">
      <c r="C1558"/>
      <c r="D1558"/>
    </row>
    <row r="1559" spans="3:4" x14ac:dyDescent="0.25">
      <c r="C1559"/>
      <c r="D1559"/>
    </row>
    <row r="1560" spans="3:4" x14ac:dyDescent="0.25">
      <c r="C1560"/>
      <c r="D1560"/>
    </row>
    <row r="1561" spans="3:4" x14ac:dyDescent="0.25">
      <c r="C1561"/>
      <c r="D1561"/>
    </row>
    <row r="1562" spans="3:4" x14ac:dyDescent="0.25">
      <c r="C1562"/>
      <c r="D1562"/>
    </row>
    <row r="1563" spans="3:4" x14ac:dyDescent="0.25">
      <c r="C1563"/>
      <c r="D1563"/>
    </row>
    <row r="1564" spans="3:4" x14ac:dyDescent="0.25">
      <c r="C1564"/>
      <c r="D1564"/>
    </row>
    <row r="1565" spans="3:4" x14ac:dyDescent="0.25">
      <c r="C1565"/>
      <c r="D1565"/>
    </row>
    <row r="1566" spans="3:4" x14ac:dyDescent="0.25">
      <c r="C1566"/>
      <c r="D1566"/>
    </row>
    <row r="1567" spans="3:4" x14ac:dyDescent="0.25">
      <c r="C1567"/>
      <c r="D1567"/>
    </row>
    <row r="1568" spans="3:4" x14ac:dyDescent="0.25">
      <c r="C1568"/>
      <c r="D1568"/>
    </row>
    <row r="1569" spans="3:4" x14ac:dyDescent="0.25">
      <c r="C1569"/>
      <c r="D1569"/>
    </row>
    <row r="1570" spans="3:4" x14ac:dyDescent="0.25">
      <c r="C1570"/>
      <c r="D1570"/>
    </row>
    <row r="1571" spans="3:4" x14ac:dyDescent="0.25">
      <c r="C1571"/>
      <c r="D1571"/>
    </row>
    <row r="1572" spans="3:4" x14ac:dyDescent="0.25">
      <c r="C1572"/>
      <c r="D1572"/>
    </row>
    <row r="1573" spans="3:4" x14ac:dyDescent="0.25">
      <c r="C1573"/>
      <c r="D1573"/>
    </row>
    <row r="1574" spans="3:4" x14ac:dyDescent="0.25">
      <c r="C1574"/>
      <c r="D1574"/>
    </row>
    <row r="1575" spans="3:4" x14ac:dyDescent="0.25">
      <c r="C1575"/>
      <c r="D1575"/>
    </row>
    <row r="1576" spans="3:4" x14ac:dyDescent="0.25">
      <c r="C1576"/>
      <c r="D1576"/>
    </row>
    <row r="1577" spans="3:4" x14ac:dyDescent="0.25">
      <c r="C1577"/>
      <c r="D1577"/>
    </row>
    <row r="1578" spans="3:4" x14ac:dyDescent="0.25">
      <c r="C1578"/>
      <c r="D1578"/>
    </row>
    <row r="1579" spans="3:4" x14ac:dyDescent="0.25">
      <c r="C1579"/>
      <c r="D1579"/>
    </row>
    <row r="1580" spans="3:4" x14ac:dyDescent="0.25">
      <c r="C1580"/>
      <c r="D1580"/>
    </row>
    <row r="1581" spans="3:4" x14ac:dyDescent="0.25">
      <c r="C1581"/>
      <c r="D1581"/>
    </row>
    <row r="1582" spans="3:4" x14ac:dyDescent="0.25">
      <c r="C1582"/>
      <c r="D1582"/>
    </row>
    <row r="1583" spans="3:4" x14ac:dyDescent="0.25">
      <c r="C1583"/>
      <c r="D1583"/>
    </row>
    <row r="1584" spans="3:4" x14ac:dyDescent="0.25">
      <c r="C1584"/>
      <c r="D1584"/>
    </row>
    <row r="1585" spans="3:4" x14ac:dyDescent="0.25">
      <c r="C1585"/>
      <c r="D1585"/>
    </row>
    <row r="1586" spans="3:4" x14ac:dyDescent="0.25">
      <c r="C1586"/>
      <c r="D1586"/>
    </row>
    <row r="1587" spans="3:4" x14ac:dyDescent="0.25">
      <c r="C1587"/>
      <c r="D1587"/>
    </row>
    <row r="1588" spans="3:4" x14ac:dyDescent="0.25">
      <c r="C1588"/>
      <c r="D1588"/>
    </row>
    <row r="1589" spans="3:4" x14ac:dyDescent="0.25">
      <c r="C1589"/>
      <c r="D1589"/>
    </row>
    <row r="1590" spans="3:4" x14ac:dyDescent="0.25">
      <c r="C1590"/>
      <c r="D1590"/>
    </row>
    <row r="1591" spans="3:4" x14ac:dyDescent="0.25">
      <c r="C1591"/>
      <c r="D1591"/>
    </row>
    <row r="1592" spans="3:4" x14ac:dyDescent="0.25">
      <c r="C1592"/>
      <c r="D1592"/>
    </row>
    <row r="1593" spans="3:4" x14ac:dyDescent="0.25">
      <c r="C1593"/>
      <c r="D1593"/>
    </row>
    <row r="1594" spans="3:4" x14ac:dyDescent="0.25">
      <c r="C1594"/>
      <c r="D1594"/>
    </row>
    <row r="1595" spans="3:4" x14ac:dyDescent="0.25">
      <c r="C1595"/>
      <c r="D1595"/>
    </row>
    <row r="1596" spans="3:4" x14ac:dyDescent="0.25">
      <c r="C1596"/>
      <c r="D1596"/>
    </row>
    <row r="1597" spans="3:4" x14ac:dyDescent="0.25">
      <c r="C1597"/>
      <c r="D1597"/>
    </row>
    <row r="1598" spans="3:4" x14ac:dyDescent="0.25">
      <c r="C1598"/>
      <c r="D1598"/>
    </row>
    <row r="1599" spans="3:4" x14ac:dyDescent="0.25">
      <c r="C1599"/>
      <c r="D1599"/>
    </row>
    <row r="1600" spans="3:4" x14ac:dyDescent="0.25">
      <c r="C1600"/>
      <c r="D1600"/>
    </row>
    <row r="1601" spans="3:4" x14ac:dyDescent="0.25">
      <c r="C1601"/>
      <c r="D1601"/>
    </row>
    <row r="1602" spans="3:4" x14ac:dyDescent="0.25">
      <c r="C1602"/>
      <c r="D1602"/>
    </row>
    <row r="1603" spans="3:4" x14ac:dyDescent="0.25">
      <c r="C1603"/>
      <c r="D1603"/>
    </row>
    <row r="1604" spans="3:4" x14ac:dyDescent="0.25">
      <c r="C1604"/>
      <c r="D1604"/>
    </row>
    <row r="1605" spans="3:4" x14ac:dyDescent="0.25">
      <c r="C1605"/>
      <c r="D1605"/>
    </row>
    <row r="1606" spans="3:4" x14ac:dyDescent="0.25">
      <c r="C1606"/>
      <c r="D1606"/>
    </row>
    <row r="1607" spans="3:4" x14ac:dyDescent="0.25">
      <c r="C1607"/>
      <c r="D1607"/>
    </row>
    <row r="1608" spans="3:4" x14ac:dyDescent="0.25">
      <c r="C1608"/>
      <c r="D1608"/>
    </row>
    <row r="1609" spans="3:4" x14ac:dyDescent="0.25">
      <c r="C1609"/>
      <c r="D1609"/>
    </row>
    <row r="1610" spans="3:4" x14ac:dyDescent="0.25">
      <c r="C1610"/>
      <c r="D1610"/>
    </row>
    <row r="1611" spans="3:4" x14ac:dyDescent="0.25">
      <c r="C1611"/>
      <c r="D1611"/>
    </row>
    <row r="1612" spans="3:4" x14ac:dyDescent="0.25">
      <c r="C1612"/>
      <c r="D1612"/>
    </row>
    <row r="1613" spans="3:4" x14ac:dyDescent="0.25">
      <c r="C1613"/>
      <c r="D1613"/>
    </row>
    <row r="1614" spans="3:4" x14ac:dyDescent="0.25">
      <c r="C1614"/>
      <c r="D1614"/>
    </row>
    <row r="1615" spans="3:4" x14ac:dyDescent="0.25">
      <c r="C1615"/>
      <c r="D1615"/>
    </row>
    <row r="1616" spans="3:4" x14ac:dyDescent="0.25">
      <c r="C1616"/>
      <c r="D1616"/>
    </row>
    <row r="1617" spans="3:4" x14ac:dyDescent="0.25">
      <c r="C1617"/>
      <c r="D1617"/>
    </row>
    <row r="1618" spans="3:4" x14ac:dyDescent="0.25">
      <c r="C1618"/>
      <c r="D1618"/>
    </row>
    <row r="1619" spans="3:4" x14ac:dyDescent="0.25">
      <c r="C1619"/>
      <c r="D1619"/>
    </row>
    <row r="1620" spans="3:4" x14ac:dyDescent="0.25">
      <c r="C1620"/>
      <c r="D1620"/>
    </row>
    <row r="1621" spans="3:4" x14ac:dyDescent="0.25">
      <c r="C1621"/>
      <c r="D1621"/>
    </row>
    <row r="1622" spans="3:4" x14ac:dyDescent="0.25">
      <c r="C1622"/>
      <c r="D1622"/>
    </row>
    <row r="1623" spans="3:4" x14ac:dyDescent="0.25">
      <c r="C1623"/>
      <c r="D1623"/>
    </row>
    <row r="1624" spans="3:4" x14ac:dyDescent="0.25">
      <c r="C1624"/>
      <c r="D1624"/>
    </row>
    <row r="1625" spans="3:4" x14ac:dyDescent="0.25">
      <c r="C1625"/>
      <c r="D1625"/>
    </row>
    <row r="1626" spans="3:4" x14ac:dyDescent="0.25">
      <c r="C1626"/>
      <c r="D1626"/>
    </row>
    <row r="1627" spans="3:4" x14ac:dyDescent="0.25">
      <c r="C1627"/>
      <c r="D1627"/>
    </row>
    <row r="1628" spans="3:4" x14ac:dyDescent="0.25">
      <c r="C1628"/>
      <c r="D1628"/>
    </row>
    <row r="1629" spans="3:4" x14ac:dyDescent="0.25">
      <c r="C1629"/>
      <c r="D1629"/>
    </row>
    <row r="1630" spans="3:4" x14ac:dyDescent="0.25">
      <c r="C1630"/>
      <c r="D1630"/>
    </row>
    <row r="1631" spans="3:4" x14ac:dyDescent="0.25">
      <c r="C1631"/>
      <c r="D1631"/>
    </row>
    <row r="1632" spans="3:4" x14ac:dyDescent="0.25">
      <c r="C1632"/>
      <c r="D1632"/>
    </row>
    <row r="1633" spans="3:4" x14ac:dyDescent="0.25">
      <c r="C1633"/>
      <c r="D1633"/>
    </row>
    <row r="1634" spans="3:4" x14ac:dyDescent="0.25">
      <c r="C1634"/>
      <c r="D1634"/>
    </row>
    <row r="1635" spans="3:4" x14ac:dyDescent="0.25">
      <c r="C1635"/>
      <c r="D1635"/>
    </row>
    <row r="1636" spans="3:4" x14ac:dyDescent="0.25">
      <c r="C1636"/>
      <c r="D1636"/>
    </row>
    <row r="1637" spans="3:4" x14ac:dyDescent="0.25">
      <c r="C1637"/>
      <c r="D1637"/>
    </row>
    <row r="1638" spans="3:4" x14ac:dyDescent="0.25">
      <c r="C1638"/>
      <c r="D1638"/>
    </row>
    <row r="1639" spans="3:4" x14ac:dyDescent="0.25">
      <c r="C1639"/>
      <c r="D1639"/>
    </row>
    <row r="1640" spans="3:4" x14ac:dyDescent="0.25">
      <c r="C1640"/>
      <c r="D1640"/>
    </row>
    <row r="1641" spans="3:4" x14ac:dyDescent="0.25">
      <c r="C1641"/>
      <c r="D1641"/>
    </row>
    <row r="1642" spans="3:4" x14ac:dyDescent="0.25">
      <c r="C1642"/>
      <c r="D1642"/>
    </row>
    <row r="1643" spans="3:4" x14ac:dyDescent="0.25">
      <c r="C1643"/>
      <c r="D1643"/>
    </row>
    <row r="1644" spans="3:4" x14ac:dyDescent="0.25">
      <c r="C1644"/>
      <c r="D1644"/>
    </row>
    <row r="1645" spans="3:4" x14ac:dyDescent="0.25">
      <c r="C1645"/>
      <c r="D1645"/>
    </row>
    <row r="1646" spans="3:4" x14ac:dyDescent="0.25">
      <c r="C1646"/>
      <c r="D1646"/>
    </row>
    <row r="1647" spans="3:4" x14ac:dyDescent="0.25">
      <c r="C1647"/>
      <c r="D1647"/>
    </row>
    <row r="1648" spans="3:4" x14ac:dyDescent="0.25">
      <c r="C1648"/>
      <c r="D1648"/>
    </row>
    <row r="1649" spans="3:4" x14ac:dyDescent="0.25">
      <c r="C1649"/>
      <c r="D1649"/>
    </row>
    <row r="1650" spans="3:4" x14ac:dyDescent="0.25">
      <c r="C1650"/>
      <c r="D1650"/>
    </row>
    <row r="1651" spans="3:4" x14ac:dyDescent="0.25">
      <c r="C1651"/>
      <c r="D1651"/>
    </row>
    <row r="1652" spans="3:4" x14ac:dyDescent="0.25">
      <c r="C1652"/>
      <c r="D1652"/>
    </row>
    <row r="1653" spans="3:4" x14ac:dyDescent="0.25">
      <c r="C1653"/>
      <c r="D1653"/>
    </row>
    <row r="1654" spans="3:4" x14ac:dyDescent="0.25">
      <c r="C1654"/>
      <c r="D1654"/>
    </row>
    <row r="1655" spans="3:4" x14ac:dyDescent="0.25">
      <c r="C1655"/>
      <c r="D1655"/>
    </row>
    <row r="1656" spans="3:4" x14ac:dyDescent="0.25">
      <c r="C1656"/>
      <c r="D1656"/>
    </row>
    <row r="1657" spans="3:4" x14ac:dyDescent="0.25">
      <c r="C1657"/>
      <c r="D1657"/>
    </row>
    <row r="1658" spans="3:4" x14ac:dyDescent="0.25">
      <c r="C1658"/>
      <c r="D1658"/>
    </row>
    <row r="1659" spans="3:4" x14ac:dyDescent="0.25">
      <c r="C1659"/>
      <c r="D1659"/>
    </row>
    <row r="1660" spans="3:4" x14ac:dyDescent="0.25">
      <c r="C1660"/>
      <c r="D1660"/>
    </row>
    <row r="1661" spans="3:4" x14ac:dyDescent="0.25">
      <c r="C1661"/>
      <c r="D1661"/>
    </row>
    <row r="1662" spans="3:4" x14ac:dyDescent="0.25">
      <c r="C1662"/>
      <c r="D1662"/>
    </row>
    <row r="1663" spans="3:4" x14ac:dyDescent="0.25">
      <c r="C1663"/>
      <c r="D1663"/>
    </row>
    <row r="1664" spans="3:4" x14ac:dyDescent="0.25">
      <c r="C1664"/>
      <c r="D1664"/>
    </row>
    <row r="1665" spans="3:4" x14ac:dyDescent="0.25">
      <c r="C1665"/>
      <c r="D1665"/>
    </row>
    <row r="1666" spans="3:4" x14ac:dyDescent="0.25">
      <c r="C1666"/>
      <c r="D1666"/>
    </row>
    <row r="1667" spans="3:4" x14ac:dyDescent="0.25">
      <c r="C1667"/>
      <c r="D1667"/>
    </row>
    <row r="1668" spans="3:4" x14ac:dyDescent="0.25">
      <c r="C1668"/>
      <c r="D1668"/>
    </row>
    <row r="1669" spans="3:4" x14ac:dyDescent="0.25">
      <c r="C1669"/>
      <c r="D1669"/>
    </row>
    <row r="1670" spans="3:4" x14ac:dyDescent="0.25">
      <c r="C1670"/>
      <c r="D1670"/>
    </row>
    <row r="1671" spans="3:4" x14ac:dyDescent="0.25">
      <c r="C1671"/>
      <c r="D1671"/>
    </row>
    <row r="1672" spans="3:4" x14ac:dyDescent="0.25">
      <c r="C1672"/>
      <c r="D1672"/>
    </row>
    <row r="1673" spans="3:4" x14ac:dyDescent="0.25">
      <c r="C1673"/>
      <c r="D1673"/>
    </row>
    <row r="1674" spans="3:4" x14ac:dyDescent="0.25">
      <c r="C1674"/>
      <c r="D1674"/>
    </row>
    <row r="1675" spans="3:4" x14ac:dyDescent="0.25">
      <c r="C1675"/>
      <c r="D1675"/>
    </row>
    <row r="1676" spans="3:4" x14ac:dyDescent="0.25">
      <c r="C1676"/>
      <c r="D1676"/>
    </row>
    <row r="1677" spans="3:4" x14ac:dyDescent="0.25">
      <c r="C1677"/>
      <c r="D1677"/>
    </row>
    <row r="1678" spans="3:4" x14ac:dyDescent="0.25">
      <c r="C1678"/>
      <c r="D1678"/>
    </row>
    <row r="1679" spans="3:4" x14ac:dyDescent="0.25">
      <c r="C1679"/>
      <c r="D1679"/>
    </row>
    <row r="1680" spans="3:4" x14ac:dyDescent="0.25">
      <c r="C1680"/>
      <c r="D1680"/>
    </row>
    <row r="1681" spans="3:4" x14ac:dyDescent="0.25">
      <c r="C1681"/>
      <c r="D1681"/>
    </row>
    <row r="1682" spans="3:4" x14ac:dyDescent="0.25">
      <c r="C1682"/>
      <c r="D1682"/>
    </row>
    <row r="1683" spans="3:4" x14ac:dyDescent="0.25">
      <c r="C1683"/>
      <c r="D1683"/>
    </row>
    <row r="1684" spans="3:4" x14ac:dyDescent="0.25">
      <c r="C1684"/>
      <c r="D1684"/>
    </row>
    <row r="1685" spans="3:4" x14ac:dyDescent="0.25">
      <c r="C1685"/>
      <c r="D1685"/>
    </row>
    <row r="1686" spans="3:4" x14ac:dyDescent="0.25">
      <c r="C1686"/>
      <c r="D1686"/>
    </row>
    <row r="1687" spans="3:4" x14ac:dyDescent="0.25">
      <c r="C1687"/>
      <c r="D1687"/>
    </row>
    <row r="1688" spans="3:4" x14ac:dyDescent="0.25">
      <c r="C1688"/>
      <c r="D1688"/>
    </row>
    <row r="1689" spans="3:4" x14ac:dyDescent="0.25">
      <c r="C1689"/>
      <c r="D1689"/>
    </row>
    <row r="1690" spans="3:4" x14ac:dyDescent="0.25">
      <c r="C1690"/>
      <c r="D1690"/>
    </row>
    <row r="1691" spans="3:4" x14ac:dyDescent="0.25">
      <c r="C1691"/>
      <c r="D1691"/>
    </row>
    <row r="1692" spans="3:4" x14ac:dyDescent="0.25">
      <c r="C1692"/>
      <c r="D1692"/>
    </row>
    <row r="1693" spans="3:4" x14ac:dyDescent="0.25">
      <c r="C1693"/>
      <c r="D1693"/>
    </row>
    <row r="1694" spans="3:4" x14ac:dyDescent="0.25">
      <c r="C1694"/>
      <c r="D1694"/>
    </row>
    <row r="1695" spans="3:4" x14ac:dyDescent="0.25">
      <c r="C1695"/>
      <c r="D1695"/>
    </row>
    <row r="1696" spans="3:4" x14ac:dyDescent="0.25">
      <c r="C1696"/>
      <c r="D1696"/>
    </row>
    <row r="1697" spans="3:4" x14ac:dyDescent="0.25">
      <c r="C1697"/>
      <c r="D1697"/>
    </row>
    <row r="1698" spans="3:4" x14ac:dyDescent="0.25">
      <c r="C1698"/>
      <c r="D1698"/>
    </row>
    <row r="1699" spans="3:4" x14ac:dyDescent="0.25">
      <c r="C1699"/>
      <c r="D1699"/>
    </row>
    <row r="1700" spans="3:4" x14ac:dyDescent="0.25">
      <c r="C1700"/>
      <c r="D1700"/>
    </row>
    <row r="1701" spans="3:4" x14ac:dyDescent="0.25">
      <c r="C1701"/>
      <c r="D1701"/>
    </row>
    <row r="1702" spans="3:4" x14ac:dyDescent="0.25">
      <c r="C1702"/>
      <c r="D1702"/>
    </row>
    <row r="1703" spans="3:4" x14ac:dyDescent="0.25">
      <c r="C1703"/>
      <c r="D1703"/>
    </row>
    <row r="1704" spans="3:4" x14ac:dyDescent="0.25">
      <c r="C1704"/>
      <c r="D1704"/>
    </row>
    <row r="1705" spans="3:4" x14ac:dyDescent="0.25">
      <c r="C1705"/>
      <c r="D1705"/>
    </row>
    <row r="1706" spans="3:4" x14ac:dyDescent="0.25">
      <c r="C1706"/>
      <c r="D1706"/>
    </row>
    <row r="1707" spans="3:4" x14ac:dyDescent="0.25">
      <c r="C1707"/>
      <c r="D1707"/>
    </row>
    <row r="1708" spans="3:4" x14ac:dyDescent="0.25">
      <c r="C1708"/>
      <c r="D1708"/>
    </row>
    <row r="1709" spans="3:4" x14ac:dyDescent="0.25">
      <c r="C1709"/>
      <c r="D1709"/>
    </row>
    <row r="1710" spans="3:4" x14ac:dyDescent="0.25">
      <c r="C1710"/>
      <c r="D1710"/>
    </row>
    <row r="1711" spans="3:4" x14ac:dyDescent="0.25">
      <c r="C1711"/>
      <c r="D1711"/>
    </row>
    <row r="1712" spans="3:4" x14ac:dyDescent="0.25">
      <c r="C1712"/>
      <c r="D1712"/>
    </row>
    <row r="1713" spans="3:4" x14ac:dyDescent="0.25">
      <c r="C1713"/>
      <c r="D1713"/>
    </row>
    <row r="1714" spans="3:4" x14ac:dyDescent="0.25">
      <c r="C1714"/>
      <c r="D1714"/>
    </row>
    <row r="1715" spans="3:4" x14ac:dyDescent="0.25">
      <c r="C1715"/>
      <c r="D1715"/>
    </row>
    <row r="1716" spans="3:4" x14ac:dyDescent="0.25">
      <c r="C1716"/>
      <c r="D1716"/>
    </row>
    <row r="1717" spans="3:4" x14ac:dyDescent="0.25">
      <c r="C1717"/>
      <c r="D1717"/>
    </row>
    <row r="1718" spans="3:4" x14ac:dyDescent="0.25">
      <c r="C1718"/>
      <c r="D1718"/>
    </row>
    <row r="1719" spans="3:4" x14ac:dyDescent="0.25">
      <c r="C1719"/>
      <c r="D1719"/>
    </row>
    <row r="1720" spans="3:4" x14ac:dyDescent="0.25">
      <c r="C1720"/>
      <c r="D1720"/>
    </row>
    <row r="1721" spans="3:4" x14ac:dyDescent="0.25">
      <c r="C1721"/>
      <c r="D1721"/>
    </row>
    <row r="1722" spans="3:4" x14ac:dyDescent="0.25">
      <c r="C1722"/>
      <c r="D1722"/>
    </row>
    <row r="1723" spans="3:4" x14ac:dyDescent="0.25">
      <c r="C1723"/>
      <c r="D1723"/>
    </row>
    <row r="1724" spans="3:4" x14ac:dyDescent="0.25">
      <c r="C1724"/>
      <c r="D1724"/>
    </row>
    <row r="1725" spans="3:4" x14ac:dyDescent="0.25">
      <c r="C1725"/>
      <c r="D1725"/>
    </row>
    <row r="1726" spans="3:4" x14ac:dyDescent="0.25">
      <c r="C1726"/>
      <c r="D1726"/>
    </row>
    <row r="1727" spans="3:4" x14ac:dyDescent="0.25">
      <c r="C1727"/>
      <c r="D1727"/>
    </row>
    <row r="1728" spans="3:4" x14ac:dyDescent="0.25">
      <c r="C1728"/>
      <c r="D1728"/>
    </row>
    <row r="1729" spans="3:4" x14ac:dyDescent="0.25">
      <c r="C1729"/>
      <c r="D1729"/>
    </row>
    <row r="1730" spans="3:4" x14ac:dyDescent="0.25">
      <c r="C1730"/>
      <c r="D1730"/>
    </row>
    <row r="1731" spans="3:4" x14ac:dyDescent="0.25">
      <c r="C1731"/>
      <c r="D1731"/>
    </row>
    <row r="1732" spans="3:4" x14ac:dyDescent="0.25">
      <c r="C1732"/>
      <c r="D1732"/>
    </row>
    <row r="1733" spans="3:4" x14ac:dyDescent="0.25">
      <c r="C1733"/>
      <c r="D1733"/>
    </row>
    <row r="1734" spans="3:4" x14ac:dyDescent="0.25">
      <c r="C1734"/>
      <c r="D1734"/>
    </row>
    <row r="1735" spans="3:4" x14ac:dyDescent="0.25">
      <c r="C1735"/>
      <c r="D1735"/>
    </row>
    <row r="1736" spans="3:4" x14ac:dyDescent="0.25">
      <c r="C1736"/>
      <c r="D1736"/>
    </row>
    <row r="1737" spans="3:4" x14ac:dyDescent="0.25">
      <c r="C1737"/>
      <c r="D1737"/>
    </row>
    <row r="1738" spans="3:4" x14ac:dyDescent="0.25">
      <c r="C1738"/>
      <c r="D1738"/>
    </row>
    <row r="1739" spans="3:4" x14ac:dyDescent="0.25">
      <c r="C1739"/>
      <c r="D1739"/>
    </row>
    <row r="1740" spans="3:4" x14ac:dyDescent="0.25">
      <c r="C1740"/>
      <c r="D1740"/>
    </row>
    <row r="1741" spans="3:4" x14ac:dyDescent="0.25">
      <c r="C1741"/>
      <c r="D1741"/>
    </row>
    <row r="1742" spans="3:4" x14ac:dyDescent="0.25">
      <c r="C1742"/>
      <c r="D1742"/>
    </row>
    <row r="1743" spans="3:4" x14ac:dyDescent="0.25">
      <c r="C1743"/>
      <c r="D1743"/>
    </row>
    <row r="1744" spans="3:4" x14ac:dyDescent="0.25">
      <c r="C1744"/>
      <c r="D1744"/>
    </row>
    <row r="1745" spans="3:4" x14ac:dyDescent="0.25">
      <c r="C1745"/>
      <c r="D1745"/>
    </row>
    <row r="1746" spans="3:4" x14ac:dyDescent="0.25">
      <c r="C1746"/>
      <c r="D1746"/>
    </row>
    <row r="1747" spans="3:4" x14ac:dyDescent="0.25">
      <c r="C1747"/>
      <c r="D1747"/>
    </row>
    <row r="1748" spans="3:4" x14ac:dyDescent="0.25">
      <c r="C1748"/>
      <c r="D1748"/>
    </row>
    <row r="1749" spans="3:4" x14ac:dyDescent="0.25">
      <c r="C1749"/>
      <c r="D1749"/>
    </row>
    <row r="1750" spans="3:4" x14ac:dyDescent="0.25">
      <c r="C1750"/>
      <c r="D1750"/>
    </row>
    <row r="1751" spans="3:4" x14ac:dyDescent="0.25">
      <c r="C1751"/>
      <c r="D1751"/>
    </row>
    <row r="1752" spans="3:4" x14ac:dyDescent="0.25">
      <c r="C1752"/>
      <c r="D1752"/>
    </row>
    <row r="1753" spans="3:4" x14ac:dyDescent="0.25">
      <c r="C1753"/>
      <c r="D1753"/>
    </row>
    <row r="1754" spans="3:4" x14ac:dyDescent="0.25">
      <c r="C1754"/>
      <c r="D1754"/>
    </row>
    <row r="1755" spans="3:4" x14ac:dyDescent="0.25">
      <c r="C1755"/>
      <c r="D1755"/>
    </row>
    <row r="1756" spans="3:4" x14ac:dyDescent="0.25">
      <c r="C1756"/>
      <c r="D1756"/>
    </row>
    <row r="1757" spans="3:4" x14ac:dyDescent="0.25">
      <c r="C1757"/>
      <c r="D1757"/>
    </row>
    <row r="1758" spans="3:4" x14ac:dyDescent="0.25">
      <c r="C1758"/>
      <c r="D1758"/>
    </row>
    <row r="1759" spans="3:4" x14ac:dyDescent="0.25">
      <c r="C1759"/>
      <c r="D1759"/>
    </row>
    <row r="1760" spans="3:4" x14ac:dyDescent="0.25">
      <c r="C1760"/>
      <c r="D1760"/>
    </row>
    <row r="1761" spans="3:4" x14ac:dyDescent="0.25">
      <c r="C1761"/>
      <c r="D1761"/>
    </row>
    <row r="1762" spans="3:4" x14ac:dyDescent="0.25">
      <c r="C1762"/>
      <c r="D1762"/>
    </row>
    <row r="1763" spans="3:4" x14ac:dyDescent="0.25">
      <c r="C1763"/>
      <c r="D1763"/>
    </row>
    <row r="1764" spans="3:4" x14ac:dyDescent="0.25">
      <c r="C1764"/>
      <c r="D1764"/>
    </row>
    <row r="1765" spans="3:4" x14ac:dyDescent="0.25">
      <c r="C1765"/>
      <c r="D1765"/>
    </row>
    <row r="1766" spans="3:4" x14ac:dyDescent="0.25">
      <c r="C1766"/>
      <c r="D1766"/>
    </row>
    <row r="1767" spans="3:4" x14ac:dyDescent="0.25">
      <c r="C1767"/>
      <c r="D1767"/>
    </row>
    <row r="1768" spans="3:4" x14ac:dyDescent="0.25">
      <c r="C1768"/>
      <c r="D1768"/>
    </row>
    <row r="1769" spans="3:4" x14ac:dyDescent="0.25">
      <c r="C1769"/>
      <c r="D1769"/>
    </row>
    <row r="1770" spans="3:4" x14ac:dyDescent="0.25">
      <c r="C1770"/>
      <c r="D1770"/>
    </row>
    <row r="1771" spans="3:4" x14ac:dyDescent="0.25">
      <c r="C1771"/>
      <c r="D1771"/>
    </row>
    <row r="1772" spans="3:4" x14ac:dyDescent="0.25">
      <c r="C1772"/>
      <c r="D1772"/>
    </row>
    <row r="1773" spans="3:4" x14ac:dyDescent="0.25">
      <c r="C1773"/>
      <c r="D1773"/>
    </row>
    <row r="1774" spans="3:4" x14ac:dyDescent="0.25">
      <c r="C1774"/>
      <c r="D1774"/>
    </row>
    <row r="1775" spans="3:4" x14ac:dyDescent="0.25">
      <c r="C1775"/>
      <c r="D1775"/>
    </row>
    <row r="1776" spans="3:4" x14ac:dyDescent="0.25">
      <c r="C1776"/>
      <c r="D1776"/>
    </row>
    <row r="1777" spans="3:4" x14ac:dyDescent="0.25">
      <c r="C1777"/>
      <c r="D1777"/>
    </row>
    <row r="1778" spans="3:4" x14ac:dyDescent="0.25">
      <c r="C1778"/>
      <c r="D1778"/>
    </row>
    <row r="1779" spans="3:4" x14ac:dyDescent="0.25">
      <c r="C1779"/>
      <c r="D1779"/>
    </row>
    <row r="1780" spans="3:4" x14ac:dyDescent="0.25">
      <c r="C1780"/>
      <c r="D1780"/>
    </row>
    <row r="1781" spans="3:4" x14ac:dyDescent="0.25">
      <c r="C1781"/>
      <c r="D1781"/>
    </row>
    <row r="1782" spans="3:4" x14ac:dyDescent="0.25">
      <c r="C1782"/>
      <c r="D1782"/>
    </row>
    <row r="1783" spans="3:4" x14ac:dyDescent="0.25">
      <c r="C1783"/>
      <c r="D1783"/>
    </row>
    <row r="1784" spans="3:4" x14ac:dyDescent="0.25">
      <c r="C1784"/>
      <c r="D1784"/>
    </row>
    <row r="1785" spans="3:4" x14ac:dyDescent="0.25">
      <c r="C1785"/>
      <c r="D1785"/>
    </row>
    <row r="1786" spans="3:4" x14ac:dyDescent="0.25">
      <c r="C1786"/>
      <c r="D1786"/>
    </row>
    <row r="1787" spans="3:4" x14ac:dyDescent="0.25">
      <c r="C1787"/>
      <c r="D1787"/>
    </row>
    <row r="1788" spans="3:4" x14ac:dyDescent="0.25">
      <c r="C1788"/>
      <c r="D1788"/>
    </row>
    <row r="1789" spans="3:4" x14ac:dyDescent="0.25">
      <c r="C1789"/>
      <c r="D1789"/>
    </row>
    <row r="1790" spans="3:4" x14ac:dyDescent="0.25">
      <c r="C1790"/>
      <c r="D1790"/>
    </row>
    <row r="1791" spans="3:4" x14ac:dyDescent="0.25">
      <c r="C1791"/>
      <c r="D1791"/>
    </row>
    <row r="1792" spans="3:4" x14ac:dyDescent="0.25">
      <c r="C1792"/>
      <c r="D1792"/>
    </row>
    <row r="1793" spans="3:4" x14ac:dyDescent="0.25">
      <c r="C1793"/>
      <c r="D1793"/>
    </row>
    <row r="1794" spans="3:4" x14ac:dyDescent="0.25">
      <c r="C1794"/>
      <c r="D1794"/>
    </row>
    <row r="1795" spans="3:4" x14ac:dyDescent="0.25">
      <c r="C1795"/>
      <c r="D1795"/>
    </row>
    <row r="1796" spans="3:4" x14ac:dyDescent="0.25">
      <c r="C1796"/>
      <c r="D1796"/>
    </row>
    <row r="1797" spans="3:4" x14ac:dyDescent="0.25">
      <c r="C1797"/>
      <c r="D1797"/>
    </row>
    <row r="1798" spans="3:4" x14ac:dyDescent="0.25">
      <c r="C1798"/>
      <c r="D1798"/>
    </row>
    <row r="1799" spans="3:4" x14ac:dyDescent="0.25">
      <c r="C1799"/>
      <c r="D1799"/>
    </row>
    <row r="1800" spans="3:4" x14ac:dyDescent="0.25">
      <c r="C1800"/>
      <c r="D1800"/>
    </row>
    <row r="1801" spans="3:4" x14ac:dyDescent="0.25">
      <c r="C1801"/>
      <c r="D1801"/>
    </row>
    <row r="1802" spans="3:4" x14ac:dyDescent="0.25">
      <c r="C1802"/>
      <c r="D1802"/>
    </row>
    <row r="1803" spans="3:4" x14ac:dyDescent="0.25">
      <c r="C1803"/>
      <c r="D1803"/>
    </row>
    <row r="1804" spans="3:4" x14ac:dyDescent="0.25">
      <c r="C1804"/>
      <c r="D1804"/>
    </row>
    <row r="1805" spans="3:4" x14ac:dyDescent="0.25">
      <c r="C1805"/>
      <c r="D1805"/>
    </row>
    <row r="1806" spans="3:4" x14ac:dyDescent="0.25">
      <c r="C1806"/>
      <c r="D1806"/>
    </row>
    <row r="1807" spans="3:4" x14ac:dyDescent="0.25">
      <c r="C1807"/>
      <c r="D1807"/>
    </row>
    <row r="1808" spans="3:4" x14ac:dyDescent="0.25">
      <c r="C1808"/>
      <c r="D1808"/>
    </row>
    <row r="1809" spans="3:4" x14ac:dyDescent="0.25">
      <c r="C1809"/>
      <c r="D1809"/>
    </row>
    <row r="1810" spans="3:4" x14ac:dyDescent="0.25">
      <c r="C1810"/>
      <c r="D1810"/>
    </row>
    <row r="1811" spans="3:4" x14ac:dyDescent="0.25">
      <c r="C1811"/>
      <c r="D1811"/>
    </row>
    <row r="1812" spans="3:4" x14ac:dyDescent="0.25">
      <c r="C1812"/>
      <c r="D1812"/>
    </row>
    <row r="1813" spans="3:4" x14ac:dyDescent="0.25">
      <c r="C1813"/>
      <c r="D1813"/>
    </row>
    <row r="1814" spans="3:4" x14ac:dyDescent="0.25">
      <c r="C1814"/>
      <c r="D1814"/>
    </row>
    <row r="1815" spans="3:4" x14ac:dyDescent="0.25">
      <c r="C1815"/>
      <c r="D1815"/>
    </row>
    <row r="1816" spans="3:4" x14ac:dyDescent="0.25">
      <c r="C1816"/>
      <c r="D1816"/>
    </row>
    <row r="1817" spans="3:4" x14ac:dyDescent="0.25">
      <c r="C1817"/>
      <c r="D1817"/>
    </row>
    <row r="1818" spans="3:4" x14ac:dyDescent="0.25">
      <c r="C1818"/>
      <c r="D1818"/>
    </row>
    <row r="1819" spans="3:4" x14ac:dyDescent="0.25">
      <c r="C1819"/>
      <c r="D1819"/>
    </row>
    <row r="1820" spans="3:4" x14ac:dyDescent="0.25">
      <c r="C1820"/>
      <c r="D1820"/>
    </row>
    <row r="1821" spans="3:4" x14ac:dyDescent="0.25">
      <c r="C1821"/>
      <c r="D1821"/>
    </row>
    <row r="1822" spans="3:4" x14ac:dyDescent="0.25">
      <c r="C1822"/>
      <c r="D1822"/>
    </row>
    <row r="1823" spans="3:4" x14ac:dyDescent="0.25">
      <c r="C1823"/>
      <c r="D1823"/>
    </row>
    <row r="1824" spans="3:4" x14ac:dyDescent="0.25">
      <c r="C1824"/>
      <c r="D1824"/>
    </row>
    <row r="1825" spans="3:4" x14ac:dyDescent="0.25">
      <c r="C1825"/>
      <c r="D1825"/>
    </row>
    <row r="1826" spans="3:4" x14ac:dyDescent="0.25">
      <c r="C1826"/>
      <c r="D1826"/>
    </row>
    <row r="1827" spans="3:4" x14ac:dyDescent="0.25">
      <c r="C1827"/>
      <c r="D1827"/>
    </row>
    <row r="1828" spans="3:4" x14ac:dyDescent="0.25">
      <c r="C1828"/>
      <c r="D1828"/>
    </row>
    <row r="1829" spans="3:4" x14ac:dyDescent="0.25">
      <c r="C1829"/>
      <c r="D1829"/>
    </row>
    <row r="1830" spans="3:4" x14ac:dyDescent="0.25">
      <c r="C1830"/>
      <c r="D1830"/>
    </row>
    <row r="1831" spans="3:4" x14ac:dyDescent="0.25">
      <c r="C1831"/>
      <c r="D1831"/>
    </row>
    <row r="1832" spans="3:4" x14ac:dyDescent="0.25">
      <c r="C1832"/>
      <c r="D1832"/>
    </row>
    <row r="1833" spans="3:4" x14ac:dyDescent="0.25">
      <c r="C1833"/>
      <c r="D1833"/>
    </row>
    <row r="1834" spans="3:4" x14ac:dyDescent="0.25">
      <c r="C1834"/>
      <c r="D1834"/>
    </row>
    <row r="1835" spans="3:4" x14ac:dyDescent="0.25">
      <c r="C1835"/>
      <c r="D1835"/>
    </row>
    <row r="1836" spans="3:4" x14ac:dyDescent="0.25">
      <c r="C1836"/>
      <c r="D1836"/>
    </row>
    <row r="1837" spans="3:4" x14ac:dyDescent="0.25">
      <c r="C1837"/>
      <c r="D1837"/>
    </row>
    <row r="1838" spans="3:4" x14ac:dyDescent="0.25">
      <c r="C1838"/>
      <c r="D1838"/>
    </row>
    <row r="1839" spans="3:4" x14ac:dyDescent="0.25">
      <c r="C1839"/>
      <c r="D1839"/>
    </row>
    <row r="1840" spans="3:4" x14ac:dyDescent="0.25">
      <c r="C1840"/>
      <c r="D1840"/>
    </row>
    <row r="1841" spans="3:4" x14ac:dyDescent="0.25">
      <c r="C1841"/>
      <c r="D1841"/>
    </row>
    <row r="1842" spans="3:4" x14ac:dyDescent="0.25">
      <c r="C1842"/>
      <c r="D1842"/>
    </row>
    <row r="1843" spans="3:4" x14ac:dyDescent="0.25">
      <c r="C1843"/>
      <c r="D1843"/>
    </row>
    <row r="1844" spans="3:4" x14ac:dyDescent="0.25">
      <c r="C1844"/>
      <c r="D1844"/>
    </row>
    <row r="1845" spans="3:4" x14ac:dyDescent="0.25">
      <c r="C1845"/>
      <c r="D1845"/>
    </row>
    <row r="1846" spans="3:4" x14ac:dyDescent="0.25">
      <c r="C1846"/>
      <c r="D1846"/>
    </row>
    <row r="1847" spans="3:4" x14ac:dyDescent="0.25">
      <c r="C1847"/>
      <c r="D1847"/>
    </row>
    <row r="1848" spans="3:4" x14ac:dyDescent="0.25">
      <c r="C1848"/>
      <c r="D1848"/>
    </row>
    <row r="1849" spans="3:4" x14ac:dyDescent="0.25">
      <c r="C1849"/>
      <c r="D1849"/>
    </row>
    <row r="1850" spans="3:4" x14ac:dyDescent="0.25">
      <c r="C1850"/>
      <c r="D1850"/>
    </row>
    <row r="1851" spans="3:4" x14ac:dyDescent="0.25">
      <c r="C1851"/>
      <c r="D1851"/>
    </row>
    <row r="1852" spans="3:4" x14ac:dyDescent="0.25">
      <c r="C1852"/>
      <c r="D1852"/>
    </row>
    <row r="1853" spans="3:4" x14ac:dyDescent="0.25">
      <c r="C1853"/>
      <c r="D1853"/>
    </row>
    <row r="1854" spans="3:4" x14ac:dyDescent="0.25">
      <c r="C1854"/>
      <c r="D1854"/>
    </row>
    <row r="1855" spans="3:4" x14ac:dyDescent="0.25">
      <c r="C1855"/>
      <c r="D1855"/>
    </row>
    <row r="1856" spans="3:4" x14ac:dyDescent="0.25">
      <c r="C1856"/>
      <c r="D1856"/>
    </row>
    <row r="1857" spans="3:4" x14ac:dyDescent="0.25">
      <c r="C1857"/>
      <c r="D1857"/>
    </row>
    <row r="1858" spans="3:4" x14ac:dyDescent="0.25">
      <c r="C1858"/>
      <c r="D1858"/>
    </row>
    <row r="1859" spans="3:4" x14ac:dyDescent="0.25">
      <c r="C1859"/>
      <c r="D1859"/>
    </row>
    <row r="1860" spans="3:4" x14ac:dyDescent="0.25">
      <c r="C1860"/>
      <c r="D1860"/>
    </row>
    <row r="1861" spans="3:4" x14ac:dyDescent="0.25">
      <c r="C1861"/>
      <c r="D1861"/>
    </row>
    <row r="1862" spans="3:4" x14ac:dyDescent="0.25">
      <c r="C1862"/>
      <c r="D1862"/>
    </row>
    <row r="1863" spans="3:4" x14ac:dyDescent="0.25">
      <c r="C1863"/>
      <c r="D1863"/>
    </row>
    <row r="1864" spans="3:4" x14ac:dyDescent="0.25">
      <c r="C1864"/>
      <c r="D1864"/>
    </row>
    <row r="1865" spans="3:4" x14ac:dyDescent="0.25">
      <c r="C1865"/>
      <c r="D1865"/>
    </row>
    <row r="1866" spans="3:4" x14ac:dyDescent="0.25">
      <c r="C1866"/>
      <c r="D1866"/>
    </row>
    <row r="1867" spans="3:4" x14ac:dyDescent="0.25">
      <c r="C1867"/>
      <c r="D1867"/>
    </row>
    <row r="1868" spans="3:4" x14ac:dyDescent="0.25">
      <c r="C1868"/>
      <c r="D1868"/>
    </row>
    <row r="1869" spans="3:4" x14ac:dyDescent="0.25">
      <c r="C1869"/>
      <c r="D1869"/>
    </row>
    <row r="1870" spans="3:4" x14ac:dyDescent="0.25">
      <c r="C1870"/>
      <c r="D1870"/>
    </row>
    <row r="1871" spans="3:4" x14ac:dyDescent="0.25">
      <c r="C1871"/>
      <c r="D1871"/>
    </row>
    <row r="1872" spans="3:4" x14ac:dyDescent="0.25">
      <c r="C1872"/>
      <c r="D1872"/>
    </row>
    <row r="1873" spans="3:4" x14ac:dyDescent="0.25">
      <c r="C1873"/>
      <c r="D1873"/>
    </row>
    <row r="1874" spans="3:4" x14ac:dyDescent="0.25">
      <c r="C1874"/>
      <c r="D1874"/>
    </row>
    <row r="1875" spans="3:4" x14ac:dyDescent="0.25">
      <c r="C1875"/>
      <c r="D1875"/>
    </row>
    <row r="1876" spans="3:4" x14ac:dyDescent="0.25">
      <c r="C1876"/>
      <c r="D1876"/>
    </row>
    <row r="1877" spans="3:4" x14ac:dyDescent="0.25">
      <c r="C1877"/>
      <c r="D1877"/>
    </row>
    <row r="1878" spans="3:4" x14ac:dyDescent="0.25">
      <c r="C1878"/>
      <c r="D1878"/>
    </row>
    <row r="1879" spans="3:4" x14ac:dyDescent="0.25">
      <c r="C1879"/>
      <c r="D1879"/>
    </row>
    <row r="1880" spans="3:4" x14ac:dyDescent="0.25">
      <c r="C1880"/>
      <c r="D1880"/>
    </row>
    <row r="1881" spans="3:4" x14ac:dyDescent="0.25">
      <c r="C1881"/>
      <c r="D1881"/>
    </row>
    <row r="1882" spans="3:4" x14ac:dyDescent="0.25">
      <c r="C1882"/>
      <c r="D1882"/>
    </row>
    <row r="1883" spans="3:4" x14ac:dyDescent="0.25">
      <c r="C1883"/>
      <c r="D1883"/>
    </row>
    <row r="1884" spans="3:4" x14ac:dyDescent="0.25">
      <c r="C1884"/>
      <c r="D1884"/>
    </row>
    <row r="1885" spans="3:4" x14ac:dyDescent="0.25">
      <c r="C1885"/>
      <c r="D1885"/>
    </row>
    <row r="1886" spans="3:4" x14ac:dyDescent="0.25">
      <c r="C1886"/>
      <c r="D1886"/>
    </row>
    <row r="1887" spans="3:4" x14ac:dyDescent="0.25">
      <c r="C1887"/>
      <c r="D1887"/>
    </row>
    <row r="1888" spans="3:4" x14ac:dyDescent="0.25">
      <c r="C1888"/>
      <c r="D1888"/>
    </row>
    <row r="1889" spans="3:4" x14ac:dyDescent="0.25">
      <c r="C1889"/>
      <c r="D1889"/>
    </row>
    <row r="1890" spans="3:4" x14ac:dyDescent="0.25">
      <c r="C1890"/>
      <c r="D1890"/>
    </row>
    <row r="1891" spans="3:4" x14ac:dyDescent="0.25">
      <c r="C1891"/>
      <c r="D1891"/>
    </row>
    <row r="1892" spans="3:4" x14ac:dyDescent="0.25">
      <c r="C1892"/>
      <c r="D1892"/>
    </row>
    <row r="1893" spans="3:4" x14ac:dyDescent="0.25">
      <c r="C1893"/>
      <c r="D1893"/>
    </row>
    <row r="1894" spans="3:4" x14ac:dyDescent="0.25">
      <c r="C1894"/>
      <c r="D1894"/>
    </row>
    <row r="1895" spans="3:4" x14ac:dyDescent="0.25">
      <c r="C1895"/>
      <c r="D1895"/>
    </row>
    <row r="1896" spans="3:4" x14ac:dyDescent="0.25">
      <c r="C1896"/>
      <c r="D1896"/>
    </row>
    <row r="1897" spans="3:4" x14ac:dyDescent="0.25">
      <c r="C1897"/>
      <c r="D1897"/>
    </row>
    <row r="1898" spans="3:4" x14ac:dyDescent="0.25">
      <c r="C1898"/>
      <c r="D1898"/>
    </row>
    <row r="1899" spans="3:4" x14ac:dyDescent="0.25">
      <c r="C1899"/>
      <c r="D1899"/>
    </row>
    <row r="1900" spans="3:4" x14ac:dyDescent="0.25">
      <c r="C1900"/>
      <c r="D1900"/>
    </row>
    <row r="1901" spans="3:4" x14ac:dyDescent="0.25">
      <c r="C1901"/>
      <c r="D1901"/>
    </row>
    <row r="1902" spans="3:4" x14ac:dyDescent="0.25">
      <c r="C1902"/>
      <c r="D1902"/>
    </row>
    <row r="1903" spans="3:4" x14ac:dyDescent="0.25">
      <c r="C1903"/>
      <c r="D1903"/>
    </row>
    <row r="1904" spans="3:4" x14ac:dyDescent="0.25">
      <c r="C1904"/>
      <c r="D1904"/>
    </row>
    <row r="1905" spans="3:4" x14ac:dyDescent="0.25">
      <c r="C1905"/>
      <c r="D1905"/>
    </row>
    <row r="1906" spans="3:4" x14ac:dyDescent="0.25">
      <c r="C1906"/>
      <c r="D1906"/>
    </row>
    <row r="1907" spans="3:4" x14ac:dyDescent="0.25">
      <c r="C1907"/>
      <c r="D1907"/>
    </row>
    <row r="1908" spans="3:4" x14ac:dyDescent="0.25">
      <c r="C1908"/>
      <c r="D1908"/>
    </row>
    <row r="1909" spans="3:4" x14ac:dyDescent="0.25">
      <c r="C1909"/>
      <c r="D1909"/>
    </row>
    <row r="1910" spans="3:4" x14ac:dyDescent="0.25">
      <c r="C1910"/>
      <c r="D1910"/>
    </row>
    <row r="1911" spans="3:4" x14ac:dyDescent="0.25">
      <c r="C1911"/>
      <c r="D1911"/>
    </row>
    <row r="1912" spans="3:4" x14ac:dyDescent="0.25">
      <c r="C1912"/>
      <c r="D1912"/>
    </row>
    <row r="1913" spans="3:4" x14ac:dyDescent="0.25">
      <c r="C1913"/>
      <c r="D1913"/>
    </row>
    <row r="1914" spans="3:4" x14ac:dyDescent="0.25">
      <c r="C1914"/>
      <c r="D1914"/>
    </row>
    <row r="1915" spans="3:4" x14ac:dyDescent="0.25">
      <c r="C1915"/>
      <c r="D1915"/>
    </row>
    <row r="1916" spans="3:4" x14ac:dyDescent="0.25">
      <c r="C1916"/>
      <c r="D1916"/>
    </row>
    <row r="1917" spans="3:4" x14ac:dyDescent="0.25">
      <c r="C1917"/>
      <c r="D1917"/>
    </row>
    <row r="1918" spans="3:4" x14ac:dyDescent="0.25">
      <c r="C1918"/>
      <c r="D1918"/>
    </row>
    <row r="1919" spans="3:4" x14ac:dyDescent="0.25">
      <c r="C1919"/>
      <c r="D1919"/>
    </row>
    <row r="1920" spans="3:4" x14ac:dyDescent="0.25">
      <c r="C1920"/>
      <c r="D1920"/>
    </row>
    <row r="1921" spans="3:4" x14ac:dyDescent="0.25">
      <c r="C1921"/>
      <c r="D1921"/>
    </row>
    <row r="1922" spans="3:4" x14ac:dyDescent="0.25">
      <c r="C1922"/>
      <c r="D1922"/>
    </row>
    <row r="1923" spans="3:4" x14ac:dyDescent="0.25">
      <c r="C1923"/>
      <c r="D1923"/>
    </row>
    <row r="1924" spans="3:4" x14ac:dyDescent="0.25">
      <c r="C1924"/>
      <c r="D1924"/>
    </row>
    <row r="1925" spans="3:4" x14ac:dyDescent="0.25">
      <c r="C1925"/>
      <c r="D1925"/>
    </row>
    <row r="1926" spans="3:4" x14ac:dyDescent="0.25">
      <c r="C1926"/>
      <c r="D1926"/>
    </row>
    <row r="1927" spans="3:4" x14ac:dyDescent="0.25">
      <c r="C1927"/>
      <c r="D1927"/>
    </row>
    <row r="1928" spans="3:4" x14ac:dyDescent="0.25">
      <c r="C1928"/>
      <c r="D1928"/>
    </row>
    <row r="1929" spans="3:4" x14ac:dyDescent="0.25">
      <c r="C1929"/>
      <c r="D1929"/>
    </row>
    <row r="1930" spans="3:4" x14ac:dyDescent="0.25">
      <c r="C1930"/>
      <c r="D1930"/>
    </row>
    <row r="1931" spans="3:4" x14ac:dyDescent="0.25">
      <c r="C1931"/>
      <c r="D1931"/>
    </row>
    <row r="1932" spans="3:4" x14ac:dyDescent="0.25">
      <c r="C1932"/>
      <c r="D1932"/>
    </row>
    <row r="1933" spans="3:4" x14ac:dyDescent="0.25">
      <c r="C1933"/>
      <c r="D1933"/>
    </row>
    <row r="1934" spans="3:4" x14ac:dyDescent="0.25">
      <c r="C1934"/>
      <c r="D1934"/>
    </row>
    <row r="1935" spans="3:4" x14ac:dyDescent="0.25">
      <c r="C1935"/>
      <c r="D1935"/>
    </row>
    <row r="1936" spans="3:4" x14ac:dyDescent="0.25">
      <c r="C1936"/>
      <c r="D1936"/>
    </row>
    <row r="1937" spans="3:4" x14ac:dyDescent="0.25">
      <c r="C1937"/>
      <c r="D1937"/>
    </row>
    <row r="1938" spans="3:4" x14ac:dyDescent="0.25">
      <c r="C1938"/>
      <c r="D1938"/>
    </row>
    <row r="1939" spans="3:4" x14ac:dyDescent="0.25">
      <c r="C1939"/>
      <c r="D1939"/>
    </row>
    <row r="1940" spans="3:4" x14ac:dyDescent="0.25">
      <c r="C1940"/>
      <c r="D1940"/>
    </row>
    <row r="1941" spans="3:4" x14ac:dyDescent="0.25">
      <c r="C1941"/>
      <c r="D1941"/>
    </row>
    <row r="1942" spans="3:4" x14ac:dyDescent="0.25">
      <c r="C1942"/>
      <c r="D1942"/>
    </row>
    <row r="1943" spans="3:4" x14ac:dyDescent="0.25">
      <c r="C1943"/>
      <c r="D1943"/>
    </row>
    <row r="1944" spans="3:4" x14ac:dyDescent="0.25">
      <c r="C1944"/>
      <c r="D1944"/>
    </row>
    <row r="1945" spans="3:4" x14ac:dyDescent="0.25">
      <c r="C1945"/>
      <c r="D1945"/>
    </row>
    <row r="1946" spans="3:4" x14ac:dyDescent="0.25">
      <c r="C1946"/>
      <c r="D1946"/>
    </row>
    <row r="1947" spans="3:4" x14ac:dyDescent="0.25">
      <c r="C1947"/>
      <c r="D1947"/>
    </row>
    <row r="1948" spans="3:4" x14ac:dyDescent="0.25">
      <c r="C1948"/>
      <c r="D1948"/>
    </row>
    <row r="1949" spans="3:4" x14ac:dyDescent="0.25">
      <c r="C1949"/>
      <c r="D1949"/>
    </row>
    <row r="1950" spans="3:4" x14ac:dyDescent="0.25">
      <c r="C1950"/>
      <c r="D1950"/>
    </row>
    <row r="1951" spans="3:4" x14ac:dyDescent="0.25">
      <c r="C1951"/>
      <c r="D1951"/>
    </row>
    <row r="1952" spans="3:4" x14ac:dyDescent="0.25">
      <c r="C1952"/>
      <c r="D1952"/>
    </row>
    <row r="1953" spans="3:4" x14ac:dyDescent="0.25">
      <c r="C1953"/>
      <c r="D1953"/>
    </row>
    <row r="1954" spans="3:4" x14ac:dyDescent="0.25">
      <c r="C1954"/>
      <c r="D1954"/>
    </row>
    <row r="1955" spans="3:4" x14ac:dyDescent="0.25">
      <c r="C1955"/>
      <c r="D1955"/>
    </row>
    <row r="1956" spans="3:4" x14ac:dyDescent="0.25">
      <c r="C1956"/>
      <c r="D1956"/>
    </row>
    <row r="1957" spans="3:4" x14ac:dyDescent="0.25">
      <c r="C1957"/>
      <c r="D1957"/>
    </row>
    <row r="1958" spans="3:4" x14ac:dyDescent="0.25">
      <c r="C1958"/>
      <c r="D1958"/>
    </row>
    <row r="1959" spans="3:4" x14ac:dyDescent="0.25">
      <c r="C1959"/>
      <c r="D1959"/>
    </row>
    <row r="1960" spans="3:4" x14ac:dyDescent="0.25">
      <c r="C1960"/>
      <c r="D1960"/>
    </row>
    <row r="1961" spans="3:4" x14ac:dyDescent="0.25">
      <c r="C1961"/>
      <c r="D1961"/>
    </row>
    <row r="1962" spans="3:4" x14ac:dyDescent="0.25">
      <c r="C1962"/>
      <c r="D1962"/>
    </row>
    <row r="1963" spans="3:4" x14ac:dyDescent="0.25">
      <c r="C1963"/>
      <c r="D1963"/>
    </row>
    <row r="1964" spans="3:4" x14ac:dyDescent="0.25">
      <c r="C1964"/>
      <c r="D1964"/>
    </row>
    <row r="1965" spans="3:4" x14ac:dyDescent="0.25">
      <c r="C1965"/>
      <c r="D1965"/>
    </row>
    <row r="1966" spans="3:4" x14ac:dyDescent="0.25">
      <c r="C1966"/>
      <c r="D1966"/>
    </row>
    <row r="1967" spans="3:4" x14ac:dyDescent="0.25">
      <c r="C1967"/>
      <c r="D1967"/>
    </row>
    <row r="1968" spans="3:4" x14ac:dyDescent="0.25">
      <c r="C1968"/>
      <c r="D1968"/>
    </row>
    <row r="1969" spans="3:4" x14ac:dyDescent="0.25">
      <c r="C1969"/>
      <c r="D1969"/>
    </row>
    <row r="1970" spans="3:4" x14ac:dyDescent="0.25">
      <c r="C1970"/>
      <c r="D1970"/>
    </row>
    <row r="1971" spans="3:4" x14ac:dyDescent="0.25">
      <c r="C1971"/>
      <c r="D1971"/>
    </row>
    <row r="1972" spans="3:4" x14ac:dyDescent="0.25">
      <c r="C1972"/>
      <c r="D1972"/>
    </row>
    <row r="1973" spans="3:4" x14ac:dyDescent="0.25">
      <c r="C1973"/>
      <c r="D1973"/>
    </row>
    <row r="1974" spans="3:4" x14ac:dyDescent="0.25">
      <c r="C1974"/>
      <c r="D1974"/>
    </row>
    <row r="1975" spans="3:4" x14ac:dyDescent="0.25">
      <c r="C1975"/>
      <c r="D1975"/>
    </row>
    <row r="1976" spans="3:4" x14ac:dyDescent="0.25">
      <c r="C1976"/>
      <c r="D1976"/>
    </row>
    <row r="1977" spans="3:4" x14ac:dyDescent="0.25">
      <c r="C1977"/>
      <c r="D1977"/>
    </row>
    <row r="1978" spans="3:4" x14ac:dyDescent="0.25">
      <c r="C1978"/>
      <c r="D1978"/>
    </row>
    <row r="1979" spans="3:4" x14ac:dyDescent="0.25">
      <c r="C1979"/>
      <c r="D1979"/>
    </row>
    <row r="1980" spans="3:4" x14ac:dyDescent="0.25">
      <c r="C1980"/>
      <c r="D1980"/>
    </row>
    <row r="1981" spans="3:4" x14ac:dyDescent="0.25">
      <c r="C1981"/>
      <c r="D1981"/>
    </row>
    <row r="1982" spans="3:4" x14ac:dyDescent="0.25">
      <c r="C1982"/>
      <c r="D1982"/>
    </row>
    <row r="1983" spans="3:4" x14ac:dyDescent="0.25">
      <c r="C1983"/>
      <c r="D1983"/>
    </row>
    <row r="1984" spans="3:4" x14ac:dyDescent="0.25">
      <c r="C1984"/>
      <c r="D1984"/>
    </row>
    <row r="1985" spans="3:4" x14ac:dyDescent="0.25">
      <c r="C1985"/>
      <c r="D1985"/>
    </row>
    <row r="1986" spans="3:4" x14ac:dyDescent="0.25">
      <c r="C1986"/>
      <c r="D1986"/>
    </row>
    <row r="1987" spans="3:4" x14ac:dyDescent="0.25">
      <c r="C1987"/>
      <c r="D1987"/>
    </row>
    <row r="1988" spans="3:4" x14ac:dyDescent="0.25">
      <c r="C1988"/>
      <c r="D1988"/>
    </row>
    <row r="1989" spans="3:4" x14ac:dyDescent="0.25">
      <c r="C1989"/>
      <c r="D1989"/>
    </row>
    <row r="1990" spans="3:4" x14ac:dyDescent="0.25">
      <c r="C1990"/>
      <c r="D1990"/>
    </row>
    <row r="1991" spans="3:4" x14ac:dyDescent="0.25">
      <c r="C1991"/>
      <c r="D1991"/>
    </row>
    <row r="1992" spans="3:4" x14ac:dyDescent="0.25">
      <c r="C1992"/>
      <c r="D1992"/>
    </row>
    <row r="1993" spans="3:4" x14ac:dyDescent="0.25">
      <c r="C1993"/>
      <c r="D1993"/>
    </row>
    <row r="1994" spans="3:4" x14ac:dyDescent="0.25">
      <c r="C1994"/>
      <c r="D1994"/>
    </row>
    <row r="1995" spans="3:4" x14ac:dyDescent="0.25">
      <c r="C1995"/>
      <c r="D1995"/>
    </row>
    <row r="1996" spans="3:4" x14ac:dyDescent="0.25">
      <c r="C1996"/>
      <c r="D1996"/>
    </row>
    <row r="1997" spans="3:4" x14ac:dyDescent="0.25">
      <c r="C1997"/>
      <c r="D1997"/>
    </row>
    <row r="1998" spans="3:4" x14ac:dyDescent="0.25">
      <c r="C1998"/>
      <c r="D1998"/>
    </row>
    <row r="1999" spans="3:4" x14ac:dyDescent="0.25">
      <c r="C1999"/>
      <c r="D1999"/>
    </row>
    <row r="2000" spans="3:4" x14ac:dyDescent="0.25">
      <c r="C2000"/>
      <c r="D2000"/>
    </row>
    <row r="2001" spans="3:4" x14ac:dyDescent="0.25">
      <c r="C2001"/>
      <c r="D2001"/>
    </row>
    <row r="2002" spans="3:4" x14ac:dyDescent="0.25">
      <c r="C2002"/>
      <c r="D2002"/>
    </row>
    <row r="2003" spans="3:4" x14ac:dyDescent="0.25">
      <c r="C2003"/>
      <c r="D2003"/>
    </row>
    <row r="2004" spans="3:4" x14ac:dyDescent="0.25">
      <c r="C2004"/>
      <c r="D2004"/>
    </row>
    <row r="2005" spans="3:4" x14ac:dyDescent="0.25">
      <c r="C2005"/>
      <c r="D2005"/>
    </row>
    <row r="2006" spans="3:4" x14ac:dyDescent="0.25">
      <c r="C2006"/>
      <c r="D2006"/>
    </row>
    <row r="2007" spans="3:4" x14ac:dyDescent="0.25">
      <c r="C2007"/>
      <c r="D2007"/>
    </row>
    <row r="2008" spans="3:4" x14ac:dyDescent="0.25">
      <c r="C2008"/>
      <c r="D2008"/>
    </row>
    <row r="2009" spans="3:4" x14ac:dyDescent="0.25">
      <c r="C2009"/>
      <c r="D2009"/>
    </row>
    <row r="2010" spans="3:4" x14ac:dyDescent="0.25">
      <c r="C2010"/>
      <c r="D2010"/>
    </row>
    <row r="2011" spans="3:4" x14ac:dyDescent="0.25">
      <c r="C2011"/>
      <c r="D2011"/>
    </row>
    <row r="2012" spans="3:4" x14ac:dyDescent="0.25">
      <c r="C2012"/>
      <c r="D2012"/>
    </row>
    <row r="2013" spans="3:4" x14ac:dyDescent="0.25">
      <c r="C2013"/>
      <c r="D2013"/>
    </row>
    <row r="2014" spans="3:4" x14ac:dyDescent="0.25">
      <c r="C2014"/>
      <c r="D2014"/>
    </row>
    <row r="2015" spans="3:4" x14ac:dyDescent="0.25">
      <c r="C2015"/>
      <c r="D2015"/>
    </row>
    <row r="2016" spans="3:4" x14ac:dyDescent="0.25">
      <c r="C2016"/>
      <c r="D2016"/>
    </row>
    <row r="2017" spans="3:4" x14ac:dyDescent="0.25">
      <c r="C2017"/>
      <c r="D2017"/>
    </row>
    <row r="2018" spans="3:4" x14ac:dyDescent="0.25">
      <c r="C2018"/>
      <c r="D2018"/>
    </row>
    <row r="2019" spans="3:4" x14ac:dyDescent="0.25">
      <c r="C2019"/>
      <c r="D2019"/>
    </row>
    <row r="2020" spans="3:4" x14ac:dyDescent="0.25">
      <c r="C2020"/>
      <c r="D2020"/>
    </row>
    <row r="2021" spans="3:4" x14ac:dyDescent="0.25">
      <c r="C2021"/>
      <c r="D2021"/>
    </row>
    <row r="2022" spans="3:4" x14ac:dyDescent="0.25">
      <c r="C2022"/>
      <c r="D2022"/>
    </row>
    <row r="2023" spans="3:4" x14ac:dyDescent="0.25">
      <c r="C2023"/>
      <c r="D2023"/>
    </row>
    <row r="2024" spans="3:4" x14ac:dyDescent="0.25">
      <c r="C2024"/>
      <c r="D2024"/>
    </row>
    <row r="2025" spans="3:4" x14ac:dyDescent="0.25">
      <c r="C2025"/>
      <c r="D2025"/>
    </row>
    <row r="2026" spans="3:4" x14ac:dyDescent="0.25">
      <c r="C2026"/>
      <c r="D2026"/>
    </row>
    <row r="2027" spans="3:4" x14ac:dyDescent="0.25">
      <c r="C2027"/>
      <c r="D2027"/>
    </row>
    <row r="2028" spans="3:4" x14ac:dyDescent="0.25">
      <c r="C2028"/>
      <c r="D2028"/>
    </row>
    <row r="2029" spans="3:4" x14ac:dyDescent="0.25">
      <c r="C2029"/>
      <c r="D2029"/>
    </row>
    <row r="2030" spans="3:4" x14ac:dyDescent="0.25">
      <c r="C2030"/>
      <c r="D2030"/>
    </row>
    <row r="2031" spans="3:4" x14ac:dyDescent="0.25">
      <c r="C2031"/>
      <c r="D2031"/>
    </row>
    <row r="2032" spans="3:4" x14ac:dyDescent="0.25">
      <c r="C2032"/>
      <c r="D2032"/>
    </row>
    <row r="2033" spans="3:4" x14ac:dyDescent="0.25">
      <c r="C2033"/>
      <c r="D2033"/>
    </row>
    <row r="2034" spans="3:4" x14ac:dyDescent="0.25">
      <c r="C2034"/>
      <c r="D2034"/>
    </row>
    <row r="2035" spans="3:4" x14ac:dyDescent="0.25">
      <c r="C2035"/>
      <c r="D2035"/>
    </row>
    <row r="2036" spans="3:4" x14ac:dyDescent="0.25">
      <c r="C2036"/>
      <c r="D2036"/>
    </row>
    <row r="2037" spans="3:4" x14ac:dyDescent="0.25">
      <c r="C2037"/>
      <c r="D2037"/>
    </row>
    <row r="2038" spans="3:4" x14ac:dyDescent="0.25">
      <c r="C2038"/>
      <c r="D2038"/>
    </row>
    <row r="2039" spans="3:4" x14ac:dyDescent="0.25">
      <c r="C2039"/>
      <c r="D2039"/>
    </row>
    <row r="2040" spans="3:4" x14ac:dyDescent="0.25">
      <c r="C2040"/>
      <c r="D2040"/>
    </row>
    <row r="2041" spans="3:4" x14ac:dyDescent="0.25">
      <c r="C2041"/>
      <c r="D2041"/>
    </row>
    <row r="2042" spans="3:4" x14ac:dyDescent="0.25">
      <c r="C2042"/>
      <c r="D2042"/>
    </row>
    <row r="2043" spans="3:4" x14ac:dyDescent="0.25">
      <c r="C2043"/>
      <c r="D2043"/>
    </row>
    <row r="2044" spans="3:4" x14ac:dyDescent="0.25">
      <c r="C2044"/>
      <c r="D2044"/>
    </row>
    <row r="2045" spans="3:4" x14ac:dyDescent="0.25">
      <c r="C2045"/>
      <c r="D2045"/>
    </row>
    <row r="2046" spans="3:4" x14ac:dyDescent="0.25">
      <c r="C2046"/>
      <c r="D2046"/>
    </row>
    <row r="2047" spans="3:4" x14ac:dyDescent="0.25">
      <c r="C2047"/>
      <c r="D2047"/>
    </row>
    <row r="2048" spans="3:4" x14ac:dyDescent="0.25">
      <c r="C2048"/>
      <c r="D2048"/>
    </row>
    <row r="2049" spans="3:4" x14ac:dyDescent="0.25">
      <c r="C2049"/>
      <c r="D2049"/>
    </row>
    <row r="2050" spans="3:4" x14ac:dyDescent="0.25">
      <c r="C2050"/>
      <c r="D2050"/>
    </row>
    <row r="2051" spans="3:4" x14ac:dyDescent="0.25">
      <c r="C2051"/>
      <c r="D2051"/>
    </row>
    <row r="2052" spans="3:4" x14ac:dyDescent="0.25">
      <c r="C2052"/>
      <c r="D2052"/>
    </row>
    <row r="2053" spans="3:4" x14ac:dyDescent="0.25">
      <c r="C2053"/>
      <c r="D2053"/>
    </row>
    <row r="2054" spans="3:4" x14ac:dyDescent="0.25">
      <c r="C2054"/>
      <c r="D2054"/>
    </row>
    <row r="2055" spans="3:4" x14ac:dyDescent="0.25">
      <c r="C2055"/>
      <c r="D2055"/>
    </row>
    <row r="2056" spans="3:4" x14ac:dyDescent="0.25">
      <c r="C2056"/>
      <c r="D2056"/>
    </row>
    <row r="2057" spans="3:4" x14ac:dyDescent="0.25">
      <c r="C2057"/>
      <c r="D2057"/>
    </row>
    <row r="2058" spans="3:4" x14ac:dyDescent="0.25">
      <c r="C2058"/>
      <c r="D2058"/>
    </row>
    <row r="2059" spans="3:4" x14ac:dyDescent="0.25">
      <c r="C2059"/>
      <c r="D2059"/>
    </row>
    <row r="2060" spans="3:4" x14ac:dyDescent="0.25">
      <c r="C2060"/>
      <c r="D2060"/>
    </row>
    <row r="2061" spans="3:4" x14ac:dyDescent="0.25">
      <c r="C2061"/>
      <c r="D2061"/>
    </row>
    <row r="2062" spans="3:4" x14ac:dyDescent="0.25">
      <c r="C2062"/>
      <c r="D2062"/>
    </row>
    <row r="2063" spans="3:4" x14ac:dyDescent="0.25">
      <c r="C2063"/>
      <c r="D2063"/>
    </row>
    <row r="2064" spans="3:4" x14ac:dyDescent="0.25">
      <c r="C2064"/>
      <c r="D2064"/>
    </row>
    <row r="2065" spans="3:4" x14ac:dyDescent="0.25">
      <c r="C2065"/>
      <c r="D2065"/>
    </row>
    <row r="2066" spans="3:4" x14ac:dyDescent="0.25">
      <c r="C2066"/>
      <c r="D2066"/>
    </row>
    <row r="2067" spans="3:4" x14ac:dyDescent="0.25">
      <c r="C2067"/>
      <c r="D2067"/>
    </row>
    <row r="2068" spans="3:4" x14ac:dyDescent="0.25">
      <c r="C2068"/>
      <c r="D2068"/>
    </row>
    <row r="2069" spans="3:4" x14ac:dyDescent="0.25">
      <c r="C2069"/>
      <c r="D2069"/>
    </row>
    <row r="2070" spans="3:4" x14ac:dyDescent="0.25">
      <c r="C2070"/>
      <c r="D2070"/>
    </row>
    <row r="2071" spans="3:4" x14ac:dyDescent="0.25">
      <c r="C2071"/>
      <c r="D2071"/>
    </row>
    <row r="2072" spans="3:4" x14ac:dyDescent="0.25">
      <c r="C2072"/>
      <c r="D2072"/>
    </row>
    <row r="2073" spans="3:4" x14ac:dyDescent="0.25">
      <c r="C2073"/>
      <c r="D2073"/>
    </row>
    <row r="2074" spans="3:4" x14ac:dyDescent="0.25">
      <c r="C2074"/>
      <c r="D2074"/>
    </row>
    <row r="2075" spans="3:4" x14ac:dyDescent="0.25">
      <c r="C2075"/>
      <c r="D2075"/>
    </row>
    <row r="2076" spans="3:4" x14ac:dyDescent="0.25">
      <c r="C2076"/>
      <c r="D2076"/>
    </row>
    <row r="2077" spans="3:4" x14ac:dyDescent="0.25">
      <c r="C2077"/>
      <c r="D2077"/>
    </row>
    <row r="2078" spans="3:4" x14ac:dyDescent="0.25">
      <c r="C2078"/>
      <c r="D2078"/>
    </row>
    <row r="2079" spans="3:4" x14ac:dyDescent="0.25">
      <c r="C2079"/>
      <c r="D2079"/>
    </row>
    <row r="2080" spans="3:4" x14ac:dyDescent="0.25">
      <c r="C2080"/>
      <c r="D2080"/>
    </row>
    <row r="2081" spans="3:4" x14ac:dyDescent="0.25">
      <c r="C2081"/>
      <c r="D2081"/>
    </row>
    <row r="2082" spans="3:4" x14ac:dyDescent="0.25">
      <c r="C2082"/>
      <c r="D2082"/>
    </row>
    <row r="2083" spans="3:4" x14ac:dyDescent="0.25">
      <c r="C2083"/>
      <c r="D2083"/>
    </row>
    <row r="2084" spans="3:4" x14ac:dyDescent="0.25">
      <c r="C2084"/>
      <c r="D2084"/>
    </row>
    <row r="2085" spans="3:4" x14ac:dyDescent="0.25">
      <c r="C2085"/>
      <c r="D2085"/>
    </row>
    <row r="2086" spans="3:4" x14ac:dyDescent="0.25">
      <c r="C2086"/>
      <c r="D2086"/>
    </row>
    <row r="2087" spans="3:4" x14ac:dyDescent="0.25">
      <c r="C2087"/>
      <c r="D2087"/>
    </row>
    <row r="2088" spans="3:4" x14ac:dyDescent="0.25">
      <c r="C2088"/>
      <c r="D2088"/>
    </row>
    <row r="2089" spans="3:4" x14ac:dyDescent="0.25">
      <c r="C2089"/>
      <c r="D2089"/>
    </row>
    <row r="2090" spans="3:4" x14ac:dyDescent="0.25">
      <c r="C2090"/>
      <c r="D2090"/>
    </row>
    <row r="2091" spans="3:4" x14ac:dyDescent="0.25">
      <c r="C2091"/>
      <c r="D2091"/>
    </row>
    <row r="2092" spans="3:4" x14ac:dyDescent="0.25">
      <c r="C2092"/>
      <c r="D2092"/>
    </row>
    <row r="2093" spans="3:4" x14ac:dyDescent="0.25">
      <c r="C2093"/>
      <c r="D2093"/>
    </row>
    <row r="2094" spans="3:4" x14ac:dyDescent="0.25">
      <c r="C2094"/>
      <c r="D2094"/>
    </row>
    <row r="2095" spans="3:4" x14ac:dyDescent="0.25">
      <c r="C2095"/>
      <c r="D2095"/>
    </row>
    <row r="2096" spans="3:4" x14ac:dyDescent="0.25">
      <c r="C2096"/>
      <c r="D2096"/>
    </row>
    <row r="2097" spans="3:4" x14ac:dyDescent="0.25">
      <c r="C2097"/>
      <c r="D2097"/>
    </row>
    <row r="2098" spans="3:4" x14ac:dyDescent="0.25">
      <c r="C2098"/>
      <c r="D2098"/>
    </row>
    <row r="2099" spans="3:4" x14ac:dyDescent="0.25">
      <c r="C2099"/>
      <c r="D2099"/>
    </row>
    <row r="2100" spans="3:4" x14ac:dyDescent="0.25">
      <c r="C2100"/>
      <c r="D2100"/>
    </row>
    <row r="2101" spans="3:4" x14ac:dyDescent="0.25">
      <c r="C2101"/>
      <c r="D2101"/>
    </row>
    <row r="2102" spans="3:4" x14ac:dyDescent="0.25">
      <c r="C2102"/>
      <c r="D2102"/>
    </row>
    <row r="2103" spans="3:4" x14ac:dyDescent="0.25">
      <c r="C2103"/>
      <c r="D2103"/>
    </row>
    <row r="2104" spans="3:4" x14ac:dyDescent="0.25">
      <c r="C2104"/>
      <c r="D2104"/>
    </row>
    <row r="2105" spans="3:4" x14ac:dyDescent="0.25">
      <c r="C2105"/>
      <c r="D2105"/>
    </row>
    <row r="2106" spans="3:4" x14ac:dyDescent="0.25">
      <c r="C2106"/>
      <c r="D2106"/>
    </row>
    <row r="2107" spans="3:4" x14ac:dyDescent="0.25">
      <c r="C2107"/>
      <c r="D2107"/>
    </row>
    <row r="2108" spans="3:4" x14ac:dyDescent="0.25">
      <c r="C2108"/>
      <c r="D2108"/>
    </row>
    <row r="2109" spans="3:4" x14ac:dyDescent="0.25">
      <c r="C2109"/>
      <c r="D2109"/>
    </row>
    <row r="2110" spans="3:4" x14ac:dyDescent="0.25">
      <c r="C2110"/>
      <c r="D2110"/>
    </row>
    <row r="2111" spans="3:4" x14ac:dyDescent="0.25">
      <c r="C2111"/>
      <c r="D2111"/>
    </row>
    <row r="2112" spans="3:4" x14ac:dyDescent="0.25">
      <c r="C2112"/>
      <c r="D2112"/>
    </row>
    <row r="2113" spans="3:4" x14ac:dyDescent="0.25">
      <c r="C2113"/>
      <c r="D2113"/>
    </row>
    <row r="2114" spans="3:4" x14ac:dyDescent="0.25">
      <c r="C2114"/>
      <c r="D2114"/>
    </row>
    <row r="2115" spans="3:4" x14ac:dyDescent="0.25">
      <c r="C2115"/>
      <c r="D2115"/>
    </row>
    <row r="2116" spans="3:4" x14ac:dyDescent="0.25">
      <c r="C2116"/>
      <c r="D2116"/>
    </row>
    <row r="2117" spans="3:4" x14ac:dyDescent="0.25">
      <c r="C2117"/>
      <c r="D2117"/>
    </row>
    <row r="2118" spans="3:4" x14ac:dyDescent="0.25">
      <c r="C2118"/>
      <c r="D2118"/>
    </row>
    <row r="2119" spans="3:4" x14ac:dyDescent="0.25">
      <c r="C2119"/>
      <c r="D2119"/>
    </row>
    <row r="2120" spans="3:4" x14ac:dyDescent="0.25">
      <c r="C2120"/>
      <c r="D2120"/>
    </row>
    <row r="2121" spans="3:4" x14ac:dyDescent="0.25">
      <c r="C2121"/>
      <c r="D2121"/>
    </row>
    <row r="2122" spans="3:4" x14ac:dyDescent="0.25">
      <c r="C2122"/>
      <c r="D2122"/>
    </row>
    <row r="2123" spans="3:4" x14ac:dyDescent="0.25">
      <c r="C2123"/>
      <c r="D2123"/>
    </row>
    <row r="2124" spans="3:4" x14ac:dyDescent="0.25">
      <c r="C2124"/>
      <c r="D2124"/>
    </row>
    <row r="2125" spans="3:4" x14ac:dyDescent="0.25">
      <c r="C2125"/>
      <c r="D2125"/>
    </row>
    <row r="2126" spans="3:4" x14ac:dyDescent="0.25">
      <c r="C2126"/>
      <c r="D2126"/>
    </row>
    <row r="2127" spans="3:4" x14ac:dyDescent="0.25">
      <c r="C2127"/>
      <c r="D2127"/>
    </row>
    <row r="2128" spans="3:4" x14ac:dyDescent="0.25">
      <c r="C2128"/>
      <c r="D2128"/>
    </row>
    <row r="2129" spans="3:4" x14ac:dyDescent="0.25">
      <c r="C2129"/>
      <c r="D2129"/>
    </row>
    <row r="2130" spans="3:4" x14ac:dyDescent="0.25">
      <c r="C2130"/>
      <c r="D2130"/>
    </row>
    <row r="2131" spans="3:4" x14ac:dyDescent="0.25">
      <c r="C2131"/>
      <c r="D2131"/>
    </row>
    <row r="2132" spans="3:4" x14ac:dyDescent="0.25">
      <c r="C2132"/>
      <c r="D2132"/>
    </row>
    <row r="2133" spans="3:4" x14ac:dyDescent="0.25">
      <c r="C2133"/>
      <c r="D2133"/>
    </row>
    <row r="2134" spans="3:4" x14ac:dyDescent="0.25">
      <c r="C2134"/>
      <c r="D2134"/>
    </row>
    <row r="2135" spans="3:4" x14ac:dyDescent="0.25">
      <c r="C2135"/>
      <c r="D2135"/>
    </row>
    <row r="2136" spans="3:4" x14ac:dyDescent="0.25">
      <c r="C2136"/>
      <c r="D2136"/>
    </row>
    <row r="2137" spans="3:4" x14ac:dyDescent="0.25">
      <c r="C2137"/>
      <c r="D2137"/>
    </row>
    <row r="2138" spans="3:4" x14ac:dyDescent="0.25">
      <c r="C2138"/>
      <c r="D2138"/>
    </row>
    <row r="2139" spans="3:4" x14ac:dyDescent="0.25">
      <c r="C2139"/>
      <c r="D2139"/>
    </row>
    <row r="2140" spans="3:4" x14ac:dyDescent="0.25">
      <c r="C2140"/>
      <c r="D2140"/>
    </row>
    <row r="2141" spans="3:4" x14ac:dyDescent="0.25">
      <c r="C2141"/>
      <c r="D2141"/>
    </row>
    <row r="2142" spans="3:4" x14ac:dyDescent="0.25">
      <c r="C2142"/>
      <c r="D2142"/>
    </row>
    <row r="2143" spans="3:4" x14ac:dyDescent="0.25">
      <c r="C2143"/>
      <c r="D2143"/>
    </row>
    <row r="2144" spans="3:4" x14ac:dyDescent="0.25">
      <c r="C2144"/>
      <c r="D2144"/>
    </row>
    <row r="2145" spans="3:4" x14ac:dyDescent="0.25">
      <c r="C2145"/>
      <c r="D2145"/>
    </row>
    <row r="2146" spans="3:4" x14ac:dyDescent="0.25">
      <c r="C2146"/>
      <c r="D2146"/>
    </row>
    <row r="2147" spans="3:4" x14ac:dyDescent="0.25">
      <c r="C2147"/>
      <c r="D2147"/>
    </row>
    <row r="2148" spans="3:4" x14ac:dyDescent="0.25">
      <c r="C2148"/>
      <c r="D2148"/>
    </row>
    <row r="2149" spans="3:4" x14ac:dyDescent="0.25">
      <c r="C2149"/>
      <c r="D2149"/>
    </row>
    <row r="2150" spans="3:4" x14ac:dyDescent="0.25">
      <c r="C2150"/>
      <c r="D2150"/>
    </row>
    <row r="2151" spans="3:4" x14ac:dyDescent="0.25">
      <c r="C2151"/>
      <c r="D2151"/>
    </row>
    <row r="2152" spans="3:4" x14ac:dyDescent="0.25">
      <c r="C2152"/>
      <c r="D2152"/>
    </row>
    <row r="2153" spans="3:4" x14ac:dyDescent="0.25">
      <c r="C2153"/>
      <c r="D2153"/>
    </row>
    <row r="2154" spans="3:4" x14ac:dyDescent="0.25">
      <c r="C2154"/>
      <c r="D2154"/>
    </row>
    <row r="2155" spans="3:4" x14ac:dyDescent="0.25">
      <c r="C2155"/>
      <c r="D2155"/>
    </row>
    <row r="2156" spans="3:4" x14ac:dyDescent="0.25">
      <c r="C2156"/>
      <c r="D2156"/>
    </row>
    <row r="2157" spans="3:4" x14ac:dyDescent="0.25">
      <c r="C2157"/>
      <c r="D2157"/>
    </row>
    <row r="2158" spans="3:4" x14ac:dyDescent="0.25">
      <c r="C2158"/>
      <c r="D2158"/>
    </row>
    <row r="2159" spans="3:4" x14ac:dyDescent="0.25">
      <c r="C2159"/>
      <c r="D2159"/>
    </row>
    <row r="2160" spans="3:4" x14ac:dyDescent="0.25">
      <c r="C2160"/>
      <c r="D2160"/>
    </row>
    <row r="2161" spans="3:4" x14ac:dyDescent="0.25">
      <c r="C2161"/>
      <c r="D2161"/>
    </row>
    <row r="2162" spans="3:4" x14ac:dyDescent="0.25">
      <c r="C2162"/>
      <c r="D2162"/>
    </row>
    <row r="2163" spans="3:4" x14ac:dyDescent="0.25">
      <c r="C2163"/>
      <c r="D2163"/>
    </row>
    <row r="2164" spans="3:4" x14ac:dyDescent="0.25">
      <c r="C2164"/>
      <c r="D2164"/>
    </row>
    <row r="2165" spans="3:4" x14ac:dyDescent="0.25">
      <c r="C2165"/>
      <c r="D2165"/>
    </row>
    <row r="2166" spans="3:4" x14ac:dyDescent="0.25">
      <c r="C2166"/>
      <c r="D2166"/>
    </row>
    <row r="2167" spans="3:4" x14ac:dyDescent="0.25">
      <c r="C2167"/>
      <c r="D2167"/>
    </row>
    <row r="2168" spans="3:4" x14ac:dyDescent="0.25">
      <c r="C2168"/>
      <c r="D2168"/>
    </row>
    <row r="2169" spans="3:4" x14ac:dyDescent="0.25">
      <c r="C2169"/>
      <c r="D2169"/>
    </row>
    <row r="2170" spans="3:4" x14ac:dyDescent="0.25">
      <c r="C2170"/>
      <c r="D2170"/>
    </row>
    <row r="2171" spans="3:4" x14ac:dyDescent="0.25">
      <c r="C2171"/>
      <c r="D2171"/>
    </row>
    <row r="2172" spans="3:4" x14ac:dyDescent="0.25">
      <c r="C2172"/>
      <c r="D2172"/>
    </row>
    <row r="2173" spans="3:4" x14ac:dyDescent="0.25">
      <c r="C2173"/>
      <c r="D2173"/>
    </row>
    <row r="2174" spans="3:4" x14ac:dyDescent="0.25">
      <c r="C2174"/>
      <c r="D2174"/>
    </row>
    <row r="2175" spans="3:4" x14ac:dyDescent="0.25">
      <c r="C2175"/>
      <c r="D2175"/>
    </row>
    <row r="2176" spans="3:4" x14ac:dyDescent="0.25">
      <c r="C2176"/>
      <c r="D2176"/>
    </row>
    <row r="2177" spans="3:4" x14ac:dyDescent="0.25">
      <c r="C2177"/>
      <c r="D2177"/>
    </row>
    <row r="2178" spans="3:4" x14ac:dyDescent="0.25">
      <c r="C2178"/>
      <c r="D2178"/>
    </row>
    <row r="2179" spans="3:4" x14ac:dyDescent="0.25">
      <c r="C2179"/>
      <c r="D2179"/>
    </row>
    <row r="2180" spans="3:4" x14ac:dyDescent="0.25">
      <c r="C2180"/>
      <c r="D2180"/>
    </row>
    <row r="2181" spans="3:4" x14ac:dyDescent="0.25">
      <c r="C2181"/>
      <c r="D2181"/>
    </row>
    <row r="2182" spans="3:4" x14ac:dyDescent="0.25">
      <c r="C2182"/>
      <c r="D2182"/>
    </row>
    <row r="2183" spans="3:4" x14ac:dyDescent="0.25">
      <c r="C2183"/>
      <c r="D2183"/>
    </row>
    <row r="2184" spans="3:4" x14ac:dyDescent="0.25">
      <c r="C2184"/>
      <c r="D2184"/>
    </row>
    <row r="2185" spans="3:4" x14ac:dyDescent="0.25">
      <c r="C2185"/>
      <c r="D2185"/>
    </row>
    <row r="2186" spans="3:4" x14ac:dyDescent="0.25">
      <c r="C2186"/>
      <c r="D2186"/>
    </row>
    <row r="2187" spans="3:4" x14ac:dyDescent="0.25">
      <c r="C2187"/>
      <c r="D2187"/>
    </row>
    <row r="2188" spans="3:4" x14ac:dyDescent="0.25">
      <c r="C2188"/>
      <c r="D2188"/>
    </row>
    <row r="2189" spans="3:4" x14ac:dyDescent="0.25">
      <c r="C2189"/>
      <c r="D2189"/>
    </row>
    <row r="2190" spans="3:4" x14ac:dyDescent="0.25">
      <c r="C2190"/>
      <c r="D2190"/>
    </row>
    <row r="2191" spans="3:4" x14ac:dyDescent="0.25">
      <c r="C2191"/>
      <c r="D2191"/>
    </row>
    <row r="2192" spans="3:4" x14ac:dyDescent="0.25">
      <c r="C2192"/>
      <c r="D2192"/>
    </row>
    <row r="2193" spans="3:4" x14ac:dyDescent="0.25">
      <c r="C2193"/>
      <c r="D2193"/>
    </row>
    <row r="2194" spans="3:4" x14ac:dyDescent="0.25">
      <c r="C2194"/>
      <c r="D2194"/>
    </row>
    <row r="2195" spans="3:4" x14ac:dyDescent="0.25">
      <c r="C2195"/>
      <c r="D2195"/>
    </row>
    <row r="2196" spans="3:4" x14ac:dyDescent="0.25">
      <c r="C2196"/>
      <c r="D2196"/>
    </row>
    <row r="2197" spans="3:4" x14ac:dyDescent="0.25">
      <c r="C2197"/>
      <c r="D2197"/>
    </row>
    <row r="2198" spans="3:4" x14ac:dyDescent="0.25">
      <c r="C2198"/>
      <c r="D2198"/>
    </row>
    <row r="2199" spans="3:4" x14ac:dyDescent="0.25">
      <c r="C2199"/>
      <c r="D2199"/>
    </row>
    <row r="2200" spans="3:4" x14ac:dyDescent="0.25">
      <c r="C2200"/>
      <c r="D2200"/>
    </row>
    <row r="2201" spans="3:4" x14ac:dyDescent="0.25">
      <c r="C2201"/>
      <c r="D2201"/>
    </row>
    <row r="2202" spans="3:4" x14ac:dyDescent="0.25">
      <c r="C2202"/>
      <c r="D2202"/>
    </row>
    <row r="2203" spans="3:4" x14ac:dyDescent="0.25">
      <c r="C2203"/>
      <c r="D2203"/>
    </row>
    <row r="2204" spans="3:4" x14ac:dyDescent="0.25">
      <c r="C2204"/>
      <c r="D2204"/>
    </row>
    <row r="2205" spans="3:4" x14ac:dyDescent="0.25">
      <c r="C2205"/>
      <c r="D2205"/>
    </row>
    <row r="2206" spans="3:4" x14ac:dyDescent="0.25">
      <c r="C2206"/>
      <c r="D2206"/>
    </row>
    <row r="2207" spans="3:4" x14ac:dyDescent="0.25">
      <c r="C2207"/>
      <c r="D2207"/>
    </row>
    <row r="2208" spans="3:4" x14ac:dyDescent="0.25">
      <c r="C2208"/>
      <c r="D2208"/>
    </row>
    <row r="2209" spans="3:4" x14ac:dyDescent="0.25">
      <c r="C2209"/>
      <c r="D2209"/>
    </row>
    <row r="2210" spans="3:4" x14ac:dyDescent="0.25">
      <c r="C2210"/>
      <c r="D2210"/>
    </row>
    <row r="2211" spans="3:4" x14ac:dyDescent="0.25">
      <c r="C2211"/>
      <c r="D2211"/>
    </row>
    <row r="2212" spans="3:4" x14ac:dyDescent="0.25">
      <c r="C2212"/>
      <c r="D2212"/>
    </row>
    <row r="2213" spans="3:4" x14ac:dyDescent="0.25">
      <c r="C2213"/>
      <c r="D2213"/>
    </row>
    <row r="2214" spans="3:4" x14ac:dyDescent="0.25">
      <c r="C2214"/>
      <c r="D2214"/>
    </row>
    <row r="2215" spans="3:4" x14ac:dyDescent="0.25">
      <c r="C2215"/>
      <c r="D2215"/>
    </row>
    <row r="2216" spans="3:4" x14ac:dyDescent="0.25">
      <c r="C2216"/>
      <c r="D2216"/>
    </row>
    <row r="2217" spans="3:4" x14ac:dyDescent="0.25">
      <c r="C2217"/>
      <c r="D2217"/>
    </row>
    <row r="2218" spans="3:4" x14ac:dyDescent="0.25">
      <c r="C2218"/>
      <c r="D2218"/>
    </row>
    <row r="2219" spans="3:4" x14ac:dyDescent="0.25">
      <c r="C2219"/>
      <c r="D2219"/>
    </row>
    <row r="2220" spans="3:4" x14ac:dyDescent="0.25">
      <c r="C2220"/>
      <c r="D2220"/>
    </row>
    <row r="2221" spans="3:4" x14ac:dyDescent="0.25">
      <c r="C2221"/>
      <c r="D2221"/>
    </row>
    <row r="2222" spans="3:4" x14ac:dyDescent="0.25">
      <c r="C2222"/>
      <c r="D2222"/>
    </row>
    <row r="2223" spans="3:4" x14ac:dyDescent="0.25">
      <c r="C2223"/>
      <c r="D2223"/>
    </row>
    <row r="2224" spans="3:4" x14ac:dyDescent="0.25">
      <c r="C2224"/>
      <c r="D2224"/>
    </row>
    <row r="2225" spans="3:4" x14ac:dyDescent="0.25">
      <c r="C2225"/>
      <c r="D2225"/>
    </row>
    <row r="2226" spans="3:4" x14ac:dyDescent="0.25">
      <c r="C2226"/>
      <c r="D2226"/>
    </row>
    <row r="2227" spans="3:4" x14ac:dyDescent="0.25">
      <c r="C2227"/>
      <c r="D2227"/>
    </row>
    <row r="2228" spans="3:4" x14ac:dyDescent="0.25">
      <c r="C2228"/>
      <c r="D2228"/>
    </row>
    <row r="2229" spans="3:4" x14ac:dyDescent="0.25">
      <c r="C2229"/>
      <c r="D2229"/>
    </row>
    <row r="2230" spans="3:4" x14ac:dyDescent="0.25">
      <c r="C2230"/>
      <c r="D2230"/>
    </row>
    <row r="2231" spans="3:4" x14ac:dyDescent="0.25">
      <c r="C2231"/>
      <c r="D2231"/>
    </row>
    <row r="2232" spans="3:4" x14ac:dyDescent="0.25">
      <c r="C2232"/>
      <c r="D2232"/>
    </row>
    <row r="2233" spans="3:4" x14ac:dyDescent="0.25">
      <c r="C2233"/>
      <c r="D2233"/>
    </row>
    <row r="2234" spans="3:4" x14ac:dyDescent="0.25">
      <c r="C2234"/>
      <c r="D2234"/>
    </row>
    <row r="2235" spans="3:4" x14ac:dyDescent="0.25">
      <c r="C2235"/>
      <c r="D2235"/>
    </row>
    <row r="2236" spans="3:4" x14ac:dyDescent="0.25">
      <c r="C2236"/>
      <c r="D2236"/>
    </row>
    <row r="2237" spans="3:4" x14ac:dyDescent="0.25">
      <c r="C2237"/>
      <c r="D2237"/>
    </row>
    <row r="2238" spans="3:4" x14ac:dyDescent="0.25">
      <c r="C2238"/>
      <c r="D2238"/>
    </row>
    <row r="2239" spans="3:4" x14ac:dyDescent="0.25">
      <c r="C2239"/>
      <c r="D2239"/>
    </row>
    <row r="2240" spans="3:4" x14ac:dyDescent="0.25">
      <c r="C2240"/>
      <c r="D2240"/>
    </row>
    <row r="2241" spans="3:4" x14ac:dyDescent="0.25">
      <c r="C2241"/>
      <c r="D2241"/>
    </row>
    <row r="2242" spans="3:4" x14ac:dyDescent="0.25">
      <c r="C2242"/>
      <c r="D2242"/>
    </row>
    <row r="2243" spans="3:4" x14ac:dyDescent="0.25">
      <c r="C2243"/>
      <c r="D2243"/>
    </row>
    <row r="2244" spans="3:4" x14ac:dyDescent="0.25">
      <c r="C2244"/>
      <c r="D2244"/>
    </row>
    <row r="2245" spans="3:4" x14ac:dyDescent="0.25">
      <c r="C2245"/>
      <c r="D2245"/>
    </row>
    <row r="2246" spans="3:4" x14ac:dyDescent="0.25">
      <c r="C2246"/>
      <c r="D2246"/>
    </row>
    <row r="2247" spans="3:4" x14ac:dyDescent="0.25">
      <c r="C2247"/>
      <c r="D2247"/>
    </row>
    <row r="2248" spans="3:4" x14ac:dyDescent="0.25">
      <c r="C2248"/>
      <c r="D2248"/>
    </row>
    <row r="2249" spans="3:4" x14ac:dyDescent="0.25">
      <c r="C2249"/>
      <c r="D2249"/>
    </row>
    <row r="2250" spans="3:4" x14ac:dyDescent="0.25">
      <c r="C2250"/>
      <c r="D2250"/>
    </row>
    <row r="2251" spans="3:4" x14ac:dyDescent="0.25">
      <c r="C2251"/>
      <c r="D2251"/>
    </row>
    <row r="2252" spans="3:4" x14ac:dyDescent="0.25">
      <c r="C2252"/>
      <c r="D2252"/>
    </row>
    <row r="2253" spans="3:4" x14ac:dyDescent="0.25">
      <c r="C2253"/>
      <c r="D2253"/>
    </row>
    <row r="2254" spans="3:4" x14ac:dyDescent="0.25">
      <c r="C2254"/>
      <c r="D2254"/>
    </row>
    <row r="2255" spans="3:4" x14ac:dyDescent="0.25">
      <c r="C2255"/>
      <c r="D2255"/>
    </row>
    <row r="2256" spans="3:4" x14ac:dyDescent="0.25">
      <c r="C2256"/>
      <c r="D2256"/>
    </row>
    <row r="2257" spans="3:4" x14ac:dyDescent="0.25">
      <c r="C2257"/>
      <c r="D2257"/>
    </row>
    <row r="2258" spans="3:4" x14ac:dyDescent="0.25">
      <c r="C2258"/>
      <c r="D2258"/>
    </row>
    <row r="2259" spans="3:4" x14ac:dyDescent="0.25">
      <c r="C2259"/>
      <c r="D2259"/>
    </row>
    <row r="2260" spans="3:4" x14ac:dyDescent="0.25">
      <c r="C2260"/>
      <c r="D2260"/>
    </row>
    <row r="2261" spans="3:4" x14ac:dyDescent="0.25">
      <c r="C2261"/>
      <c r="D2261"/>
    </row>
    <row r="2262" spans="3:4" x14ac:dyDescent="0.25">
      <c r="C2262"/>
      <c r="D2262"/>
    </row>
    <row r="2263" spans="3:4" x14ac:dyDescent="0.25">
      <c r="C2263"/>
      <c r="D2263"/>
    </row>
    <row r="2264" spans="3:4" x14ac:dyDescent="0.25">
      <c r="C2264"/>
      <c r="D2264"/>
    </row>
    <row r="2265" spans="3:4" x14ac:dyDescent="0.25">
      <c r="C2265"/>
      <c r="D2265"/>
    </row>
    <row r="2266" spans="3:4" x14ac:dyDescent="0.25">
      <c r="C2266"/>
      <c r="D2266"/>
    </row>
    <row r="2267" spans="3:4" x14ac:dyDescent="0.25">
      <c r="C2267"/>
      <c r="D2267"/>
    </row>
    <row r="2268" spans="3:4" x14ac:dyDescent="0.25">
      <c r="C2268"/>
      <c r="D2268"/>
    </row>
    <row r="2269" spans="3:4" x14ac:dyDescent="0.25">
      <c r="C2269"/>
      <c r="D2269"/>
    </row>
    <row r="2270" spans="3:4" x14ac:dyDescent="0.25">
      <c r="C2270"/>
      <c r="D2270"/>
    </row>
    <row r="2271" spans="3:4" x14ac:dyDescent="0.25">
      <c r="C2271"/>
      <c r="D2271"/>
    </row>
    <row r="2272" spans="3:4" x14ac:dyDescent="0.25">
      <c r="C2272"/>
      <c r="D2272"/>
    </row>
    <row r="2273" spans="3:4" x14ac:dyDescent="0.25">
      <c r="C2273"/>
      <c r="D2273"/>
    </row>
    <row r="2274" spans="3:4" x14ac:dyDescent="0.25">
      <c r="C2274"/>
      <c r="D2274"/>
    </row>
    <row r="2275" spans="3:4" x14ac:dyDescent="0.25">
      <c r="C2275"/>
      <c r="D2275"/>
    </row>
    <row r="2276" spans="3:4" x14ac:dyDescent="0.25">
      <c r="C2276"/>
      <c r="D2276"/>
    </row>
    <row r="2277" spans="3:4" x14ac:dyDescent="0.25">
      <c r="C2277"/>
      <c r="D2277"/>
    </row>
    <row r="2278" spans="3:4" x14ac:dyDescent="0.25">
      <c r="C2278"/>
      <c r="D2278"/>
    </row>
    <row r="2279" spans="3:4" x14ac:dyDescent="0.25">
      <c r="C2279"/>
      <c r="D2279"/>
    </row>
    <row r="2280" spans="3:4" x14ac:dyDescent="0.25">
      <c r="C2280"/>
      <c r="D2280"/>
    </row>
    <row r="2281" spans="3:4" x14ac:dyDescent="0.25">
      <c r="C2281"/>
      <c r="D2281"/>
    </row>
    <row r="2282" spans="3:4" x14ac:dyDescent="0.25">
      <c r="C2282"/>
      <c r="D2282"/>
    </row>
    <row r="2283" spans="3:4" x14ac:dyDescent="0.25">
      <c r="C2283"/>
      <c r="D2283"/>
    </row>
    <row r="2284" spans="3:4" x14ac:dyDescent="0.25">
      <c r="C2284"/>
      <c r="D2284"/>
    </row>
    <row r="2285" spans="3:4" x14ac:dyDescent="0.25">
      <c r="C2285"/>
      <c r="D2285"/>
    </row>
    <row r="2286" spans="3:4" x14ac:dyDescent="0.25">
      <c r="C2286"/>
      <c r="D2286"/>
    </row>
    <row r="2287" spans="3:4" x14ac:dyDescent="0.25">
      <c r="C2287"/>
      <c r="D2287"/>
    </row>
    <row r="2288" spans="3:4" x14ac:dyDescent="0.25">
      <c r="C2288"/>
      <c r="D2288"/>
    </row>
    <row r="2289" spans="3:4" x14ac:dyDescent="0.25">
      <c r="C2289"/>
      <c r="D2289"/>
    </row>
    <row r="2290" spans="3:4" x14ac:dyDescent="0.25">
      <c r="C2290"/>
      <c r="D2290"/>
    </row>
    <row r="2291" spans="3:4" x14ac:dyDescent="0.25">
      <c r="C2291"/>
      <c r="D2291"/>
    </row>
    <row r="2292" spans="3:4" x14ac:dyDescent="0.25">
      <c r="C2292"/>
      <c r="D2292"/>
    </row>
    <row r="2293" spans="3:4" x14ac:dyDescent="0.25">
      <c r="C2293"/>
      <c r="D2293"/>
    </row>
    <row r="2294" spans="3:4" x14ac:dyDescent="0.25">
      <c r="C2294"/>
      <c r="D2294"/>
    </row>
    <row r="2295" spans="3:4" x14ac:dyDescent="0.25">
      <c r="C2295"/>
      <c r="D2295"/>
    </row>
    <row r="2296" spans="3:4" x14ac:dyDescent="0.25">
      <c r="C2296"/>
      <c r="D2296"/>
    </row>
    <row r="2297" spans="3:4" x14ac:dyDescent="0.25">
      <c r="C2297"/>
      <c r="D2297"/>
    </row>
    <row r="2298" spans="3:4" x14ac:dyDescent="0.25">
      <c r="C2298"/>
      <c r="D2298"/>
    </row>
    <row r="2299" spans="3:4" x14ac:dyDescent="0.25">
      <c r="C2299"/>
      <c r="D2299"/>
    </row>
    <row r="2300" spans="3:4" x14ac:dyDescent="0.25">
      <c r="C2300"/>
      <c r="D2300"/>
    </row>
    <row r="2301" spans="3:4" x14ac:dyDescent="0.25">
      <c r="C2301"/>
      <c r="D2301"/>
    </row>
    <row r="2302" spans="3:4" x14ac:dyDescent="0.25">
      <c r="C2302"/>
      <c r="D2302"/>
    </row>
    <row r="2303" spans="3:4" x14ac:dyDescent="0.25">
      <c r="C2303"/>
      <c r="D2303"/>
    </row>
    <row r="2304" spans="3:4" x14ac:dyDescent="0.25">
      <c r="C2304"/>
      <c r="D2304"/>
    </row>
    <row r="2305" spans="3:4" x14ac:dyDescent="0.25">
      <c r="C2305"/>
      <c r="D2305"/>
    </row>
    <row r="2306" spans="3:4" x14ac:dyDescent="0.25">
      <c r="C2306"/>
      <c r="D2306"/>
    </row>
    <row r="2307" spans="3:4" x14ac:dyDescent="0.25">
      <c r="C2307"/>
      <c r="D2307"/>
    </row>
    <row r="2308" spans="3:4" x14ac:dyDescent="0.25">
      <c r="C2308"/>
      <c r="D2308"/>
    </row>
    <row r="2309" spans="3:4" x14ac:dyDescent="0.25">
      <c r="C2309"/>
      <c r="D2309"/>
    </row>
    <row r="2310" spans="3:4" x14ac:dyDescent="0.25">
      <c r="C2310"/>
      <c r="D2310"/>
    </row>
    <row r="2311" spans="3:4" x14ac:dyDescent="0.25">
      <c r="C2311"/>
      <c r="D2311"/>
    </row>
    <row r="2312" spans="3:4" x14ac:dyDescent="0.25">
      <c r="C2312"/>
      <c r="D2312"/>
    </row>
    <row r="2313" spans="3:4" x14ac:dyDescent="0.25">
      <c r="C2313"/>
      <c r="D2313"/>
    </row>
    <row r="2314" spans="3:4" x14ac:dyDescent="0.25">
      <c r="C2314"/>
      <c r="D2314"/>
    </row>
    <row r="2315" spans="3:4" x14ac:dyDescent="0.25">
      <c r="C2315"/>
      <c r="D2315"/>
    </row>
    <row r="2316" spans="3:4" x14ac:dyDescent="0.25">
      <c r="C2316"/>
      <c r="D2316"/>
    </row>
    <row r="2317" spans="3:4" x14ac:dyDescent="0.25">
      <c r="C2317"/>
      <c r="D2317"/>
    </row>
    <row r="2318" spans="3:4" x14ac:dyDescent="0.25">
      <c r="C2318"/>
      <c r="D2318"/>
    </row>
    <row r="2319" spans="3:4" x14ac:dyDescent="0.25">
      <c r="C2319"/>
      <c r="D2319"/>
    </row>
    <row r="2320" spans="3:4" x14ac:dyDescent="0.25">
      <c r="C2320"/>
      <c r="D2320"/>
    </row>
    <row r="2321" spans="3:4" x14ac:dyDescent="0.25">
      <c r="C2321"/>
      <c r="D2321"/>
    </row>
    <row r="2322" spans="3:4" x14ac:dyDescent="0.25">
      <c r="C2322"/>
      <c r="D2322"/>
    </row>
    <row r="2323" spans="3:4" x14ac:dyDescent="0.25">
      <c r="C2323"/>
      <c r="D2323"/>
    </row>
    <row r="2324" spans="3:4" x14ac:dyDescent="0.25">
      <c r="C2324"/>
      <c r="D2324"/>
    </row>
    <row r="2325" spans="3:4" x14ac:dyDescent="0.25">
      <c r="C2325"/>
      <c r="D2325"/>
    </row>
    <row r="2326" spans="3:4" x14ac:dyDescent="0.25">
      <c r="C2326"/>
      <c r="D2326"/>
    </row>
    <row r="2327" spans="3:4" x14ac:dyDescent="0.25">
      <c r="C2327"/>
      <c r="D2327"/>
    </row>
    <row r="2328" spans="3:4" x14ac:dyDescent="0.25">
      <c r="C2328"/>
      <c r="D2328"/>
    </row>
    <row r="2329" spans="3:4" x14ac:dyDescent="0.25">
      <c r="C2329"/>
      <c r="D2329"/>
    </row>
    <row r="2330" spans="3:4" x14ac:dyDescent="0.25">
      <c r="C2330"/>
      <c r="D2330"/>
    </row>
    <row r="2331" spans="3:4" x14ac:dyDescent="0.25">
      <c r="C2331"/>
      <c r="D2331"/>
    </row>
    <row r="2332" spans="3:4" x14ac:dyDescent="0.25">
      <c r="C2332"/>
      <c r="D2332"/>
    </row>
    <row r="2333" spans="3:4" x14ac:dyDescent="0.25">
      <c r="C2333"/>
      <c r="D2333"/>
    </row>
    <row r="2334" spans="3:4" x14ac:dyDescent="0.25">
      <c r="C2334"/>
      <c r="D2334"/>
    </row>
    <row r="2335" spans="3:4" x14ac:dyDescent="0.25">
      <c r="C2335"/>
      <c r="D2335"/>
    </row>
    <row r="2336" spans="3:4" x14ac:dyDescent="0.25">
      <c r="C2336"/>
      <c r="D2336"/>
    </row>
    <row r="2337" spans="3:4" x14ac:dyDescent="0.25">
      <c r="C2337"/>
      <c r="D2337"/>
    </row>
    <row r="2338" spans="3:4" x14ac:dyDescent="0.25">
      <c r="C2338"/>
      <c r="D2338"/>
    </row>
    <row r="2339" spans="3:4" x14ac:dyDescent="0.25">
      <c r="C2339"/>
      <c r="D2339"/>
    </row>
    <row r="2340" spans="3:4" x14ac:dyDescent="0.25">
      <c r="C2340"/>
      <c r="D2340"/>
    </row>
    <row r="2341" spans="3:4" x14ac:dyDescent="0.25">
      <c r="C2341"/>
      <c r="D2341"/>
    </row>
    <row r="2342" spans="3:4" x14ac:dyDescent="0.25">
      <c r="C2342"/>
      <c r="D2342"/>
    </row>
    <row r="2343" spans="3:4" x14ac:dyDescent="0.25">
      <c r="C2343"/>
      <c r="D2343"/>
    </row>
    <row r="2344" spans="3:4" x14ac:dyDescent="0.25">
      <c r="C2344"/>
      <c r="D2344"/>
    </row>
    <row r="2345" spans="3:4" x14ac:dyDescent="0.25">
      <c r="C2345"/>
      <c r="D2345"/>
    </row>
    <row r="2346" spans="3:4" x14ac:dyDescent="0.25">
      <c r="C2346"/>
      <c r="D2346"/>
    </row>
    <row r="2347" spans="3:4" x14ac:dyDescent="0.25">
      <c r="C2347"/>
      <c r="D2347"/>
    </row>
    <row r="2348" spans="3:4" x14ac:dyDescent="0.25">
      <c r="C2348"/>
      <c r="D2348"/>
    </row>
    <row r="2349" spans="3:4" x14ac:dyDescent="0.25">
      <c r="C2349"/>
      <c r="D2349"/>
    </row>
    <row r="2350" spans="3:4" x14ac:dyDescent="0.25">
      <c r="C2350"/>
      <c r="D2350"/>
    </row>
    <row r="2351" spans="3:4" x14ac:dyDescent="0.25">
      <c r="C2351"/>
      <c r="D2351"/>
    </row>
    <row r="2352" spans="3:4" x14ac:dyDescent="0.25">
      <c r="C2352"/>
      <c r="D2352"/>
    </row>
    <row r="2353" spans="3:4" x14ac:dyDescent="0.25">
      <c r="C2353"/>
      <c r="D2353"/>
    </row>
    <row r="2354" spans="3:4" x14ac:dyDescent="0.25">
      <c r="C2354"/>
      <c r="D2354"/>
    </row>
    <row r="2355" spans="3:4" x14ac:dyDescent="0.25">
      <c r="C2355"/>
      <c r="D2355"/>
    </row>
    <row r="2356" spans="3:4" x14ac:dyDescent="0.25">
      <c r="C2356"/>
      <c r="D2356"/>
    </row>
    <row r="2357" spans="3:4" x14ac:dyDescent="0.25">
      <c r="C2357"/>
      <c r="D2357"/>
    </row>
    <row r="2358" spans="3:4" x14ac:dyDescent="0.25">
      <c r="C2358"/>
      <c r="D2358"/>
    </row>
    <row r="2359" spans="3:4" x14ac:dyDescent="0.25">
      <c r="C2359"/>
      <c r="D2359"/>
    </row>
    <row r="2360" spans="3:4" x14ac:dyDescent="0.25">
      <c r="C2360"/>
      <c r="D2360"/>
    </row>
    <row r="2361" spans="3:4" x14ac:dyDescent="0.25">
      <c r="C2361"/>
      <c r="D2361"/>
    </row>
    <row r="2362" spans="3:4" x14ac:dyDescent="0.25">
      <c r="C2362"/>
      <c r="D2362"/>
    </row>
    <row r="2363" spans="3:4" x14ac:dyDescent="0.25">
      <c r="C2363"/>
      <c r="D2363"/>
    </row>
    <row r="2364" spans="3:4" x14ac:dyDescent="0.25">
      <c r="C2364"/>
      <c r="D2364"/>
    </row>
    <row r="2365" spans="3:4" x14ac:dyDescent="0.25">
      <c r="C2365"/>
      <c r="D2365"/>
    </row>
    <row r="2366" spans="3:4" x14ac:dyDescent="0.25">
      <c r="C2366"/>
      <c r="D2366"/>
    </row>
    <row r="2367" spans="3:4" x14ac:dyDescent="0.25">
      <c r="C2367"/>
      <c r="D2367"/>
    </row>
    <row r="2368" spans="3:4" x14ac:dyDescent="0.25">
      <c r="C2368"/>
      <c r="D2368"/>
    </row>
    <row r="2369" spans="3:4" x14ac:dyDescent="0.25">
      <c r="C2369"/>
      <c r="D2369"/>
    </row>
    <row r="2370" spans="3:4" x14ac:dyDescent="0.25">
      <c r="C2370"/>
      <c r="D2370"/>
    </row>
    <row r="2371" spans="3:4" x14ac:dyDescent="0.25">
      <c r="C2371"/>
      <c r="D2371"/>
    </row>
    <row r="2372" spans="3:4" x14ac:dyDescent="0.25">
      <c r="C2372"/>
      <c r="D2372"/>
    </row>
    <row r="2373" spans="3:4" x14ac:dyDescent="0.25">
      <c r="C2373"/>
      <c r="D2373"/>
    </row>
    <row r="2374" spans="3:4" x14ac:dyDescent="0.25">
      <c r="C2374"/>
      <c r="D2374"/>
    </row>
    <row r="2375" spans="3:4" x14ac:dyDescent="0.25">
      <c r="C2375"/>
      <c r="D2375"/>
    </row>
    <row r="2376" spans="3:4" x14ac:dyDescent="0.25">
      <c r="C2376"/>
      <c r="D2376"/>
    </row>
    <row r="2377" spans="3:4" x14ac:dyDescent="0.25">
      <c r="C2377"/>
      <c r="D2377"/>
    </row>
    <row r="2378" spans="3:4" x14ac:dyDescent="0.25">
      <c r="C2378"/>
      <c r="D2378"/>
    </row>
    <row r="2379" spans="3:4" x14ac:dyDescent="0.25">
      <c r="C2379"/>
      <c r="D2379"/>
    </row>
    <row r="2380" spans="3:4" x14ac:dyDescent="0.25">
      <c r="C2380"/>
      <c r="D2380"/>
    </row>
    <row r="2381" spans="3:4" x14ac:dyDescent="0.25">
      <c r="C2381"/>
      <c r="D2381"/>
    </row>
    <row r="2382" spans="3:4" x14ac:dyDescent="0.25">
      <c r="C2382"/>
      <c r="D2382"/>
    </row>
    <row r="2383" spans="3:4" x14ac:dyDescent="0.25">
      <c r="C2383"/>
      <c r="D2383"/>
    </row>
    <row r="2384" spans="3:4" x14ac:dyDescent="0.25">
      <c r="C2384"/>
      <c r="D2384"/>
    </row>
    <row r="2385" spans="3:4" x14ac:dyDescent="0.25">
      <c r="C2385"/>
      <c r="D2385"/>
    </row>
    <row r="2386" spans="3:4" x14ac:dyDescent="0.25">
      <c r="C2386"/>
      <c r="D2386"/>
    </row>
    <row r="2387" spans="3:4" x14ac:dyDescent="0.25">
      <c r="C2387"/>
      <c r="D2387"/>
    </row>
    <row r="2388" spans="3:4" x14ac:dyDescent="0.25">
      <c r="C2388"/>
      <c r="D2388"/>
    </row>
    <row r="2389" spans="3:4" x14ac:dyDescent="0.25">
      <c r="C2389"/>
      <c r="D2389"/>
    </row>
    <row r="2390" spans="3:4" x14ac:dyDescent="0.25">
      <c r="C2390"/>
      <c r="D2390"/>
    </row>
    <row r="2391" spans="3:4" x14ac:dyDescent="0.25">
      <c r="C2391"/>
      <c r="D2391"/>
    </row>
    <row r="2392" spans="3:4" x14ac:dyDescent="0.25">
      <c r="C2392"/>
      <c r="D2392"/>
    </row>
    <row r="2393" spans="3:4" x14ac:dyDescent="0.25">
      <c r="C2393"/>
      <c r="D2393"/>
    </row>
    <row r="2394" spans="3:4" x14ac:dyDescent="0.25">
      <c r="C2394"/>
      <c r="D2394"/>
    </row>
    <row r="2395" spans="3:4" x14ac:dyDescent="0.25">
      <c r="C2395"/>
      <c r="D2395"/>
    </row>
    <row r="2396" spans="3:4" x14ac:dyDescent="0.25">
      <c r="C2396"/>
      <c r="D2396"/>
    </row>
    <row r="2397" spans="3:4" x14ac:dyDescent="0.25">
      <c r="C2397"/>
      <c r="D2397"/>
    </row>
    <row r="2398" spans="3:4" x14ac:dyDescent="0.25">
      <c r="C2398"/>
      <c r="D2398"/>
    </row>
    <row r="2399" spans="3:4" x14ac:dyDescent="0.25">
      <c r="C2399"/>
      <c r="D2399"/>
    </row>
    <row r="2400" spans="3:4" x14ac:dyDescent="0.25">
      <c r="C2400"/>
      <c r="D2400"/>
    </row>
    <row r="2401" spans="3:4" x14ac:dyDescent="0.25">
      <c r="C2401"/>
      <c r="D2401"/>
    </row>
    <row r="2402" spans="3:4" x14ac:dyDescent="0.25">
      <c r="C2402"/>
      <c r="D2402"/>
    </row>
    <row r="2403" spans="3:4" x14ac:dyDescent="0.25">
      <c r="C2403"/>
      <c r="D2403"/>
    </row>
    <row r="2404" spans="3:4" x14ac:dyDescent="0.25">
      <c r="C2404"/>
      <c r="D2404"/>
    </row>
    <row r="2405" spans="3:4" x14ac:dyDescent="0.25">
      <c r="C2405"/>
      <c r="D2405"/>
    </row>
    <row r="2406" spans="3:4" x14ac:dyDescent="0.25">
      <c r="C2406"/>
      <c r="D2406"/>
    </row>
    <row r="2407" spans="3:4" x14ac:dyDescent="0.25">
      <c r="C2407"/>
      <c r="D2407"/>
    </row>
    <row r="2408" spans="3:4" x14ac:dyDescent="0.25">
      <c r="C2408"/>
      <c r="D2408"/>
    </row>
    <row r="2409" spans="3:4" x14ac:dyDescent="0.25">
      <c r="C2409"/>
      <c r="D2409"/>
    </row>
    <row r="2410" spans="3:4" x14ac:dyDescent="0.25">
      <c r="C2410"/>
      <c r="D2410"/>
    </row>
    <row r="2411" spans="3:4" x14ac:dyDescent="0.25">
      <c r="C2411"/>
      <c r="D2411"/>
    </row>
    <row r="2412" spans="3:4" x14ac:dyDescent="0.25">
      <c r="C2412"/>
      <c r="D2412"/>
    </row>
    <row r="2413" spans="3:4" x14ac:dyDescent="0.25">
      <c r="C2413"/>
      <c r="D2413"/>
    </row>
    <row r="2414" spans="3:4" x14ac:dyDescent="0.25">
      <c r="C2414"/>
      <c r="D2414"/>
    </row>
    <row r="2415" spans="3:4" x14ac:dyDescent="0.25">
      <c r="C2415"/>
      <c r="D2415"/>
    </row>
    <row r="2416" spans="3:4" x14ac:dyDescent="0.25">
      <c r="C2416"/>
      <c r="D2416"/>
    </row>
    <row r="2417" spans="3:4" x14ac:dyDescent="0.25">
      <c r="C2417"/>
      <c r="D2417"/>
    </row>
    <row r="2418" spans="3:4" x14ac:dyDescent="0.25">
      <c r="C2418"/>
      <c r="D2418"/>
    </row>
    <row r="2419" spans="3:4" x14ac:dyDescent="0.25">
      <c r="C2419"/>
      <c r="D2419"/>
    </row>
    <row r="2420" spans="3:4" x14ac:dyDescent="0.25">
      <c r="C2420"/>
      <c r="D2420"/>
    </row>
    <row r="2421" spans="3:4" x14ac:dyDescent="0.25">
      <c r="C2421"/>
      <c r="D2421"/>
    </row>
    <row r="2422" spans="3:4" x14ac:dyDescent="0.25">
      <c r="C2422"/>
      <c r="D2422"/>
    </row>
    <row r="2423" spans="3:4" x14ac:dyDescent="0.25">
      <c r="C2423"/>
      <c r="D2423"/>
    </row>
    <row r="2424" spans="3:4" x14ac:dyDescent="0.25">
      <c r="C2424"/>
      <c r="D2424"/>
    </row>
    <row r="2425" spans="3:4" x14ac:dyDescent="0.25">
      <c r="C2425"/>
      <c r="D2425"/>
    </row>
    <row r="2426" spans="3:4" x14ac:dyDescent="0.25">
      <c r="C2426"/>
      <c r="D2426"/>
    </row>
    <row r="2427" spans="3:4" x14ac:dyDescent="0.25">
      <c r="C2427"/>
      <c r="D2427"/>
    </row>
    <row r="2428" spans="3:4" x14ac:dyDescent="0.25">
      <c r="C2428"/>
      <c r="D2428"/>
    </row>
    <row r="2429" spans="3:4" x14ac:dyDescent="0.25">
      <c r="C2429"/>
      <c r="D2429"/>
    </row>
    <row r="2430" spans="3:4" x14ac:dyDescent="0.25">
      <c r="C2430"/>
      <c r="D2430"/>
    </row>
    <row r="2431" spans="3:4" x14ac:dyDescent="0.25">
      <c r="C2431"/>
      <c r="D2431"/>
    </row>
    <row r="2432" spans="3:4" x14ac:dyDescent="0.25">
      <c r="C2432"/>
      <c r="D2432"/>
    </row>
    <row r="2433" spans="3:4" x14ac:dyDescent="0.25">
      <c r="C2433"/>
      <c r="D2433"/>
    </row>
    <row r="2434" spans="3:4" x14ac:dyDescent="0.25">
      <c r="C2434"/>
      <c r="D2434"/>
    </row>
    <row r="2435" spans="3:4" x14ac:dyDescent="0.25">
      <c r="C2435"/>
      <c r="D2435"/>
    </row>
    <row r="2436" spans="3:4" x14ac:dyDescent="0.25">
      <c r="C2436"/>
      <c r="D2436"/>
    </row>
    <row r="2437" spans="3:4" x14ac:dyDescent="0.25">
      <c r="C2437"/>
      <c r="D2437"/>
    </row>
    <row r="2438" spans="3:4" x14ac:dyDescent="0.25">
      <c r="C2438"/>
      <c r="D2438"/>
    </row>
    <row r="2439" spans="3:4" x14ac:dyDescent="0.25">
      <c r="C2439"/>
      <c r="D2439"/>
    </row>
    <row r="2440" spans="3:4" x14ac:dyDescent="0.25">
      <c r="C2440"/>
      <c r="D2440"/>
    </row>
    <row r="2441" spans="3:4" x14ac:dyDescent="0.25">
      <c r="C2441"/>
      <c r="D2441"/>
    </row>
    <row r="2442" spans="3:4" x14ac:dyDescent="0.25">
      <c r="C2442"/>
      <c r="D2442"/>
    </row>
    <row r="2443" spans="3:4" x14ac:dyDescent="0.25">
      <c r="C2443"/>
      <c r="D2443"/>
    </row>
    <row r="2444" spans="3:4" x14ac:dyDescent="0.25">
      <c r="C2444"/>
      <c r="D2444"/>
    </row>
    <row r="2445" spans="3:4" x14ac:dyDescent="0.25">
      <c r="C2445"/>
      <c r="D2445"/>
    </row>
    <row r="2446" spans="3:4" x14ac:dyDescent="0.25">
      <c r="C2446"/>
      <c r="D2446"/>
    </row>
    <row r="2447" spans="3:4" x14ac:dyDescent="0.25">
      <c r="C2447"/>
      <c r="D2447"/>
    </row>
    <row r="2448" spans="3:4" x14ac:dyDescent="0.25">
      <c r="C2448"/>
      <c r="D2448"/>
    </row>
    <row r="2449" spans="3:4" x14ac:dyDescent="0.25">
      <c r="C2449"/>
      <c r="D2449"/>
    </row>
    <row r="2450" spans="3:4" x14ac:dyDescent="0.25">
      <c r="C2450"/>
      <c r="D2450"/>
    </row>
    <row r="2451" spans="3:4" x14ac:dyDescent="0.25">
      <c r="C2451"/>
      <c r="D2451"/>
    </row>
    <row r="2452" spans="3:4" x14ac:dyDescent="0.25">
      <c r="C2452"/>
      <c r="D2452"/>
    </row>
    <row r="2453" spans="3:4" x14ac:dyDescent="0.25">
      <c r="C2453"/>
      <c r="D2453"/>
    </row>
    <row r="2454" spans="3:4" x14ac:dyDescent="0.25">
      <c r="C2454"/>
      <c r="D2454"/>
    </row>
    <row r="2455" spans="3:4" x14ac:dyDescent="0.25">
      <c r="C2455"/>
      <c r="D2455"/>
    </row>
    <row r="2456" spans="3:4" x14ac:dyDescent="0.25">
      <c r="C2456"/>
      <c r="D2456"/>
    </row>
    <row r="2457" spans="3:4" x14ac:dyDescent="0.25">
      <c r="C2457"/>
      <c r="D2457"/>
    </row>
    <row r="2458" spans="3:4" x14ac:dyDescent="0.25">
      <c r="C2458"/>
      <c r="D2458"/>
    </row>
    <row r="2459" spans="3:4" x14ac:dyDescent="0.25">
      <c r="C2459"/>
      <c r="D2459"/>
    </row>
    <row r="2460" spans="3:4" x14ac:dyDescent="0.25">
      <c r="C2460"/>
      <c r="D2460"/>
    </row>
    <row r="2461" spans="3:4" x14ac:dyDescent="0.25">
      <c r="C2461"/>
      <c r="D2461"/>
    </row>
    <row r="2462" spans="3:4" x14ac:dyDescent="0.25">
      <c r="C2462"/>
      <c r="D2462"/>
    </row>
    <row r="2463" spans="3:4" x14ac:dyDescent="0.25">
      <c r="C2463"/>
      <c r="D2463"/>
    </row>
    <row r="2464" spans="3:4" x14ac:dyDescent="0.25">
      <c r="C2464"/>
      <c r="D2464"/>
    </row>
    <row r="2465" spans="3:4" x14ac:dyDescent="0.25">
      <c r="C2465"/>
      <c r="D2465"/>
    </row>
    <row r="2466" spans="3:4" x14ac:dyDescent="0.25">
      <c r="C2466"/>
      <c r="D2466"/>
    </row>
    <row r="2467" spans="3:4" x14ac:dyDescent="0.25">
      <c r="C2467"/>
      <c r="D2467"/>
    </row>
    <row r="2468" spans="3:4" x14ac:dyDescent="0.25">
      <c r="C2468"/>
      <c r="D2468"/>
    </row>
    <row r="2469" spans="3:4" x14ac:dyDescent="0.25">
      <c r="C2469"/>
      <c r="D2469"/>
    </row>
    <row r="2470" spans="3:4" x14ac:dyDescent="0.25">
      <c r="C2470"/>
      <c r="D2470"/>
    </row>
    <row r="2471" spans="3:4" x14ac:dyDescent="0.25">
      <c r="C2471"/>
      <c r="D2471"/>
    </row>
    <row r="2472" spans="3:4" x14ac:dyDescent="0.25">
      <c r="C2472"/>
      <c r="D2472"/>
    </row>
    <row r="2473" spans="3:4" x14ac:dyDescent="0.25">
      <c r="C2473"/>
      <c r="D2473"/>
    </row>
    <row r="2474" spans="3:4" x14ac:dyDescent="0.25">
      <c r="C2474"/>
      <c r="D2474"/>
    </row>
    <row r="2475" spans="3:4" x14ac:dyDescent="0.25">
      <c r="C2475"/>
      <c r="D2475"/>
    </row>
    <row r="2476" spans="3:4" x14ac:dyDescent="0.25">
      <c r="C2476"/>
      <c r="D2476"/>
    </row>
    <row r="2477" spans="3:4" x14ac:dyDescent="0.25">
      <c r="C2477"/>
      <c r="D2477"/>
    </row>
    <row r="2478" spans="3:4" x14ac:dyDescent="0.25">
      <c r="C2478"/>
      <c r="D2478"/>
    </row>
    <row r="2479" spans="3:4" x14ac:dyDescent="0.25">
      <c r="C2479"/>
      <c r="D2479"/>
    </row>
    <row r="2480" spans="3:4" x14ac:dyDescent="0.25">
      <c r="C2480"/>
      <c r="D2480"/>
    </row>
    <row r="2481" spans="3:4" x14ac:dyDescent="0.25">
      <c r="C2481"/>
      <c r="D2481"/>
    </row>
    <row r="2482" spans="3:4" x14ac:dyDescent="0.25">
      <c r="C2482"/>
      <c r="D2482"/>
    </row>
    <row r="2483" spans="3:4" x14ac:dyDescent="0.25">
      <c r="C2483"/>
      <c r="D2483"/>
    </row>
    <row r="2484" spans="3:4" x14ac:dyDescent="0.25">
      <c r="C2484"/>
      <c r="D2484"/>
    </row>
    <row r="2485" spans="3:4" x14ac:dyDescent="0.25">
      <c r="C2485"/>
      <c r="D2485"/>
    </row>
    <row r="2486" spans="3:4" x14ac:dyDescent="0.25">
      <c r="C2486"/>
      <c r="D2486"/>
    </row>
    <row r="2487" spans="3:4" x14ac:dyDescent="0.25">
      <c r="C2487"/>
      <c r="D2487"/>
    </row>
    <row r="2488" spans="3:4" x14ac:dyDescent="0.25">
      <c r="C2488"/>
      <c r="D2488"/>
    </row>
    <row r="2489" spans="3:4" x14ac:dyDescent="0.25">
      <c r="C2489"/>
      <c r="D2489"/>
    </row>
    <row r="2490" spans="3:4" x14ac:dyDescent="0.25">
      <c r="C2490"/>
      <c r="D2490"/>
    </row>
    <row r="2491" spans="3:4" x14ac:dyDescent="0.25">
      <c r="C2491"/>
      <c r="D2491"/>
    </row>
    <row r="2492" spans="3:4" x14ac:dyDescent="0.25">
      <c r="C2492"/>
      <c r="D2492"/>
    </row>
    <row r="2493" spans="3:4" x14ac:dyDescent="0.25">
      <c r="C2493"/>
      <c r="D2493"/>
    </row>
    <row r="2494" spans="3:4" x14ac:dyDescent="0.25">
      <c r="C2494"/>
      <c r="D2494"/>
    </row>
    <row r="2495" spans="3:4" x14ac:dyDescent="0.25">
      <c r="C2495"/>
      <c r="D2495"/>
    </row>
    <row r="2496" spans="3:4" x14ac:dyDescent="0.25">
      <c r="C2496"/>
      <c r="D2496"/>
    </row>
    <row r="2497" spans="3:4" x14ac:dyDescent="0.25">
      <c r="C2497"/>
      <c r="D2497"/>
    </row>
    <row r="2498" spans="3:4" x14ac:dyDescent="0.25">
      <c r="C2498"/>
      <c r="D2498"/>
    </row>
    <row r="2499" spans="3:4" x14ac:dyDescent="0.25">
      <c r="C2499"/>
      <c r="D2499"/>
    </row>
    <row r="2500" spans="3:4" x14ac:dyDescent="0.25">
      <c r="C2500"/>
      <c r="D2500"/>
    </row>
    <row r="2501" spans="3:4" x14ac:dyDescent="0.25">
      <c r="C2501"/>
      <c r="D2501"/>
    </row>
    <row r="2502" spans="3:4" x14ac:dyDescent="0.25">
      <c r="C2502"/>
      <c r="D2502"/>
    </row>
    <row r="2503" spans="3:4" x14ac:dyDescent="0.25">
      <c r="C2503"/>
      <c r="D2503"/>
    </row>
    <row r="2504" spans="3:4" x14ac:dyDescent="0.25">
      <c r="C2504"/>
      <c r="D2504"/>
    </row>
    <row r="2505" spans="3:4" x14ac:dyDescent="0.25">
      <c r="C2505"/>
      <c r="D2505"/>
    </row>
    <row r="2506" spans="3:4" x14ac:dyDescent="0.25">
      <c r="C2506"/>
      <c r="D2506"/>
    </row>
    <row r="2507" spans="3:4" x14ac:dyDescent="0.25">
      <c r="C2507"/>
      <c r="D2507"/>
    </row>
    <row r="2508" spans="3:4" x14ac:dyDescent="0.25">
      <c r="C2508"/>
      <c r="D2508"/>
    </row>
    <row r="2509" spans="3:4" x14ac:dyDescent="0.25">
      <c r="C2509"/>
      <c r="D2509"/>
    </row>
    <row r="2510" spans="3:4" x14ac:dyDescent="0.25">
      <c r="C2510"/>
      <c r="D2510"/>
    </row>
    <row r="2511" spans="3:4" x14ac:dyDescent="0.25">
      <c r="C2511"/>
      <c r="D2511"/>
    </row>
    <row r="2512" spans="3:4" x14ac:dyDescent="0.25">
      <c r="C2512"/>
      <c r="D2512"/>
    </row>
    <row r="2513" spans="3:4" x14ac:dyDescent="0.25">
      <c r="C2513"/>
      <c r="D2513"/>
    </row>
    <row r="2514" spans="3:4" x14ac:dyDescent="0.25">
      <c r="C2514"/>
      <c r="D2514"/>
    </row>
    <row r="2515" spans="3:4" x14ac:dyDescent="0.25">
      <c r="C2515"/>
      <c r="D2515"/>
    </row>
    <row r="2516" spans="3:4" x14ac:dyDescent="0.25">
      <c r="C2516"/>
      <c r="D2516"/>
    </row>
    <row r="2517" spans="3:4" x14ac:dyDescent="0.25">
      <c r="C2517"/>
      <c r="D2517"/>
    </row>
    <row r="2518" spans="3:4" x14ac:dyDescent="0.25">
      <c r="C2518"/>
      <c r="D2518"/>
    </row>
    <row r="2519" spans="3:4" x14ac:dyDescent="0.25">
      <c r="C2519"/>
      <c r="D2519"/>
    </row>
    <row r="2520" spans="3:4" x14ac:dyDescent="0.25">
      <c r="C2520"/>
      <c r="D2520"/>
    </row>
    <row r="2521" spans="3:4" x14ac:dyDescent="0.25">
      <c r="C2521"/>
      <c r="D2521"/>
    </row>
    <row r="2522" spans="3:4" x14ac:dyDescent="0.25">
      <c r="C2522"/>
      <c r="D2522"/>
    </row>
    <row r="2523" spans="3:4" x14ac:dyDescent="0.25">
      <c r="C2523"/>
      <c r="D2523"/>
    </row>
    <row r="2524" spans="3:4" x14ac:dyDescent="0.25">
      <c r="C2524"/>
      <c r="D2524"/>
    </row>
    <row r="2525" spans="3:4" x14ac:dyDescent="0.25">
      <c r="C2525"/>
      <c r="D2525"/>
    </row>
    <row r="2526" spans="3:4" x14ac:dyDescent="0.25">
      <c r="C2526"/>
      <c r="D2526"/>
    </row>
    <row r="2527" spans="3:4" x14ac:dyDescent="0.25">
      <c r="C2527"/>
      <c r="D2527"/>
    </row>
    <row r="2528" spans="3:4" x14ac:dyDescent="0.25">
      <c r="C2528"/>
      <c r="D2528"/>
    </row>
    <row r="2529" spans="3:4" x14ac:dyDescent="0.25">
      <c r="C2529"/>
      <c r="D2529"/>
    </row>
    <row r="2530" spans="3:4" x14ac:dyDescent="0.25">
      <c r="C2530"/>
      <c r="D2530"/>
    </row>
    <row r="2531" spans="3:4" x14ac:dyDescent="0.25">
      <c r="C2531"/>
      <c r="D2531"/>
    </row>
    <row r="2532" spans="3:4" x14ac:dyDescent="0.25">
      <c r="C2532"/>
      <c r="D2532"/>
    </row>
    <row r="2533" spans="3:4" x14ac:dyDescent="0.25">
      <c r="C2533"/>
      <c r="D2533"/>
    </row>
    <row r="2534" spans="3:4" x14ac:dyDescent="0.25">
      <c r="C2534"/>
      <c r="D2534"/>
    </row>
    <row r="2535" spans="3:4" x14ac:dyDescent="0.25">
      <c r="C2535"/>
      <c r="D2535"/>
    </row>
    <row r="2536" spans="3:4" x14ac:dyDescent="0.25">
      <c r="C2536"/>
      <c r="D2536"/>
    </row>
    <row r="2537" spans="3:4" x14ac:dyDescent="0.25">
      <c r="C2537"/>
      <c r="D2537"/>
    </row>
    <row r="2538" spans="3:4" x14ac:dyDescent="0.25">
      <c r="C2538"/>
      <c r="D2538"/>
    </row>
    <row r="2539" spans="3:4" x14ac:dyDescent="0.25">
      <c r="C2539"/>
      <c r="D2539"/>
    </row>
    <row r="2540" spans="3:4" x14ac:dyDescent="0.25">
      <c r="C2540"/>
      <c r="D2540"/>
    </row>
    <row r="2541" spans="3:4" x14ac:dyDescent="0.25">
      <c r="C2541"/>
      <c r="D2541"/>
    </row>
    <row r="2542" spans="3:4" x14ac:dyDescent="0.25">
      <c r="C2542"/>
      <c r="D2542"/>
    </row>
    <row r="2543" spans="3:4" x14ac:dyDescent="0.25">
      <c r="C2543"/>
      <c r="D2543"/>
    </row>
    <row r="2544" spans="3:4" x14ac:dyDescent="0.25">
      <c r="C2544"/>
      <c r="D2544"/>
    </row>
    <row r="2545" spans="3:4" x14ac:dyDescent="0.25">
      <c r="C2545"/>
      <c r="D2545"/>
    </row>
    <row r="2546" spans="3:4" x14ac:dyDescent="0.25">
      <c r="C2546"/>
      <c r="D2546"/>
    </row>
    <row r="2547" spans="3:4" x14ac:dyDescent="0.25">
      <c r="C2547"/>
      <c r="D2547"/>
    </row>
    <row r="2548" spans="3:4" x14ac:dyDescent="0.25">
      <c r="C2548"/>
      <c r="D2548"/>
    </row>
    <row r="2549" spans="3:4" x14ac:dyDescent="0.25">
      <c r="C2549"/>
      <c r="D2549"/>
    </row>
    <row r="2550" spans="3:4" x14ac:dyDescent="0.25">
      <c r="C2550"/>
      <c r="D2550"/>
    </row>
    <row r="2551" spans="3:4" x14ac:dyDescent="0.25">
      <c r="C2551"/>
      <c r="D2551"/>
    </row>
    <row r="2552" spans="3:4" x14ac:dyDescent="0.25">
      <c r="C2552"/>
      <c r="D2552"/>
    </row>
    <row r="2553" spans="3:4" x14ac:dyDescent="0.25">
      <c r="C2553"/>
      <c r="D2553"/>
    </row>
    <row r="2554" spans="3:4" x14ac:dyDescent="0.25">
      <c r="C2554"/>
      <c r="D2554"/>
    </row>
    <row r="2555" spans="3:4" x14ac:dyDescent="0.25">
      <c r="C2555"/>
      <c r="D2555"/>
    </row>
    <row r="2556" spans="3:4" x14ac:dyDescent="0.25">
      <c r="C2556"/>
      <c r="D2556"/>
    </row>
    <row r="2557" spans="3:4" x14ac:dyDescent="0.25">
      <c r="C2557"/>
      <c r="D2557"/>
    </row>
    <row r="2558" spans="3:4" x14ac:dyDescent="0.25">
      <c r="C2558"/>
      <c r="D2558"/>
    </row>
    <row r="2559" spans="3:4" x14ac:dyDescent="0.25">
      <c r="C2559"/>
      <c r="D2559"/>
    </row>
    <row r="2560" spans="3:4" x14ac:dyDescent="0.25">
      <c r="C2560"/>
      <c r="D2560"/>
    </row>
    <row r="2561" spans="3:4" x14ac:dyDescent="0.25">
      <c r="C2561"/>
      <c r="D2561"/>
    </row>
    <row r="2562" spans="3:4" x14ac:dyDescent="0.25">
      <c r="C2562"/>
      <c r="D2562"/>
    </row>
    <row r="2563" spans="3:4" x14ac:dyDescent="0.25">
      <c r="C2563"/>
      <c r="D2563"/>
    </row>
    <row r="2564" spans="3:4" x14ac:dyDescent="0.25">
      <c r="C2564"/>
      <c r="D2564"/>
    </row>
    <row r="2565" spans="3:4" x14ac:dyDescent="0.25">
      <c r="C2565"/>
      <c r="D2565"/>
    </row>
    <row r="2566" spans="3:4" x14ac:dyDescent="0.25">
      <c r="C2566"/>
      <c r="D2566"/>
    </row>
    <row r="2567" spans="3:4" x14ac:dyDescent="0.25">
      <c r="C2567"/>
      <c r="D2567"/>
    </row>
    <row r="2568" spans="3:4" x14ac:dyDescent="0.25">
      <c r="C2568"/>
      <c r="D2568"/>
    </row>
    <row r="2569" spans="3:4" x14ac:dyDescent="0.25">
      <c r="C2569"/>
      <c r="D2569"/>
    </row>
    <row r="2570" spans="3:4" x14ac:dyDescent="0.25">
      <c r="C2570"/>
      <c r="D2570"/>
    </row>
    <row r="2571" spans="3:4" x14ac:dyDescent="0.25">
      <c r="C2571"/>
      <c r="D2571"/>
    </row>
    <row r="2572" spans="3:4" x14ac:dyDescent="0.25">
      <c r="C2572"/>
      <c r="D2572"/>
    </row>
    <row r="2573" spans="3:4" x14ac:dyDescent="0.25">
      <c r="C2573"/>
      <c r="D2573"/>
    </row>
    <row r="2574" spans="3:4" x14ac:dyDescent="0.25">
      <c r="C2574"/>
      <c r="D2574"/>
    </row>
    <row r="2575" spans="3:4" x14ac:dyDescent="0.25">
      <c r="C2575"/>
      <c r="D2575"/>
    </row>
    <row r="2576" spans="3:4" x14ac:dyDescent="0.25">
      <c r="C2576"/>
      <c r="D2576"/>
    </row>
    <row r="2577" spans="3:4" x14ac:dyDescent="0.25">
      <c r="C2577"/>
      <c r="D2577"/>
    </row>
    <row r="2578" spans="3:4" x14ac:dyDescent="0.25">
      <c r="C2578"/>
      <c r="D2578"/>
    </row>
    <row r="2579" spans="3:4" x14ac:dyDescent="0.25">
      <c r="C2579"/>
      <c r="D2579"/>
    </row>
    <row r="2580" spans="3:4" x14ac:dyDescent="0.25">
      <c r="C2580"/>
      <c r="D2580"/>
    </row>
    <row r="2581" spans="3:4" x14ac:dyDescent="0.25">
      <c r="C2581"/>
      <c r="D2581"/>
    </row>
    <row r="2582" spans="3:4" x14ac:dyDescent="0.25">
      <c r="C2582"/>
      <c r="D2582"/>
    </row>
    <row r="2583" spans="3:4" x14ac:dyDescent="0.25">
      <c r="C2583"/>
      <c r="D2583"/>
    </row>
    <row r="2584" spans="3:4" x14ac:dyDescent="0.25">
      <c r="C2584"/>
      <c r="D2584"/>
    </row>
    <row r="2585" spans="3:4" x14ac:dyDescent="0.25">
      <c r="C2585"/>
      <c r="D2585"/>
    </row>
    <row r="2586" spans="3:4" x14ac:dyDescent="0.25">
      <c r="C2586"/>
      <c r="D2586"/>
    </row>
    <row r="2587" spans="3:4" x14ac:dyDescent="0.25">
      <c r="C2587"/>
      <c r="D2587"/>
    </row>
    <row r="2588" spans="3:4" x14ac:dyDescent="0.25">
      <c r="C2588"/>
      <c r="D2588"/>
    </row>
    <row r="2589" spans="3:4" x14ac:dyDescent="0.25">
      <c r="C2589"/>
      <c r="D2589"/>
    </row>
    <row r="2590" spans="3:4" x14ac:dyDescent="0.25">
      <c r="C2590"/>
      <c r="D2590"/>
    </row>
    <row r="2591" spans="3:4" x14ac:dyDescent="0.25">
      <c r="C2591"/>
      <c r="D2591"/>
    </row>
    <row r="2592" spans="3:4" x14ac:dyDescent="0.25">
      <c r="C2592"/>
      <c r="D2592"/>
    </row>
    <row r="2593" spans="3:4" x14ac:dyDescent="0.25">
      <c r="C2593"/>
      <c r="D2593"/>
    </row>
    <row r="2594" spans="3:4" x14ac:dyDescent="0.25">
      <c r="C2594"/>
      <c r="D2594"/>
    </row>
    <row r="2595" spans="3:4" x14ac:dyDescent="0.25">
      <c r="C2595"/>
      <c r="D2595"/>
    </row>
    <row r="2596" spans="3:4" x14ac:dyDescent="0.25">
      <c r="C2596"/>
      <c r="D2596"/>
    </row>
    <row r="2597" spans="3:4" x14ac:dyDescent="0.25">
      <c r="C2597"/>
      <c r="D2597"/>
    </row>
    <row r="2598" spans="3:4" x14ac:dyDescent="0.25">
      <c r="C2598"/>
      <c r="D2598"/>
    </row>
    <row r="2599" spans="3:4" x14ac:dyDescent="0.25">
      <c r="C2599"/>
      <c r="D2599"/>
    </row>
    <row r="2600" spans="3:4" x14ac:dyDescent="0.25">
      <c r="C2600"/>
      <c r="D2600"/>
    </row>
    <row r="2601" spans="3:4" x14ac:dyDescent="0.25">
      <c r="C2601"/>
      <c r="D2601"/>
    </row>
    <row r="2602" spans="3:4" x14ac:dyDescent="0.25">
      <c r="C2602"/>
      <c r="D2602"/>
    </row>
    <row r="2603" spans="3:4" x14ac:dyDescent="0.25">
      <c r="C2603"/>
      <c r="D2603"/>
    </row>
    <row r="2604" spans="3:4" x14ac:dyDescent="0.25">
      <c r="C2604"/>
      <c r="D2604"/>
    </row>
    <row r="2605" spans="3:4" x14ac:dyDescent="0.25">
      <c r="C2605"/>
      <c r="D2605"/>
    </row>
    <row r="2606" spans="3:4" x14ac:dyDescent="0.25">
      <c r="C2606"/>
      <c r="D2606"/>
    </row>
    <row r="2607" spans="3:4" x14ac:dyDescent="0.25">
      <c r="C2607"/>
      <c r="D2607"/>
    </row>
    <row r="2608" spans="3:4" x14ac:dyDescent="0.25">
      <c r="C2608"/>
      <c r="D2608"/>
    </row>
    <row r="2609" spans="3:4" x14ac:dyDescent="0.25">
      <c r="C2609"/>
      <c r="D2609"/>
    </row>
    <row r="2610" spans="3:4" x14ac:dyDescent="0.25">
      <c r="C2610"/>
      <c r="D2610"/>
    </row>
    <row r="2611" spans="3:4" x14ac:dyDescent="0.25">
      <c r="C2611"/>
      <c r="D2611"/>
    </row>
    <row r="2612" spans="3:4" x14ac:dyDescent="0.25">
      <c r="C2612"/>
      <c r="D2612"/>
    </row>
    <row r="2613" spans="3:4" x14ac:dyDescent="0.25">
      <c r="C2613"/>
      <c r="D2613"/>
    </row>
    <row r="2614" spans="3:4" x14ac:dyDescent="0.25">
      <c r="C2614"/>
      <c r="D2614"/>
    </row>
    <row r="2615" spans="3:4" x14ac:dyDescent="0.25">
      <c r="C2615"/>
      <c r="D2615"/>
    </row>
    <row r="2616" spans="3:4" x14ac:dyDescent="0.25">
      <c r="C2616"/>
      <c r="D2616"/>
    </row>
    <row r="2617" spans="3:4" x14ac:dyDescent="0.25">
      <c r="C2617"/>
      <c r="D2617"/>
    </row>
    <row r="2618" spans="3:4" x14ac:dyDescent="0.25">
      <c r="C2618"/>
      <c r="D2618"/>
    </row>
    <row r="2619" spans="3:4" x14ac:dyDescent="0.25">
      <c r="C2619"/>
      <c r="D2619"/>
    </row>
    <row r="2620" spans="3:4" x14ac:dyDescent="0.25">
      <c r="C2620"/>
      <c r="D2620"/>
    </row>
    <row r="2621" spans="3:4" x14ac:dyDescent="0.25">
      <c r="C2621"/>
      <c r="D2621"/>
    </row>
    <row r="2622" spans="3:4" x14ac:dyDescent="0.25">
      <c r="C2622"/>
      <c r="D2622"/>
    </row>
    <row r="2623" spans="3:4" x14ac:dyDescent="0.25">
      <c r="C2623"/>
      <c r="D2623"/>
    </row>
    <row r="2624" spans="3:4" x14ac:dyDescent="0.25">
      <c r="C2624"/>
      <c r="D2624"/>
    </row>
    <row r="2625" spans="3:4" x14ac:dyDescent="0.25">
      <c r="C2625"/>
      <c r="D2625"/>
    </row>
    <row r="2626" spans="3:4" x14ac:dyDescent="0.25">
      <c r="C2626"/>
      <c r="D2626"/>
    </row>
    <row r="2627" spans="3:4" x14ac:dyDescent="0.25">
      <c r="C2627"/>
      <c r="D2627"/>
    </row>
    <row r="2628" spans="3:4" x14ac:dyDescent="0.25">
      <c r="C2628"/>
      <c r="D2628"/>
    </row>
    <row r="2629" spans="3:4" x14ac:dyDescent="0.25">
      <c r="C2629"/>
      <c r="D2629"/>
    </row>
    <row r="2630" spans="3:4" x14ac:dyDescent="0.25">
      <c r="C2630"/>
      <c r="D2630"/>
    </row>
    <row r="2631" spans="3:4" x14ac:dyDescent="0.25">
      <c r="C2631"/>
      <c r="D2631"/>
    </row>
    <row r="2632" spans="3:4" x14ac:dyDescent="0.25">
      <c r="C2632"/>
      <c r="D2632"/>
    </row>
    <row r="2633" spans="3:4" x14ac:dyDescent="0.25">
      <c r="C2633"/>
      <c r="D2633"/>
    </row>
    <row r="2634" spans="3:4" x14ac:dyDescent="0.25">
      <c r="C2634"/>
      <c r="D2634"/>
    </row>
    <row r="2635" spans="3:4" x14ac:dyDescent="0.25">
      <c r="C2635"/>
      <c r="D2635"/>
    </row>
    <row r="2636" spans="3:4" x14ac:dyDescent="0.25">
      <c r="C2636"/>
      <c r="D2636"/>
    </row>
    <row r="2637" spans="3:4" x14ac:dyDescent="0.25">
      <c r="C2637"/>
      <c r="D2637"/>
    </row>
    <row r="2638" spans="3:4" x14ac:dyDescent="0.25">
      <c r="C2638"/>
      <c r="D2638"/>
    </row>
    <row r="2639" spans="3:4" x14ac:dyDescent="0.25">
      <c r="C2639"/>
      <c r="D2639"/>
    </row>
    <row r="2640" spans="3:4" x14ac:dyDescent="0.25">
      <c r="C2640"/>
      <c r="D2640"/>
    </row>
    <row r="2641" spans="3:4" x14ac:dyDescent="0.25">
      <c r="C2641"/>
      <c r="D2641"/>
    </row>
    <row r="2642" spans="3:4" x14ac:dyDescent="0.25">
      <c r="C2642"/>
      <c r="D2642"/>
    </row>
    <row r="2643" spans="3:4" x14ac:dyDescent="0.25">
      <c r="C2643"/>
      <c r="D2643"/>
    </row>
    <row r="2644" spans="3:4" x14ac:dyDescent="0.25">
      <c r="C2644"/>
      <c r="D2644"/>
    </row>
    <row r="2645" spans="3:4" x14ac:dyDescent="0.25">
      <c r="C2645"/>
      <c r="D2645"/>
    </row>
    <row r="2646" spans="3:4" x14ac:dyDescent="0.25">
      <c r="C2646"/>
      <c r="D2646"/>
    </row>
    <row r="2647" spans="3:4" x14ac:dyDescent="0.25">
      <c r="C2647"/>
      <c r="D2647"/>
    </row>
    <row r="2648" spans="3:4" x14ac:dyDescent="0.25">
      <c r="C2648"/>
      <c r="D2648"/>
    </row>
    <row r="2649" spans="3:4" x14ac:dyDescent="0.25">
      <c r="C2649"/>
      <c r="D2649"/>
    </row>
    <row r="2650" spans="3:4" x14ac:dyDescent="0.25">
      <c r="C2650"/>
      <c r="D2650"/>
    </row>
    <row r="2651" spans="3:4" x14ac:dyDescent="0.25">
      <c r="C2651"/>
      <c r="D2651"/>
    </row>
    <row r="2652" spans="3:4" x14ac:dyDescent="0.25">
      <c r="C2652"/>
      <c r="D2652"/>
    </row>
    <row r="2653" spans="3:4" x14ac:dyDescent="0.25">
      <c r="C2653"/>
      <c r="D2653"/>
    </row>
    <row r="2654" spans="3:4" x14ac:dyDescent="0.25">
      <c r="C2654"/>
      <c r="D2654"/>
    </row>
    <row r="2655" spans="3:4" x14ac:dyDescent="0.25">
      <c r="C2655"/>
      <c r="D2655"/>
    </row>
    <row r="2656" spans="3:4" x14ac:dyDescent="0.25">
      <c r="C2656"/>
      <c r="D2656"/>
    </row>
    <row r="2657" spans="3:4" x14ac:dyDescent="0.25">
      <c r="C2657"/>
      <c r="D2657"/>
    </row>
    <row r="2658" spans="3:4" x14ac:dyDescent="0.25">
      <c r="C2658"/>
      <c r="D2658"/>
    </row>
    <row r="2659" spans="3:4" x14ac:dyDescent="0.25">
      <c r="C2659"/>
      <c r="D2659"/>
    </row>
    <row r="2660" spans="3:4" x14ac:dyDescent="0.25">
      <c r="C2660"/>
      <c r="D2660"/>
    </row>
    <row r="2661" spans="3:4" x14ac:dyDescent="0.25">
      <c r="C2661"/>
      <c r="D2661"/>
    </row>
    <row r="2662" spans="3:4" x14ac:dyDescent="0.25">
      <c r="C2662"/>
      <c r="D2662"/>
    </row>
    <row r="2663" spans="3:4" x14ac:dyDescent="0.25">
      <c r="C2663"/>
      <c r="D2663"/>
    </row>
    <row r="2664" spans="3:4" x14ac:dyDescent="0.25">
      <c r="C2664"/>
      <c r="D2664"/>
    </row>
    <row r="2665" spans="3:4" x14ac:dyDescent="0.25">
      <c r="C2665"/>
      <c r="D2665"/>
    </row>
    <row r="2666" spans="3:4" x14ac:dyDescent="0.25">
      <c r="C2666"/>
      <c r="D2666"/>
    </row>
    <row r="2667" spans="3:4" x14ac:dyDescent="0.25">
      <c r="C2667"/>
      <c r="D2667"/>
    </row>
    <row r="2668" spans="3:4" x14ac:dyDescent="0.25">
      <c r="C2668"/>
      <c r="D2668"/>
    </row>
    <row r="2669" spans="3:4" x14ac:dyDescent="0.25">
      <c r="C2669"/>
      <c r="D2669"/>
    </row>
    <row r="2670" spans="3:4" x14ac:dyDescent="0.25">
      <c r="C2670"/>
      <c r="D2670"/>
    </row>
    <row r="2671" spans="3:4" x14ac:dyDescent="0.25">
      <c r="C2671"/>
      <c r="D2671"/>
    </row>
    <row r="2672" spans="3:4" x14ac:dyDescent="0.25">
      <c r="C2672"/>
      <c r="D2672"/>
    </row>
    <row r="2673" spans="3:4" x14ac:dyDescent="0.25">
      <c r="C2673"/>
      <c r="D2673"/>
    </row>
    <row r="2674" spans="3:4" x14ac:dyDescent="0.25">
      <c r="C2674"/>
      <c r="D2674"/>
    </row>
    <row r="2675" spans="3:4" x14ac:dyDescent="0.25">
      <c r="C2675"/>
      <c r="D2675"/>
    </row>
    <row r="2676" spans="3:4" x14ac:dyDescent="0.25">
      <c r="C2676"/>
      <c r="D2676"/>
    </row>
    <row r="2677" spans="3:4" x14ac:dyDescent="0.25">
      <c r="C2677"/>
      <c r="D2677"/>
    </row>
    <row r="2678" spans="3:4" x14ac:dyDescent="0.25">
      <c r="C2678"/>
      <c r="D2678"/>
    </row>
    <row r="2679" spans="3:4" x14ac:dyDescent="0.25">
      <c r="C2679"/>
      <c r="D2679"/>
    </row>
    <row r="2680" spans="3:4" x14ac:dyDescent="0.25">
      <c r="C2680"/>
      <c r="D2680"/>
    </row>
    <row r="2681" spans="3:4" x14ac:dyDescent="0.25">
      <c r="C2681"/>
      <c r="D2681"/>
    </row>
    <row r="2682" spans="3:4" x14ac:dyDescent="0.25">
      <c r="C2682"/>
      <c r="D2682"/>
    </row>
    <row r="2683" spans="3:4" x14ac:dyDescent="0.25">
      <c r="C2683"/>
      <c r="D2683"/>
    </row>
    <row r="2684" spans="3:4" x14ac:dyDescent="0.25">
      <c r="C2684"/>
      <c r="D2684"/>
    </row>
    <row r="2685" spans="3:4" x14ac:dyDescent="0.25">
      <c r="C2685"/>
      <c r="D2685"/>
    </row>
    <row r="2686" spans="3:4" x14ac:dyDescent="0.25">
      <c r="C2686"/>
      <c r="D2686"/>
    </row>
    <row r="2687" spans="3:4" x14ac:dyDescent="0.25">
      <c r="C2687"/>
      <c r="D2687"/>
    </row>
    <row r="2688" spans="3:4" x14ac:dyDescent="0.25">
      <c r="C2688"/>
      <c r="D2688"/>
    </row>
    <row r="2689" spans="3:4" x14ac:dyDescent="0.25">
      <c r="C2689"/>
      <c r="D2689"/>
    </row>
    <row r="2690" spans="3:4" x14ac:dyDescent="0.25">
      <c r="C2690"/>
      <c r="D2690"/>
    </row>
    <row r="2691" spans="3:4" x14ac:dyDescent="0.25">
      <c r="C2691"/>
      <c r="D2691"/>
    </row>
    <row r="2692" spans="3:4" x14ac:dyDescent="0.25">
      <c r="C2692"/>
      <c r="D2692"/>
    </row>
    <row r="2693" spans="3:4" x14ac:dyDescent="0.25">
      <c r="C2693"/>
      <c r="D2693"/>
    </row>
    <row r="2694" spans="3:4" x14ac:dyDescent="0.25">
      <c r="C2694"/>
      <c r="D2694"/>
    </row>
    <row r="2695" spans="3:4" x14ac:dyDescent="0.25">
      <c r="C2695"/>
      <c r="D2695"/>
    </row>
    <row r="2696" spans="3:4" x14ac:dyDescent="0.25">
      <c r="C2696"/>
      <c r="D2696"/>
    </row>
    <row r="2697" spans="3:4" x14ac:dyDescent="0.25">
      <c r="C2697"/>
      <c r="D2697"/>
    </row>
    <row r="2698" spans="3:4" x14ac:dyDescent="0.25">
      <c r="C2698"/>
      <c r="D2698"/>
    </row>
    <row r="2699" spans="3:4" x14ac:dyDescent="0.25">
      <c r="C2699"/>
      <c r="D2699"/>
    </row>
    <row r="2700" spans="3:4" x14ac:dyDescent="0.25">
      <c r="C2700"/>
      <c r="D2700"/>
    </row>
    <row r="2701" spans="3:4" x14ac:dyDescent="0.25">
      <c r="C2701"/>
      <c r="D2701"/>
    </row>
    <row r="2702" spans="3:4" x14ac:dyDescent="0.25">
      <c r="C2702"/>
      <c r="D2702"/>
    </row>
    <row r="2703" spans="3:4" x14ac:dyDescent="0.25">
      <c r="C2703"/>
      <c r="D2703"/>
    </row>
    <row r="2704" spans="3:4" x14ac:dyDescent="0.25">
      <c r="C2704"/>
      <c r="D2704"/>
    </row>
    <row r="2705" spans="3:4" x14ac:dyDescent="0.25">
      <c r="C2705"/>
      <c r="D2705"/>
    </row>
    <row r="2706" spans="3:4" x14ac:dyDescent="0.25">
      <c r="C2706"/>
      <c r="D2706"/>
    </row>
    <row r="2707" spans="3:4" x14ac:dyDescent="0.25">
      <c r="C2707"/>
      <c r="D2707"/>
    </row>
    <row r="2708" spans="3:4" x14ac:dyDescent="0.25">
      <c r="C2708"/>
      <c r="D2708"/>
    </row>
    <row r="2709" spans="3:4" x14ac:dyDescent="0.25">
      <c r="C2709"/>
      <c r="D2709"/>
    </row>
    <row r="2710" spans="3:4" x14ac:dyDescent="0.25">
      <c r="C2710"/>
      <c r="D2710"/>
    </row>
    <row r="2711" spans="3:4" x14ac:dyDescent="0.25">
      <c r="C2711"/>
      <c r="D2711"/>
    </row>
    <row r="2712" spans="3:4" x14ac:dyDescent="0.25">
      <c r="C2712"/>
      <c r="D2712"/>
    </row>
    <row r="2713" spans="3:4" x14ac:dyDescent="0.25">
      <c r="C2713"/>
      <c r="D2713"/>
    </row>
    <row r="2714" spans="3:4" x14ac:dyDescent="0.25">
      <c r="C2714"/>
      <c r="D2714"/>
    </row>
    <row r="2715" spans="3:4" x14ac:dyDescent="0.25">
      <c r="C2715"/>
      <c r="D2715"/>
    </row>
    <row r="2716" spans="3:4" x14ac:dyDescent="0.25">
      <c r="C2716"/>
      <c r="D2716"/>
    </row>
    <row r="2717" spans="3:4" x14ac:dyDescent="0.25">
      <c r="C2717"/>
      <c r="D2717"/>
    </row>
    <row r="2718" spans="3:4" x14ac:dyDescent="0.25">
      <c r="C2718"/>
      <c r="D2718"/>
    </row>
    <row r="2719" spans="3:4" x14ac:dyDescent="0.25">
      <c r="C2719"/>
      <c r="D2719"/>
    </row>
    <row r="2720" spans="3:4" x14ac:dyDescent="0.25">
      <c r="C2720"/>
      <c r="D2720"/>
    </row>
    <row r="2721" spans="3:4" x14ac:dyDescent="0.25">
      <c r="C2721"/>
      <c r="D2721"/>
    </row>
    <row r="2722" spans="3:4" x14ac:dyDescent="0.25">
      <c r="C2722"/>
      <c r="D2722"/>
    </row>
    <row r="2723" spans="3:4" x14ac:dyDescent="0.25">
      <c r="C2723"/>
      <c r="D2723"/>
    </row>
    <row r="2724" spans="3:4" x14ac:dyDescent="0.25">
      <c r="C2724"/>
      <c r="D2724"/>
    </row>
    <row r="2725" spans="3:4" x14ac:dyDescent="0.25">
      <c r="C2725"/>
      <c r="D2725"/>
    </row>
    <row r="2726" spans="3:4" x14ac:dyDescent="0.25">
      <c r="C2726"/>
      <c r="D2726"/>
    </row>
    <row r="2727" spans="3:4" x14ac:dyDescent="0.25">
      <c r="C2727"/>
      <c r="D2727"/>
    </row>
    <row r="2728" spans="3:4" x14ac:dyDescent="0.25">
      <c r="C2728"/>
      <c r="D2728"/>
    </row>
    <row r="2729" spans="3:4" x14ac:dyDescent="0.25">
      <c r="C2729"/>
      <c r="D2729"/>
    </row>
    <row r="2730" spans="3:4" x14ac:dyDescent="0.25">
      <c r="C2730"/>
      <c r="D2730"/>
    </row>
    <row r="2731" spans="3:4" x14ac:dyDescent="0.25">
      <c r="C2731"/>
      <c r="D2731"/>
    </row>
    <row r="2732" spans="3:4" x14ac:dyDescent="0.25">
      <c r="C2732"/>
      <c r="D2732"/>
    </row>
    <row r="2733" spans="3:4" x14ac:dyDescent="0.25">
      <c r="C2733"/>
      <c r="D2733"/>
    </row>
    <row r="2734" spans="3:4" x14ac:dyDescent="0.25">
      <c r="C2734"/>
      <c r="D2734"/>
    </row>
    <row r="2735" spans="3:4" x14ac:dyDescent="0.25">
      <c r="C2735"/>
      <c r="D2735"/>
    </row>
    <row r="2736" spans="3:4" x14ac:dyDescent="0.25">
      <c r="C2736"/>
      <c r="D2736"/>
    </row>
    <row r="2737" spans="3:4" x14ac:dyDescent="0.25">
      <c r="C2737"/>
      <c r="D2737"/>
    </row>
    <row r="2738" spans="3:4" x14ac:dyDescent="0.25">
      <c r="C2738"/>
      <c r="D2738"/>
    </row>
    <row r="2739" spans="3:4" x14ac:dyDescent="0.25">
      <c r="C2739"/>
      <c r="D2739"/>
    </row>
    <row r="2740" spans="3:4" x14ac:dyDescent="0.25">
      <c r="C2740"/>
      <c r="D2740"/>
    </row>
    <row r="2741" spans="3:4" x14ac:dyDescent="0.25">
      <c r="C2741"/>
      <c r="D2741"/>
    </row>
    <row r="2742" spans="3:4" x14ac:dyDescent="0.25">
      <c r="C2742"/>
      <c r="D2742"/>
    </row>
    <row r="2743" spans="3:4" x14ac:dyDescent="0.25">
      <c r="C2743"/>
      <c r="D2743"/>
    </row>
    <row r="2744" spans="3:4" x14ac:dyDescent="0.25">
      <c r="C2744"/>
      <c r="D2744"/>
    </row>
    <row r="2745" spans="3:4" x14ac:dyDescent="0.25">
      <c r="C2745"/>
      <c r="D2745"/>
    </row>
    <row r="2746" spans="3:4" x14ac:dyDescent="0.25">
      <c r="C2746"/>
      <c r="D2746"/>
    </row>
    <row r="2747" spans="3:4" x14ac:dyDescent="0.25">
      <c r="C2747"/>
      <c r="D2747"/>
    </row>
    <row r="2748" spans="3:4" x14ac:dyDescent="0.25">
      <c r="C2748"/>
      <c r="D2748"/>
    </row>
    <row r="2749" spans="3:4" x14ac:dyDescent="0.25">
      <c r="C2749"/>
      <c r="D2749"/>
    </row>
    <row r="2750" spans="3:4" x14ac:dyDescent="0.25">
      <c r="C2750"/>
      <c r="D2750"/>
    </row>
    <row r="2751" spans="3:4" x14ac:dyDescent="0.25">
      <c r="C2751"/>
      <c r="D2751"/>
    </row>
    <row r="2752" spans="3:4" x14ac:dyDescent="0.25">
      <c r="C2752"/>
      <c r="D2752"/>
    </row>
    <row r="2753" spans="3:4" x14ac:dyDescent="0.25">
      <c r="C2753"/>
      <c r="D2753"/>
    </row>
    <row r="2754" spans="3:4" x14ac:dyDescent="0.25">
      <c r="C2754"/>
      <c r="D2754"/>
    </row>
    <row r="2755" spans="3:4" x14ac:dyDescent="0.25">
      <c r="C2755"/>
      <c r="D2755"/>
    </row>
    <row r="2756" spans="3:4" x14ac:dyDescent="0.25">
      <c r="C2756"/>
      <c r="D2756"/>
    </row>
    <row r="2757" spans="3:4" x14ac:dyDescent="0.25">
      <c r="C2757"/>
      <c r="D2757"/>
    </row>
    <row r="2758" spans="3:4" x14ac:dyDescent="0.25">
      <c r="C2758"/>
      <c r="D2758"/>
    </row>
    <row r="2759" spans="3:4" x14ac:dyDescent="0.25">
      <c r="C2759"/>
      <c r="D2759"/>
    </row>
    <row r="2760" spans="3:4" x14ac:dyDescent="0.25">
      <c r="C2760"/>
      <c r="D2760"/>
    </row>
    <row r="2761" spans="3:4" x14ac:dyDescent="0.25">
      <c r="C2761"/>
      <c r="D2761"/>
    </row>
    <row r="2762" spans="3:4" x14ac:dyDescent="0.25">
      <c r="C2762"/>
      <c r="D2762"/>
    </row>
    <row r="2763" spans="3:4" x14ac:dyDescent="0.25">
      <c r="C2763"/>
      <c r="D2763"/>
    </row>
    <row r="2764" spans="3:4" x14ac:dyDescent="0.25">
      <c r="C2764"/>
      <c r="D2764"/>
    </row>
    <row r="2765" spans="3:4" x14ac:dyDescent="0.25">
      <c r="C2765"/>
      <c r="D2765"/>
    </row>
    <row r="2766" spans="3:4" x14ac:dyDescent="0.25">
      <c r="C2766"/>
      <c r="D2766"/>
    </row>
    <row r="2767" spans="3:4" x14ac:dyDescent="0.25">
      <c r="C2767"/>
      <c r="D2767"/>
    </row>
    <row r="2768" spans="3:4" x14ac:dyDescent="0.25">
      <c r="C2768"/>
      <c r="D2768"/>
    </row>
    <row r="2769" spans="3:4" x14ac:dyDescent="0.25">
      <c r="C2769"/>
      <c r="D2769"/>
    </row>
    <row r="2770" spans="3:4" x14ac:dyDescent="0.25">
      <c r="C2770"/>
      <c r="D2770"/>
    </row>
    <row r="2771" spans="3:4" x14ac:dyDescent="0.25">
      <c r="C2771"/>
      <c r="D2771"/>
    </row>
    <row r="2772" spans="3:4" x14ac:dyDescent="0.25">
      <c r="C2772"/>
      <c r="D2772"/>
    </row>
    <row r="2773" spans="3:4" x14ac:dyDescent="0.25">
      <c r="C2773"/>
      <c r="D2773"/>
    </row>
    <row r="2774" spans="3:4" x14ac:dyDescent="0.25">
      <c r="C2774"/>
      <c r="D2774"/>
    </row>
    <row r="2775" spans="3:4" x14ac:dyDescent="0.25">
      <c r="C2775"/>
      <c r="D2775"/>
    </row>
    <row r="2776" spans="3:4" x14ac:dyDescent="0.25">
      <c r="C2776"/>
      <c r="D2776"/>
    </row>
    <row r="2777" spans="3:4" x14ac:dyDescent="0.25">
      <c r="C2777"/>
      <c r="D2777"/>
    </row>
    <row r="2778" spans="3:4" x14ac:dyDescent="0.25">
      <c r="C2778"/>
      <c r="D2778"/>
    </row>
    <row r="2779" spans="3:4" x14ac:dyDescent="0.25">
      <c r="C2779"/>
      <c r="D2779"/>
    </row>
    <row r="2780" spans="3:4" x14ac:dyDescent="0.25">
      <c r="C2780"/>
      <c r="D2780"/>
    </row>
    <row r="2781" spans="3:4" x14ac:dyDescent="0.25">
      <c r="C2781"/>
      <c r="D2781"/>
    </row>
    <row r="2782" spans="3:4" x14ac:dyDescent="0.25">
      <c r="C2782"/>
      <c r="D2782"/>
    </row>
    <row r="2783" spans="3:4" x14ac:dyDescent="0.25">
      <c r="C2783"/>
      <c r="D2783"/>
    </row>
    <row r="2784" spans="3:4" x14ac:dyDescent="0.25">
      <c r="C2784"/>
      <c r="D2784"/>
    </row>
    <row r="2785" spans="3:4" x14ac:dyDescent="0.25">
      <c r="C2785"/>
      <c r="D2785"/>
    </row>
    <row r="2786" spans="3:4" x14ac:dyDescent="0.25">
      <c r="C2786"/>
      <c r="D2786"/>
    </row>
    <row r="2787" spans="3:4" x14ac:dyDescent="0.25">
      <c r="C2787"/>
      <c r="D2787"/>
    </row>
    <row r="2788" spans="3:4" x14ac:dyDescent="0.25">
      <c r="C2788"/>
      <c r="D2788"/>
    </row>
    <row r="2789" spans="3:4" x14ac:dyDescent="0.25">
      <c r="C2789"/>
      <c r="D2789"/>
    </row>
    <row r="2790" spans="3:4" x14ac:dyDescent="0.25">
      <c r="C2790"/>
      <c r="D2790"/>
    </row>
    <row r="2791" spans="3:4" x14ac:dyDescent="0.25">
      <c r="C2791"/>
      <c r="D2791"/>
    </row>
    <row r="2792" spans="3:4" x14ac:dyDescent="0.25">
      <c r="C2792"/>
      <c r="D2792"/>
    </row>
    <row r="2793" spans="3:4" x14ac:dyDescent="0.25">
      <c r="C2793"/>
      <c r="D2793"/>
    </row>
    <row r="2794" spans="3:4" x14ac:dyDescent="0.25">
      <c r="C2794"/>
      <c r="D2794"/>
    </row>
    <row r="2795" spans="3:4" x14ac:dyDescent="0.25">
      <c r="C2795"/>
      <c r="D2795"/>
    </row>
    <row r="2796" spans="3:4" x14ac:dyDescent="0.25">
      <c r="C2796"/>
      <c r="D2796"/>
    </row>
    <row r="2797" spans="3:4" x14ac:dyDescent="0.25">
      <c r="C2797"/>
      <c r="D2797"/>
    </row>
    <row r="2798" spans="3:4" x14ac:dyDescent="0.25">
      <c r="C2798"/>
      <c r="D2798"/>
    </row>
    <row r="2799" spans="3:4" x14ac:dyDescent="0.25">
      <c r="C2799"/>
      <c r="D2799"/>
    </row>
    <row r="2800" spans="3:4" x14ac:dyDescent="0.25">
      <c r="C2800"/>
      <c r="D2800"/>
    </row>
    <row r="2801" spans="3:4" x14ac:dyDescent="0.25">
      <c r="C2801"/>
      <c r="D2801"/>
    </row>
    <row r="2802" spans="3:4" x14ac:dyDescent="0.25">
      <c r="C2802"/>
      <c r="D2802"/>
    </row>
    <row r="2803" spans="3:4" x14ac:dyDescent="0.25">
      <c r="C2803"/>
      <c r="D2803"/>
    </row>
    <row r="2804" spans="3:4" x14ac:dyDescent="0.25">
      <c r="C2804"/>
      <c r="D2804"/>
    </row>
    <row r="2805" spans="3:4" x14ac:dyDescent="0.25">
      <c r="C2805"/>
      <c r="D2805"/>
    </row>
    <row r="2806" spans="3:4" x14ac:dyDescent="0.25">
      <c r="C2806"/>
      <c r="D2806"/>
    </row>
    <row r="2807" spans="3:4" x14ac:dyDescent="0.25">
      <c r="C2807"/>
      <c r="D2807"/>
    </row>
    <row r="2808" spans="3:4" x14ac:dyDescent="0.25">
      <c r="C2808"/>
      <c r="D2808"/>
    </row>
    <row r="2809" spans="3:4" x14ac:dyDescent="0.25">
      <c r="C2809"/>
      <c r="D2809"/>
    </row>
    <row r="2810" spans="3:4" x14ac:dyDescent="0.25">
      <c r="C2810"/>
      <c r="D2810"/>
    </row>
    <row r="2811" spans="3:4" x14ac:dyDescent="0.25">
      <c r="C2811"/>
      <c r="D2811"/>
    </row>
    <row r="2812" spans="3:4" x14ac:dyDescent="0.25">
      <c r="C2812"/>
      <c r="D2812"/>
    </row>
    <row r="2813" spans="3:4" x14ac:dyDescent="0.25">
      <c r="C2813"/>
      <c r="D2813"/>
    </row>
    <row r="2814" spans="3:4" x14ac:dyDescent="0.25">
      <c r="C2814"/>
      <c r="D2814"/>
    </row>
    <row r="2815" spans="3:4" x14ac:dyDescent="0.25">
      <c r="C2815"/>
      <c r="D2815"/>
    </row>
    <row r="2816" spans="3:4" x14ac:dyDescent="0.25">
      <c r="C2816"/>
      <c r="D2816"/>
    </row>
    <row r="2817" spans="3:4" x14ac:dyDescent="0.25">
      <c r="C2817"/>
      <c r="D2817"/>
    </row>
    <row r="2818" spans="3:4" x14ac:dyDescent="0.25">
      <c r="C2818"/>
      <c r="D2818"/>
    </row>
    <row r="2819" spans="3:4" x14ac:dyDescent="0.25">
      <c r="C2819"/>
      <c r="D2819"/>
    </row>
    <row r="2820" spans="3:4" x14ac:dyDescent="0.25">
      <c r="C2820"/>
      <c r="D2820"/>
    </row>
    <row r="2821" spans="3:4" x14ac:dyDescent="0.25">
      <c r="C2821"/>
      <c r="D2821"/>
    </row>
    <row r="2822" spans="3:4" x14ac:dyDescent="0.25">
      <c r="C2822"/>
      <c r="D2822"/>
    </row>
    <row r="2823" spans="3:4" x14ac:dyDescent="0.25">
      <c r="C2823"/>
      <c r="D2823"/>
    </row>
    <row r="2824" spans="3:4" x14ac:dyDescent="0.25">
      <c r="C2824"/>
      <c r="D2824"/>
    </row>
    <row r="2825" spans="3:4" x14ac:dyDescent="0.25">
      <c r="C2825"/>
      <c r="D2825"/>
    </row>
    <row r="2826" spans="3:4" x14ac:dyDescent="0.25">
      <c r="C2826"/>
      <c r="D2826"/>
    </row>
    <row r="2827" spans="3:4" x14ac:dyDescent="0.25">
      <c r="C2827"/>
      <c r="D2827"/>
    </row>
    <row r="2828" spans="3:4" x14ac:dyDescent="0.25">
      <c r="C2828"/>
      <c r="D2828"/>
    </row>
    <row r="2829" spans="3:4" x14ac:dyDescent="0.25">
      <c r="C2829"/>
      <c r="D2829"/>
    </row>
    <row r="2830" spans="3:4" x14ac:dyDescent="0.25">
      <c r="C2830"/>
      <c r="D2830"/>
    </row>
    <row r="2831" spans="3:4" x14ac:dyDescent="0.25">
      <c r="C2831"/>
      <c r="D2831"/>
    </row>
    <row r="2832" spans="3:4" x14ac:dyDescent="0.25">
      <c r="C2832"/>
      <c r="D2832"/>
    </row>
    <row r="2833" spans="3:4" x14ac:dyDescent="0.25">
      <c r="C2833"/>
      <c r="D2833"/>
    </row>
    <row r="2834" spans="3:4" x14ac:dyDescent="0.25">
      <c r="C2834"/>
      <c r="D2834"/>
    </row>
    <row r="2835" spans="3:4" x14ac:dyDescent="0.25">
      <c r="C2835"/>
      <c r="D2835"/>
    </row>
    <row r="2836" spans="3:4" x14ac:dyDescent="0.25">
      <c r="C2836"/>
      <c r="D2836"/>
    </row>
    <row r="2837" spans="3:4" x14ac:dyDescent="0.25">
      <c r="C2837"/>
      <c r="D2837"/>
    </row>
    <row r="2838" spans="3:4" x14ac:dyDescent="0.25">
      <c r="C2838"/>
      <c r="D2838"/>
    </row>
    <row r="2839" spans="3:4" x14ac:dyDescent="0.25">
      <c r="C2839"/>
      <c r="D2839"/>
    </row>
    <row r="2840" spans="3:4" x14ac:dyDescent="0.25">
      <c r="C2840"/>
      <c r="D2840"/>
    </row>
    <row r="2841" spans="3:4" x14ac:dyDescent="0.25">
      <c r="C2841"/>
      <c r="D2841"/>
    </row>
    <row r="2842" spans="3:4" x14ac:dyDescent="0.25">
      <c r="C2842"/>
      <c r="D2842"/>
    </row>
    <row r="2843" spans="3:4" x14ac:dyDescent="0.25">
      <c r="C2843"/>
      <c r="D2843"/>
    </row>
    <row r="2844" spans="3:4" x14ac:dyDescent="0.25">
      <c r="C2844"/>
      <c r="D2844"/>
    </row>
    <row r="2845" spans="3:4" x14ac:dyDescent="0.25">
      <c r="C2845"/>
      <c r="D2845"/>
    </row>
    <row r="2846" spans="3:4" x14ac:dyDescent="0.25">
      <c r="C2846"/>
      <c r="D2846"/>
    </row>
    <row r="2847" spans="3:4" x14ac:dyDescent="0.25">
      <c r="C2847"/>
      <c r="D2847"/>
    </row>
    <row r="2848" spans="3:4" x14ac:dyDescent="0.25">
      <c r="C2848"/>
      <c r="D2848"/>
    </row>
    <row r="2849" spans="3:4" x14ac:dyDescent="0.25">
      <c r="C2849"/>
      <c r="D2849"/>
    </row>
    <row r="2850" spans="3:4" x14ac:dyDescent="0.25">
      <c r="C2850"/>
      <c r="D2850"/>
    </row>
    <row r="2851" spans="3:4" x14ac:dyDescent="0.25">
      <c r="C2851"/>
      <c r="D2851"/>
    </row>
    <row r="2852" spans="3:4" x14ac:dyDescent="0.25">
      <c r="C2852"/>
      <c r="D2852"/>
    </row>
    <row r="2853" spans="3:4" x14ac:dyDescent="0.25">
      <c r="C2853"/>
      <c r="D2853"/>
    </row>
    <row r="2854" spans="3:4" x14ac:dyDescent="0.25">
      <c r="C2854"/>
      <c r="D2854"/>
    </row>
    <row r="2855" spans="3:4" x14ac:dyDescent="0.25">
      <c r="C2855"/>
      <c r="D2855"/>
    </row>
    <row r="2856" spans="3:4" x14ac:dyDescent="0.25">
      <c r="C2856"/>
      <c r="D2856"/>
    </row>
    <row r="2857" spans="3:4" x14ac:dyDescent="0.25">
      <c r="C2857"/>
      <c r="D2857"/>
    </row>
    <row r="2858" spans="3:4" x14ac:dyDescent="0.25">
      <c r="C2858"/>
      <c r="D2858"/>
    </row>
    <row r="2859" spans="3:4" x14ac:dyDescent="0.25">
      <c r="C2859"/>
      <c r="D2859"/>
    </row>
    <row r="2860" spans="3:4" x14ac:dyDescent="0.25">
      <c r="C2860"/>
      <c r="D2860"/>
    </row>
    <row r="2861" spans="3:4" x14ac:dyDescent="0.25">
      <c r="C2861"/>
      <c r="D2861"/>
    </row>
    <row r="2862" spans="3:4" x14ac:dyDescent="0.25">
      <c r="C2862"/>
      <c r="D2862"/>
    </row>
    <row r="2863" spans="3:4" x14ac:dyDescent="0.25">
      <c r="C2863"/>
      <c r="D2863"/>
    </row>
    <row r="2864" spans="3:4" x14ac:dyDescent="0.25">
      <c r="C2864"/>
      <c r="D2864"/>
    </row>
    <row r="2865" spans="3:4" x14ac:dyDescent="0.25">
      <c r="C2865"/>
      <c r="D2865"/>
    </row>
    <row r="2866" spans="3:4" x14ac:dyDescent="0.25">
      <c r="C2866"/>
      <c r="D2866"/>
    </row>
    <row r="2867" spans="3:4" x14ac:dyDescent="0.25">
      <c r="C2867"/>
      <c r="D2867"/>
    </row>
    <row r="2868" spans="3:4" x14ac:dyDescent="0.25">
      <c r="C2868"/>
      <c r="D2868"/>
    </row>
    <row r="2869" spans="3:4" x14ac:dyDescent="0.25">
      <c r="C2869"/>
      <c r="D2869"/>
    </row>
    <row r="2870" spans="3:4" x14ac:dyDescent="0.25">
      <c r="C2870"/>
      <c r="D2870"/>
    </row>
    <row r="2871" spans="3:4" x14ac:dyDescent="0.25">
      <c r="C2871"/>
      <c r="D2871"/>
    </row>
    <row r="2872" spans="3:4" x14ac:dyDescent="0.25">
      <c r="C2872"/>
      <c r="D2872"/>
    </row>
    <row r="2873" spans="3:4" x14ac:dyDescent="0.25">
      <c r="C2873"/>
      <c r="D2873"/>
    </row>
    <row r="2874" spans="3:4" x14ac:dyDescent="0.25">
      <c r="C2874"/>
      <c r="D2874"/>
    </row>
    <row r="2875" spans="3:4" x14ac:dyDescent="0.25">
      <c r="C2875"/>
      <c r="D2875"/>
    </row>
    <row r="2876" spans="3:4" x14ac:dyDescent="0.25">
      <c r="C2876"/>
      <c r="D2876"/>
    </row>
    <row r="2877" spans="3:4" x14ac:dyDescent="0.25">
      <c r="C2877"/>
      <c r="D2877"/>
    </row>
    <row r="2878" spans="3:4" x14ac:dyDescent="0.25">
      <c r="C2878"/>
      <c r="D2878"/>
    </row>
    <row r="2879" spans="3:4" x14ac:dyDescent="0.25">
      <c r="C2879"/>
      <c r="D2879"/>
    </row>
    <row r="2880" spans="3:4" x14ac:dyDescent="0.25">
      <c r="C2880"/>
      <c r="D2880"/>
    </row>
    <row r="2881" spans="3:4" x14ac:dyDescent="0.25">
      <c r="C2881"/>
      <c r="D2881"/>
    </row>
    <row r="2882" spans="3:4" x14ac:dyDescent="0.25">
      <c r="C2882"/>
      <c r="D2882"/>
    </row>
    <row r="2883" spans="3:4" x14ac:dyDescent="0.25">
      <c r="C2883"/>
      <c r="D2883"/>
    </row>
    <row r="2884" spans="3:4" x14ac:dyDescent="0.25">
      <c r="C2884"/>
      <c r="D2884"/>
    </row>
    <row r="2885" spans="3:4" x14ac:dyDescent="0.25">
      <c r="C2885"/>
      <c r="D2885"/>
    </row>
    <row r="2886" spans="3:4" x14ac:dyDescent="0.25">
      <c r="C2886"/>
      <c r="D2886"/>
    </row>
    <row r="2887" spans="3:4" x14ac:dyDescent="0.25">
      <c r="C2887"/>
      <c r="D2887"/>
    </row>
    <row r="2888" spans="3:4" x14ac:dyDescent="0.25">
      <c r="C2888"/>
      <c r="D2888"/>
    </row>
    <row r="2889" spans="3:4" x14ac:dyDescent="0.25">
      <c r="C2889"/>
      <c r="D2889"/>
    </row>
    <row r="2890" spans="3:4" x14ac:dyDescent="0.25">
      <c r="C2890"/>
      <c r="D2890"/>
    </row>
    <row r="2891" spans="3:4" x14ac:dyDescent="0.25">
      <c r="C2891"/>
      <c r="D2891"/>
    </row>
    <row r="2892" spans="3:4" x14ac:dyDescent="0.25">
      <c r="C2892"/>
      <c r="D2892"/>
    </row>
    <row r="2893" spans="3:4" x14ac:dyDescent="0.25">
      <c r="C2893"/>
      <c r="D2893"/>
    </row>
    <row r="2894" spans="3:4" x14ac:dyDescent="0.25">
      <c r="C2894"/>
      <c r="D2894"/>
    </row>
    <row r="2895" spans="3:4" x14ac:dyDescent="0.25">
      <c r="C2895"/>
      <c r="D2895"/>
    </row>
    <row r="2896" spans="3:4" x14ac:dyDescent="0.25">
      <c r="C2896"/>
      <c r="D2896"/>
    </row>
    <row r="2897" spans="3:4" x14ac:dyDescent="0.25">
      <c r="C2897"/>
      <c r="D2897"/>
    </row>
    <row r="2898" spans="3:4" x14ac:dyDescent="0.25">
      <c r="C2898"/>
      <c r="D2898"/>
    </row>
    <row r="2899" spans="3:4" x14ac:dyDescent="0.25">
      <c r="C2899"/>
      <c r="D2899"/>
    </row>
    <row r="2900" spans="3:4" x14ac:dyDescent="0.25">
      <c r="C2900"/>
      <c r="D2900"/>
    </row>
    <row r="2901" spans="3:4" x14ac:dyDescent="0.25">
      <c r="C2901"/>
      <c r="D2901"/>
    </row>
    <row r="2902" spans="3:4" x14ac:dyDescent="0.25">
      <c r="C2902"/>
      <c r="D2902"/>
    </row>
    <row r="2903" spans="3:4" x14ac:dyDescent="0.25">
      <c r="C2903"/>
      <c r="D2903"/>
    </row>
    <row r="2904" spans="3:4" x14ac:dyDescent="0.25">
      <c r="C2904"/>
      <c r="D2904"/>
    </row>
    <row r="2905" spans="3:4" x14ac:dyDescent="0.25">
      <c r="C2905"/>
      <c r="D2905"/>
    </row>
    <row r="2906" spans="3:4" x14ac:dyDescent="0.25">
      <c r="C2906"/>
      <c r="D2906"/>
    </row>
    <row r="2907" spans="3:4" x14ac:dyDescent="0.25">
      <c r="C2907"/>
      <c r="D2907"/>
    </row>
    <row r="2908" spans="3:4" x14ac:dyDescent="0.25">
      <c r="C2908"/>
      <c r="D2908"/>
    </row>
    <row r="2909" spans="3:4" x14ac:dyDescent="0.25">
      <c r="C2909"/>
      <c r="D2909"/>
    </row>
    <row r="2910" spans="3:4" x14ac:dyDescent="0.25">
      <c r="C2910"/>
      <c r="D2910"/>
    </row>
    <row r="2911" spans="3:4" x14ac:dyDescent="0.25">
      <c r="C2911"/>
      <c r="D2911"/>
    </row>
    <row r="2912" spans="3:4" x14ac:dyDescent="0.25">
      <c r="C2912"/>
      <c r="D2912"/>
    </row>
    <row r="2913" spans="3:4" x14ac:dyDescent="0.25">
      <c r="C2913"/>
      <c r="D2913"/>
    </row>
    <row r="2914" spans="3:4" x14ac:dyDescent="0.25">
      <c r="C2914"/>
      <c r="D2914"/>
    </row>
    <row r="2915" spans="3:4" x14ac:dyDescent="0.25">
      <c r="C2915"/>
      <c r="D2915"/>
    </row>
    <row r="2916" spans="3:4" x14ac:dyDescent="0.25">
      <c r="C2916"/>
      <c r="D2916"/>
    </row>
    <row r="2917" spans="3:4" x14ac:dyDescent="0.25">
      <c r="C2917"/>
      <c r="D2917"/>
    </row>
    <row r="2918" spans="3:4" x14ac:dyDescent="0.25">
      <c r="C2918"/>
      <c r="D2918"/>
    </row>
    <row r="2919" spans="3:4" x14ac:dyDescent="0.25">
      <c r="C2919"/>
      <c r="D2919"/>
    </row>
    <row r="2920" spans="3:4" x14ac:dyDescent="0.25">
      <c r="C2920"/>
      <c r="D2920"/>
    </row>
    <row r="2921" spans="3:4" x14ac:dyDescent="0.25">
      <c r="C2921"/>
      <c r="D2921"/>
    </row>
    <row r="2922" spans="3:4" x14ac:dyDescent="0.25">
      <c r="C2922"/>
      <c r="D2922"/>
    </row>
    <row r="2923" spans="3:4" x14ac:dyDescent="0.25">
      <c r="C2923"/>
      <c r="D2923"/>
    </row>
    <row r="2924" spans="3:4" x14ac:dyDescent="0.25">
      <c r="C2924"/>
      <c r="D2924"/>
    </row>
    <row r="2925" spans="3:4" x14ac:dyDescent="0.25">
      <c r="C2925"/>
      <c r="D2925"/>
    </row>
    <row r="2926" spans="3:4" x14ac:dyDescent="0.25">
      <c r="C2926"/>
      <c r="D2926"/>
    </row>
    <row r="2927" spans="3:4" x14ac:dyDescent="0.25">
      <c r="C2927"/>
      <c r="D2927"/>
    </row>
    <row r="2928" spans="3:4" x14ac:dyDescent="0.25">
      <c r="C2928"/>
      <c r="D2928"/>
    </row>
    <row r="2929" spans="3:4" x14ac:dyDescent="0.25">
      <c r="C2929"/>
      <c r="D2929"/>
    </row>
    <row r="2930" spans="3:4" x14ac:dyDescent="0.25">
      <c r="C2930"/>
      <c r="D2930"/>
    </row>
    <row r="2931" spans="3:4" x14ac:dyDescent="0.25">
      <c r="C2931"/>
      <c r="D2931"/>
    </row>
    <row r="2932" spans="3:4" x14ac:dyDescent="0.25">
      <c r="C2932"/>
      <c r="D2932"/>
    </row>
    <row r="2933" spans="3:4" x14ac:dyDescent="0.25">
      <c r="C2933"/>
      <c r="D2933"/>
    </row>
    <row r="2934" spans="3:4" x14ac:dyDescent="0.25">
      <c r="C2934"/>
      <c r="D2934"/>
    </row>
    <row r="2935" spans="3:4" x14ac:dyDescent="0.25">
      <c r="C2935"/>
      <c r="D2935"/>
    </row>
    <row r="2936" spans="3:4" x14ac:dyDescent="0.25">
      <c r="C2936"/>
      <c r="D2936"/>
    </row>
    <row r="2937" spans="3:4" x14ac:dyDescent="0.25">
      <c r="C2937"/>
      <c r="D2937"/>
    </row>
    <row r="2938" spans="3:4" x14ac:dyDescent="0.25">
      <c r="C2938"/>
      <c r="D2938"/>
    </row>
    <row r="2939" spans="3:4" x14ac:dyDescent="0.25">
      <c r="C2939"/>
      <c r="D2939"/>
    </row>
    <row r="2940" spans="3:4" x14ac:dyDescent="0.25">
      <c r="C2940"/>
      <c r="D2940"/>
    </row>
    <row r="2941" spans="3:4" x14ac:dyDescent="0.25">
      <c r="C2941"/>
      <c r="D2941"/>
    </row>
    <row r="2942" spans="3:4" x14ac:dyDescent="0.25">
      <c r="C2942"/>
      <c r="D2942"/>
    </row>
    <row r="2943" spans="3:4" x14ac:dyDescent="0.25">
      <c r="C2943"/>
      <c r="D2943"/>
    </row>
    <row r="2944" spans="3:4" x14ac:dyDescent="0.25">
      <c r="C2944"/>
      <c r="D2944"/>
    </row>
    <row r="2945" spans="3:4" x14ac:dyDescent="0.25">
      <c r="C2945"/>
      <c r="D2945"/>
    </row>
    <row r="2946" spans="3:4" x14ac:dyDescent="0.25">
      <c r="C2946"/>
      <c r="D2946"/>
    </row>
    <row r="2947" spans="3:4" x14ac:dyDescent="0.25">
      <c r="C2947"/>
      <c r="D2947"/>
    </row>
    <row r="2948" spans="3:4" x14ac:dyDescent="0.25">
      <c r="C2948"/>
      <c r="D2948"/>
    </row>
    <row r="2949" spans="3:4" x14ac:dyDescent="0.25">
      <c r="C2949"/>
      <c r="D2949"/>
    </row>
    <row r="2950" spans="3:4" x14ac:dyDescent="0.25">
      <c r="C2950"/>
      <c r="D2950"/>
    </row>
    <row r="2951" spans="3:4" x14ac:dyDescent="0.25">
      <c r="C2951"/>
      <c r="D2951"/>
    </row>
    <row r="2952" spans="3:4" x14ac:dyDescent="0.25">
      <c r="C2952"/>
      <c r="D2952"/>
    </row>
    <row r="2953" spans="3:4" x14ac:dyDescent="0.25">
      <c r="C2953"/>
      <c r="D2953"/>
    </row>
    <row r="2954" spans="3:4" x14ac:dyDescent="0.25">
      <c r="C2954"/>
      <c r="D2954"/>
    </row>
    <row r="2955" spans="3:4" x14ac:dyDescent="0.25">
      <c r="C2955"/>
      <c r="D2955"/>
    </row>
    <row r="2956" spans="3:4" x14ac:dyDescent="0.25">
      <c r="C2956"/>
      <c r="D2956"/>
    </row>
    <row r="2957" spans="3:4" x14ac:dyDescent="0.25">
      <c r="C2957"/>
      <c r="D2957"/>
    </row>
    <row r="2958" spans="3:4" x14ac:dyDescent="0.25">
      <c r="C2958"/>
      <c r="D2958"/>
    </row>
    <row r="2959" spans="3:4" x14ac:dyDescent="0.25">
      <c r="C2959"/>
      <c r="D2959"/>
    </row>
    <row r="2960" spans="3:4" x14ac:dyDescent="0.25">
      <c r="C2960"/>
      <c r="D2960"/>
    </row>
    <row r="2961" spans="3:4" x14ac:dyDescent="0.25">
      <c r="C2961"/>
      <c r="D2961"/>
    </row>
    <row r="2962" spans="3:4" x14ac:dyDescent="0.25">
      <c r="C2962"/>
      <c r="D2962"/>
    </row>
    <row r="2963" spans="3:4" x14ac:dyDescent="0.25">
      <c r="C2963"/>
      <c r="D2963"/>
    </row>
    <row r="2964" spans="3:4" x14ac:dyDescent="0.25">
      <c r="C2964"/>
      <c r="D2964"/>
    </row>
    <row r="2965" spans="3:4" x14ac:dyDescent="0.25">
      <c r="C2965"/>
      <c r="D2965"/>
    </row>
    <row r="2966" spans="3:4" x14ac:dyDescent="0.25">
      <c r="C2966"/>
      <c r="D2966"/>
    </row>
    <row r="2967" spans="3:4" x14ac:dyDescent="0.25">
      <c r="C2967"/>
      <c r="D2967"/>
    </row>
    <row r="2968" spans="3:4" x14ac:dyDescent="0.25">
      <c r="C2968"/>
      <c r="D2968"/>
    </row>
    <row r="2969" spans="3:4" x14ac:dyDescent="0.25">
      <c r="C2969"/>
      <c r="D2969"/>
    </row>
    <row r="2970" spans="3:4" x14ac:dyDescent="0.25">
      <c r="C2970"/>
      <c r="D2970"/>
    </row>
    <row r="2971" spans="3:4" x14ac:dyDescent="0.25">
      <c r="C2971"/>
      <c r="D2971"/>
    </row>
    <row r="2972" spans="3:4" x14ac:dyDescent="0.25">
      <c r="C2972"/>
      <c r="D2972"/>
    </row>
    <row r="2973" spans="3:4" x14ac:dyDescent="0.25">
      <c r="C2973"/>
      <c r="D2973"/>
    </row>
    <row r="2974" spans="3:4" x14ac:dyDescent="0.25">
      <c r="C2974"/>
      <c r="D2974"/>
    </row>
    <row r="2975" spans="3:4" x14ac:dyDescent="0.25">
      <c r="C2975"/>
      <c r="D2975"/>
    </row>
    <row r="2976" spans="3:4" x14ac:dyDescent="0.25">
      <c r="C2976"/>
      <c r="D2976"/>
    </row>
    <row r="2977" spans="3:4" x14ac:dyDescent="0.25">
      <c r="C2977"/>
      <c r="D2977"/>
    </row>
    <row r="2978" spans="3:4" x14ac:dyDescent="0.25">
      <c r="C2978"/>
      <c r="D2978"/>
    </row>
    <row r="2979" spans="3:4" x14ac:dyDescent="0.25">
      <c r="C2979"/>
      <c r="D2979"/>
    </row>
    <row r="2980" spans="3:4" x14ac:dyDescent="0.25">
      <c r="C2980"/>
      <c r="D2980"/>
    </row>
    <row r="2981" spans="3:4" x14ac:dyDescent="0.25">
      <c r="C2981"/>
      <c r="D2981"/>
    </row>
    <row r="2982" spans="3:4" x14ac:dyDescent="0.25">
      <c r="C2982"/>
      <c r="D2982"/>
    </row>
    <row r="2983" spans="3:4" x14ac:dyDescent="0.25">
      <c r="C2983"/>
      <c r="D2983"/>
    </row>
    <row r="2984" spans="3:4" x14ac:dyDescent="0.25">
      <c r="C2984"/>
      <c r="D2984"/>
    </row>
    <row r="2985" spans="3:4" x14ac:dyDescent="0.25">
      <c r="C2985"/>
      <c r="D2985"/>
    </row>
    <row r="2986" spans="3:4" x14ac:dyDescent="0.25">
      <c r="C2986"/>
      <c r="D2986"/>
    </row>
    <row r="2987" spans="3:4" x14ac:dyDescent="0.25">
      <c r="C2987"/>
      <c r="D2987"/>
    </row>
    <row r="2988" spans="3:4" x14ac:dyDescent="0.25">
      <c r="C2988"/>
      <c r="D2988"/>
    </row>
    <row r="2989" spans="3:4" x14ac:dyDescent="0.25">
      <c r="C2989"/>
      <c r="D2989"/>
    </row>
    <row r="2990" spans="3:4" x14ac:dyDescent="0.25">
      <c r="C2990"/>
      <c r="D2990"/>
    </row>
    <row r="2991" spans="3:4" x14ac:dyDescent="0.25">
      <c r="C2991"/>
      <c r="D2991"/>
    </row>
    <row r="2992" spans="3:4" x14ac:dyDescent="0.25">
      <c r="C2992"/>
      <c r="D2992"/>
    </row>
    <row r="2993" spans="3:4" x14ac:dyDescent="0.25">
      <c r="C2993"/>
      <c r="D2993"/>
    </row>
    <row r="2994" spans="3:4" x14ac:dyDescent="0.25">
      <c r="C2994"/>
      <c r="D2994"/>
    </row>
    <row r="2995" spans="3:4" x14ac:dyDescent="0.25">
      <c r="C2995"/>
      <c r="D2995"/>
    </row>
    <row r="2996" spans="3:4" x14ac:dyDescent="0.25">
      <c r="C2996"/>
      <c r="D2996"/>
    </row>
    <row r="2997" spans="3:4" x14ac:dyDescent="0.25">
      <c r="C2997"/>
      <c r="D2997"/>
    </row>
    <row r="2998" spans="3:4" x14ac:dyDescent="0.25">
      <c r="C2998"/>
      <c r="D2998"/>
    </row>
    <row r="2999" spans="3:4" x14ac:dyDescent="0.25">
      <c r="C2999"/>
      <c r="D2999"/>
    </row>
    <row r="3000" spans="3:4" x14ac:dyDescent="0.25">
      <c r="C3000"/>
      <c r="D3000"/>
    </row>
    <row r="3001" spans="3:4" x14ac:dyDescent="0.25">
      <c r="C3001"/>
      <c r="D3001"/>
    </row>
    <row r="3002" spans="3:4" x14ac:dyDescent="0.25">
      <c r="C3002"/>
      <c r="D3002"/>
    </row>
    <row r="3003" spans="3:4" x14ac:dyDescent="0.25">
      <c r="C3003"/>
      <c r="D3003"/>
    </row>
    <row r="3004" spans="3:4" x14ac:dyDescent="0.25">
      <c r="C3004"/>
      <c r="D3004"/>
    </row>
    <row r="3005" spans="3:4" x14ac:dyDescent="0.25">
      <c r="C3005"/>
      <c r="D3005"/>
    </row>
    <row r="3006" spans="3:4" x14ac:dyDescent="0.25">
      <c r="C3006"/>
      <c r="D3006"/>
    </row>
    <row r="3007" spans="3:4" x14ac:dyDescent="0.25">
      <c r="C3007"/>
      <c r="D3007"/>
    </row>
    <row r="3008" spans="3:4" x14ac:dyDescent="0.25">
      <c r="C3008"/>
      <c r="D3008"/>
    </row>
    <row r="3009" spans="3:4" x14ac:dyDescent="0.25">
      <c r="C3009"/>
      <c r="D3009"/>
    </row>
    <row r="3010" spans="3:4" x14ac:dyDescent="0.25">
      <c r="C3010"/>
      <c r="D3010"/>
    </row>
    <row r="3011" spans="3:4" x14ac:dyDescent="0.25">
      <c r="C3011"/>
      <c r="D3011"/>
    </row>
    <row r="3012" spans="3:4" x14ac:dyDescent="0.25">
      <c r="C3012"/>
      <c r="D3012"/>
    </row>
    <row r="3013" spans="3:4" x14ac:dyDescent="0.25">
      <c r="C3013"/>
      <c r="D3013"/>
    </row>
    <row r="3014" spans="3:4" x14ac:dyDescent="0.25">
      <c r="C3014"/>
      <c r="D3014"/>
    </row>
    <row r="3015" spans="3:4" x14ac:dyDescent="0.25">
      <c r="C3015"/>
      <c r="D3015"/>
    </row>
    <row r="3016" spans="3:4" x14ac:dyDescent="0.25">
      <c r="C3016"/>
      <c r="D3016"/>
    </row>
    <row r="3017" spans="3:4" x14ac:dyDescent="0.25">
      <c r="C3017"/>
      <c r="D3017"/>
    </row>
    <row r="3018" spans="3:4" x14ac:dyDescent="0.25">
      <c r="C3018"/>
      <c r="D3018"/>
    </row>
    <row r="3019" spans="3:4" x14ac:dyDescent="0.25">
      <c r="C3019"/>
      <c r="D3019"/>
    </row>
    <row r="3020" spans="3:4" x14ac:dyDescent="0.25">
      <c r="C3020"/>
      <c r="D3020"/>
    </row>
    <row r="3021" spans="3:4" x14ac:dyDescent="0.25">
      <c r="C3021"/>
      <c r="D3021"/>
    </row>
    <row r="3022" spans="3:4" x14ac:dyDescent="0.25">
      <c r="C3022"/>
      <c r="D3022"/>
    </row>
    <row r="3023" spans="3:4" x14ac:dyDescent="0.25">
      <c r="C3023"/>
      <c r="D3023"/>
    </row>
    <row r="3024" spans="3:4" x14ac:dyDescent="0.25">
      <c r="C3024"/>
      <c r="D3024"/>
    </row>
    <row r="3025" spans="3:4" x14ac:dyDescent="0.25">
      <c r="C3025"/>
      <c r="D3025"/>
    </row>
    <row r="3026" spans="3:4" x14ac:dyDescent="0.25">
      <c r="C3026"/>
      <c r="D3026"/>
    </row>
    <row r="3027" spans="3:4" x14ac:dyDescent="0.25">
      <c r="C3027"/>
      <c r="D3027"/>
    </row>
    <row r="3028" spans="3:4" x14ac:dyDescent="0.25">
      <c r="C3028"/>
      <c r="D3028"/>
    </row>
    <row r="3029" spans="3:4" x14ac:dyDescent="0.25">
      <c r="C3029"/>
      <c r="D3029"/>
    </row>
    <row r="3030" spans="3:4" x14ac:dyDescent="0.25">
      <c r="C3030"/>
      <c r="D3030"/>
    </row>
    <row r="3031" spans="3:4" x14ac:dyDescent="0.25">
      <c r="C3031"/>
      <c r="D3031"/>
    </row>
    <row r="3032" spans="3:4" x14ac:dyDescent="0.25">
      <c r="C3032"/>
      <c r="D3032"/>
    </row>
    <row r="3033" spans="3:4" x14ac:dyDescent="0.25">
      <c r="C3033"/>
      <c r="D3033"/>
    </row>
    <row r="3034" spans="3:4" x14ac:dyDescent="0.25">
      <c r="C3034"/>
      <c r="D3034"/>
    </row>
    <row r="3035" spans="3:4" x14ac:dyDescent="0.25">
      <c r="C3035"/>
      <c r="D3035"/>
    </row>
    <row r="3036" spans="3:4" x14ac:dyDescent="0.25">
      <c r="C3036"/>
      <c r="D3036"/>
    </row>
    <row r="3037" spans="3:4" x14ac:dyDescent="0.25">
      <c r="C3037"/>
      <c r="D3037"/>
    </row>
    <row r="3038" spans="3:4" x14ac:dyDescent="0.25">
      <c r="C3038"/>
      <c r="D3038"/>
    </row>
    <row r="3039" spans="3:4" x14ac:dyDescent="0.25">
      <c r="C3039"/>
      <c r="D3039"/>
    </row>
    <row r="3040" spans="3:4" x14ac:dyDescent="0.25">
      <c r="C3040"/>
      <c r="D3040"/>
    </row>
    <row r="3041" spans="3:4" x14ac:dyDescent="0.25">
      <c r="C3041"/>
      <c r="D3041"/>
    </row>
    <row r="3042" spans="3:4" x14ac:dyDescent="0.25">
      <c r="C3042"/>
      <c r="D3042"/>
    </row>
    <row r="3043" spans="3:4" x14ac:dyDescent="0.25">
      <c r="C3043"/>
      <c r="D3043"/>
    </row>
    <row r="3044" spans="3:4" x14ac:dyDescent="0.25">
      <c r="C3044"/>
      <c r="D3044"/>
    </row>
    <row r="3045" spans="3:4" x14ac:dyDescent="0.25">
      <c r="C3045"/>
      <c r="D3045"/>
    </row>
    <row r="3046" spans="3:4" x14ac:dyDescent="0.25">
      <c r="C3046"/>
      <c r="D3046"/>
    </row>
    <row r="3047" spans="3:4" x14ac:dyDescent="0.25">
      <c r="C3047"/>
      <c r="D3047"/>
    </row>
    <row r="3048" spans="3:4" x14ac:dyDescent="0.25">
      <c r="C3048"/>
      <c r="D3048"/>
    </row>
    <row r="3049" spans="3:4" x14ac:dyDescent="0.25">
      <c r="C3049"/>
      <c r="D3049"/>
    </row>
    <row r="3050" spans="3:4" x14ac:dyDescent="0.25">
      <c r="C3050"/>
      <c r="D3050"/>
    </row>
    <row r="3051" spans="3:4" x14ac:dyDescent="0.25">
      <c r="C3051"/>
      <c r="D3051"/>
    </row>
    <row r="3052" spans="3:4" x14ac:dyDescent="0.25">
      <c r="C3052"/>
      <c r="D3052"/>
    </row>
    <row r="3053" spans="3:4" x14ac:dyDescent="0.25">
      <c r="C3053"/>
      <c r="D3053"/>
    </row>
    <row r="3054" spans="3:4" x14ac:dyDescent="0.25">
      <c r="C3054"/>
      <c r="D3054"/>
    </row>
    <row r="3055" spans="3:4" x14ac:dyDescent="0.25">
      <c r="C3055"/>
      <c r="D3055"/>
    </row>
    <row r="3056" spans="3:4" x14ac:dyDescent="0.25">
      <c r="C3056"/>
      <c r="D3056"/>
    </row>
    <row r="3057" spans="3:4" x14ac:dyDescent="0.25">
      <c r="C3057"/>
      <c r="D3057"/>
    </row>
    <row r="3058" spans="3:4" x14ac:dyDescent="0.25">
      <c r="C3058"/>
      <c r="D3058"/>
    </row>
    <row r="3059" spans="3:4" x14ac:dyDescent="0.25">
      <c r="C3059"/>
      <c r="D3059"/>
    </row>
    <row r="3060" spans="3:4" x14ac:dyDescent="0.25">
      <c r="C3060"/>
      <c r="D3060"/>
    </row>
    <row r="3061" spans="3:4" x14ac:dyDescent="0.25">
      <c r="C3061"/>
      <c r="D3061"/>
    </row>
    <row r="3062" spans="3:4" x14ac:dyDescent="0.25">
      <c r="C3062"/>
      <c r="D3062"/>
    </row>
    <row r="3063" spans="3:4" x14ac:dyDescent="0.25">
      <c r="C3063"/>
      <c r="D3063"/>
    </row>
    <row r="3064" spans="3:4" x14ac:dyDescent="0.25">
      <c r="C3064"/>
      <c r="D3064"/>
    </row>
    <row r="3065" spans="3:4" x14ac:dyDescent="0.25">
      <c r="C3065"/>
      <c r="D3065"/>
    </row>
    <row r="3066" spans="3:4" x14ac:dyDescent="0.25">
      <c r="C3066"/>
      <c r="D3066"/>
    </row>
    <row r="3067" spans="3:4" x14ac:dyDescent="0.25">
      <c r="C3067"/>
      <c r="D3067"/>
    </row>
    <row r="3068" spans="3:4" x14ac:dyDescent="0.25">
      <c r="C3068"/>
      <c r="D3068"/>
    </row>
    <row r="3069" spans="3:4" x14ac:dyDescent="0.25">
      <c r="C3069"/>
      <c r="D3069"/>
    </row>
    <row r="3070" spans="3:4" x14ac:dyDescent="0.25">
      <c r="C3070"/>
      <c r="D3070"/>
    </row>
    <row r="3071" spans="3:4" x14ac:dyDescent="0.25">
      <c r="C3071"/>
      <c r="D3071"/>
    </row>
    <row r="3072" spans="3:4" x14ac:dyDescent="0.25">
      <c r="C3072"/>
      <c r="D3072"/>
    </row>
    <row r="3073" spans="3:4" x14ac:dyDescent="0.25">
      <c r="C3073"/>
      <c r="D3073"/>
    </row>
    <row r="3074" spans="3:4" x14ac:dyDescent="0.25">
      <c r="C3074"/>
      <c r="D3074"/>
    </row>
    <row r="3075" spans="3:4" x14ac:dyDescent="0.25">
      <c r="C3075"/>
      <c r="D3075"/>
    </row>
    <row r="3076" spans="3:4" x14ac:dyDescent="0.25">
      <c r="C3076"/>
      <c r="D3076"/>
    </row>
    <row r="3077" spans="3:4" x14ac:dyDescent="0.25">
      <c r="C3077"/>
      <c r="D3077"/>
    </row>
    <row r="3078" spans="3:4" x14ac:dyDescent="0.25">
      <c r="C3078"/>
      <c r="D3078"/>
    </row>
    <row r="3079" spans="3:4" x14ac:dyDescent="0.25">
      <c r="C3079"/>
      <c r="D3079"/>
    </row>
    <row r="3080" spans="3:4" x14ac:dyDescent="0.25">
      <c r="C3080"/>
      <c r="D3080"/>
    </row>
    <row r="3081" spans="3:4" x14ac:dyDescent="0.25">
      <c r="C3081"/>
      <c r="D3081"/>
    </row>
    <row r="3082" spans="3:4" x14ac:dyDescent="0.25">
      <c r="C3082"/>
      <c r="D3082"/>
    </row>
    <row r="3083" spans="3:4" x14ac:dyDescent="0.25">
      <c r="C3083"/>
      <c r="D3083"/>
    </row>
    <row r="3084" spans="3:4" x14ac:dyDescent="0.25">
      <c r="C3084"/>
      <c r="D3084"/>
    </row>
    <row r="3085" spans="3:4" x14ac:dyDescent="0.25">
      <c r="C3085"/>
      <c r="D3085"/>
    </row>
    <row r="3086" spans="3:4" x14ac:dyDescent="0.25">
      <c r="C3086"/>
      <c r="D3086"/>
    </row>
    <row r="3087" spans="3:4" x14ac:dyDescent="0.25">
      <c r="C3087"/>
      <c r="D3087"/>
    </row>
    <row r="3088" spans="3:4" x14ac:dyDescent="0.25">
      <c r="C3088"/>
      <c r="D3088"/>
    </row>
    <row r="3089" spans="3:4" x14ac:dyDescent="0.25">
      <c r="C3089"/>
      <c r="D3089"/>
    </row>
    <row r="3090" spans="3:4" x14ac:dyDescent="0.25">
      <c r="C3090"/>
      <c r="D3090"/>
    </row>
    <row r="3091" spans="3:4" x14ac:dyDescent="0.25">
      <c r="C3091"/>
      <c r="D3091"/>
    </row>
    <row r="3092" spans="3:4" x14ac:dyDescent="0.25">
      <c r="C3092"/>
      <c r="D3092"/>
    </row>
    <row r="3093" spans="3:4" x14ac:dyDescent="0.25">
      <c r="C3093"/>
      <c r="D3093"/>
    </row>
    <row r="3094" spans="3:4" x14ac:dyDescent="0.25">
      <c r="C3094"/>
      <c r="D3094"/>
    </row>
    <row r="3095" spans="3:4" x14ac:dyDescent="0.25">
      <c r="C3095"/>
      <c r="D3095"/>
    </row>
    <row r="3096" spans="3:4" x14ac:dyDescent="0.25">
      <c r="C3096"/>
      <c r="D3096"/>
    </row>
    <row r="3097" spans="3:4" x14ac:dyDescent="0.25">
      <c r="C3097"/>
      <c r="D3097"/>
    </row>
    <row r="3098" spans="3:4" x14ac:dyDescent="0.25">
      <c r="C3098"/>
      <c r="D3098"/>
    </row>
    <row r="3099" spans="3:4" x14ac:dyDescent="0.25">
      <c r="C3099"/>
      <c r="D3099"/>
    </row>
    <row r="3100" spans="3:4" x14ac:dyDescent="0.25">
      <c r="C3100"/>
      <c r="D3100"/>
    </row>
    <row r="3101" spans="3:4" x14ac:dyDescent="0.25">
      <c r="C3101"/>
      <c r="D3101"/>
    </row>
    <row r="3102" spans="3:4" x14ac:dyDescent="0.25">
      <c r="C3102"/>
      <c r="D3102"/>
    </row>
    <row r="3103" spans="3:4" x14ac:dyDescent="0.25">
      <c r="C3103"/>
      <c r="D3103"/>
    </row>
    <row r="3104" spans="3:4" x14ac:dyDescent="0.25">
      <c r="C3104"/>
      <c r="D3104"/>
    </row>
    <row r="3105" spans="3:4" x14ac:dyDescent="0.25">
      <c r="C3105"/>
      <c r="D3105"/>
    </row>
    <row r="3106" spans="3:4" x14ac:dyDescent="0.25">
      <c r="C3106"/>
      <c r="D3106"/>
    </row>
    <row r="3107" spans="3:4" x14ac:dyDescent="0.25">
      <c r="C3107"/>
      <c r="D3107"/>
    </row>
    <row r="3108" spans="3:4" x14ac:dyDescent="0.25">
      <c r="C3108"/>
      <c r="D3108"/>
    </row>
    <row r="3109" spans="3:4" x14ac:dyDescent="0.25">
      <c r="C3109"/>
      <c r="D3109"/>
    </row>
    <row r="3110" spans="3:4" x14ac:dyDescent="0.25">
      <c r="C3110"/>
      <c r="D3110"/>
    </row>
    <row r="3111" spans="3:4" x14ac:dyDescent="0.25">
      <c r="C3111"/>
      <c r="D3111"/>
    </row>
    <row r="3112" spans="3:4" x14ac:dyDescent="0.25">
      <c r="C3112"/>
      <c r="D3112"/>
    </row>
    <row r="3113" spans="3:4" x14ac:dyDescent="0.25">
      <c r="C3113"/>
      <c r="D3113"/>
    </row>
    <row r="3114" spans="3:4" x14ac:dyDescent="0.25">
      <c r="C3114"/>
      <c r="D3114"/>
    </row>
    <row r="3115" spans="3:4" x14ac:dyDescent="0.25">
      <c r="C3115"/>
      <c r="D3115"/>
    </row>
    <row r="3116" spans="3:4" x14ac:dyDescent="0.25">
      <c r="C3116"/>
      <c r="D3116"/>
    </row>
    <row r="3117" spans="3:4" x14ac:dyDescent="0.25">
      <c r="C3117"/>
      <c r="D3117"/>
    </row>
    <row r="3118" spans="3:4" x14ac:dyDescent="0.25">
      <c r="C3118"/>
      <c r="D3118"/>
    </row>
    <row r="3119" spans="3:4" x14ac:dyDescent="0.25">
      <c r="C3119"/>
      <c r="D3119"/>
    </row>
    <row r="3120" spans="3:4" x14ac:dyDescent="0.25">
      <c r="C3120"/>
      <c r="D3120"/>
    </row>
    <row r="3121" spans="3:4" x14ac:dyDescent="0.25">
      <c r="C3121"/>
      <c r="D3121"/>
    </row>
    <row r="3122" spans="3:4" x14ac:dyDescent="0.25">
      <c r="C3122"/>
      <c r="D3122"/>
    </row>
    <row r="3123" spans="3:4" x14ac:dyDescent="0.25">
      <c r="C3123"/>
      <c r="D3123"/>
    </row>
    <row r="3124" spans="3:4" x14ac:dyDescent="0.25">
      <c r="C3124"/>
      <c r="D3124"/>
    </row>
    <row r="3125" spans="3:4" x14ac:dyDescent="0.25">
      <c r="C3125"/>
      <c r="D3125"/>
    </row>
    <row r="3126" spans="3:4" x14ac:dyDescent="0.25">
      <c r="C3126"/>
      <c r="D3126"/>
    </row>
    <row r="3127" spans="3:4" x14ac:dyDescent="0.25">
      <c r="C3127"/>
      <c r="D3127"/>
    </row>
    <row r="3128" spans="3:4" x14ac:dyDescent="0.25">
      <c r="C3128"/>
      <c r="D3128"/>
    </row>
    <row r="3129" spans="3:4" x14ac:dyDescent="0.25">
      <c r="C3129"/>
      <c r="D3129"/>
    </row>
    <row r="3130" spans="3:4" x14ac:dyDescent="0.25">
      <c r="C3130"/>
      <c r="D3130"/>
    </row>
    <row r="3131" spans="3:4" x14ac:dyDescent="0.25">
      <c r="C3131"/>
      <c r="D3131"/>
    </row>
    <row r="3132" spans="3:4" x14ac:dyDescent="0.25">
      <c r="C3132"/>
      <c r="D3132"/>
    </row>
    <row r="3133" spans="3:4" x14ac:dyDescent="0.25">
      <c r="C3133"/>
      <c r="D3133"/>
    </row>
    <row r="3134" spans="3:4" x14ac:dyDescent="0.25">
      <c r="C3134"/>
      <c r="D3134"/>
    </row>
    <row r="3135" spans="3:4" x14ac:dyDescent="0.25">
      <c r="C3135"/>
      <c r="D3135"/>
    </row>
    <row r="3136" spans="3:4" x14ac:dyDescent="0.25">
      <c r="C3136"/>
      <c r="D3136"/>
    </row>
    <row r="3137" spans="3:4" x14ac:dyDescent="0.25">
      <c r="C3137"/>
      <c r="D3137"/>
    </row>
    <row r="3138" spans="3:4" x14ac:dyDescent="0.25">
      <c r="C3138"/>
      <c r="D3138"/>
    </row>
    <row r="3139" spans="3:4" x14ac:dyDescent="0.25">
      <c r="C3139"/>
      <c r="D3139"/>
    </row>
    <row r="3140" spans="3:4" x14ac:dyDescent="0.25">
      <c r="C3140"/>
      <c r="D3140"/>
    </row>
    <row r="3141" spans="3:4" x14ac:dyDescent="0.25">
      <c r="C3141"/>
      <c r="D3141"/>
    </row>
    <row r="3142" spans="3:4" x14ac:dyDescent="0.25">
      <c r="C3142"/>
      <c r="D3142"/>
    </row>
    <row r="3143" spans="3:4" x14ac:dyDescent="0.25">
      <c r="C3143"/>
      <c r="D3143"/>
    </row>
    <row r="3144" spans="3:4" x14ac:dyDescent="0.25">
      <c r="C3144"/>
      <c r="D3144"/>
    </row>
    <row r="3145" spans="3:4" x14ac:dyDescent="0.25">
      <c r="C3145"/>
      <c r="D3145"/>
    </row>
    <row r="3146" spans="3:4" x14ac:dyDescent="0.25">
      <c r="C3146"/>
      <c r="D3146"/>
    </row>
    <row r="3147" spans="3:4" x14ac:dyDescent="0.25">
      <c r="C3147"/>
      <c r="D3147"/>
    </row>
    <row r="3148" spans="3:4" x14ac:dyDescent="0.25">
      <c r="C3148"/>
      <c r="D3148"/>
    </row>
    <row r="3149" spans="3:4" x14ac:dyDescent="0.25">
      <c r="C3149"/>
      <c r="D3149"/>
    </row>
    <row r="3150" spans="3:4" x14ac:dyDescent="0.25">
      <c r="C3150"/>
      <c r="D3150"/>
    </row>
    <row r="3151" spans="3:4" x14ac:dyDescent="0.25">
      <c r="C3151"/>
      <c r="D3151"/>
    </row>
    <row r="3152" spans="3:4" x14ac:dyDescent="0.25">
      <c r="C3152"/>
      <c r="D3152"/>
    </row>
    <row r="3153" spans="3:4" x14ac:dyDescent="0.25">
      <c r="C3153"/>
      <c r="D3153"/>
    </row>
    <row r="3154" spans="3:4" x14ac:dyDescent="0.25">
      <c r="C3154"/>
      <c r="D3154"/>
    </row>
    <row r="3155" spans="3:4" x14ac:dyDescent="0.25">
      <c r="C3155"/>
      <c r="D3155"/>
    </row>
    <row r="3156" spans="3:4" x14ac:dyDescent="0.25">
      <c r="C3156"/>
      <c r="D3156"/>
    </row>
    <row r="3157" spans="3:4" x14ac:dyDescent="0.25">
      <c r="C3157"/>
      <c r="D3157"/>
    </row>
    <row r="3158" spans="3:4" x14ac:dyDescent="0.25">
      <c r="C3158"/>
      <c r="D3158"/>
    </row>
    <row r="3159" spans="3:4" x14ac:dyDescent="0.25">
      <c r="C3159"/>
      <c r="D3159"/>
    </row>
    <row r="3160" spans="3:4" x14ac:dyDescent="0.25">
      <c r="C3160"/>
      <c r="D3160"/>
    </row>
    <row r="3161" spans="3:4" x14ac:dyDescent="0.25">
      <c r="C3161"/>
      <c r="D3161"/>
    </row>
    <row r="3162" spans="3:4" x14ac:dyDescent="0.25">
      <c r="C3162"/>
      <c r="D3162"/>
    </row>
    <row r="3163" spans="3:4" x14ac:dyDescent="0.25">
      <c r="C3163"/>
      <c r="D3163"/>
    </row>
    <row r="3164" spans="3:4" x14ac:dyDescent="0.25">
      <c r="C3164"/>
      <c r="D3164"/>
    </row>
    <row r="3165" spans="3:4" x14ac:dyDescent="0.25">
      <c r="C3165"/>
      <c r="D3165"/>
    </row>
    <row r="3166" spans="3:4" x14ac:dyDescent="0.25">
      <c r="C3166"/>
      <c r="D3166"/>
    </row>
    <row r="3167" spans="3:4" x14ac:dyDescent="0.25">
      <c r="C3167"/>
      <c r="D3167"/>
    </row>
    <row r="3168" spans="3:4" x14ac:dyDescent="0.25">
      <c r="C3168"/>
      <c r="D3168"/>
    </row>
    <row r="3169" spans="3:4" x14ac:dyDescent="0.25">
      <c r="C3169"/>
      <c r="D3169"/>
    </row>
    <row r="3170" spans="3:4" x14ac:dyDescent="0.25">
      <c r="C3170"/>
      <c r="D3170"/>
    </row>
    <row r="3171" spans="3:4" x14ac:dyDescent="0.25">
      <c r="C3171"/>
      <c r="D3171"/>
    </row>
    <row r="3172" spans="3:4" x14ac:dyDescent="0.25">
      <c r="C3172"/>
      <c r="D3172"/>
    </row>
    <row r="3173" spans="3:4" x14ac:dyDescent="0.25">
      <c r="C3173"/>
      <c r="D3173"/>
    </row>
    <row r="3174" spans="3:4" x14ac:dyDescent="0.25">
      <c r="C3174"/>
      <c r="D3174"/>
    </row>
    <row r="3175" spans="3:4" x14ac:dyDescent="0.25">
      <c r="C3175"/>
      <c r="D3175"/>
    </row>
    <row r="3176" spans="3:4" x14ac:dyDescent="0.25">
      <c r="C3176"/>
      <c r="D3176"/>
    </row>
    <row r="3177" spans="3:4" x14ac:dyDescent="0.25">
      <c r="C3177"/>
      <c r="D3177"/>
    </row>
    <row r="3178" spans="3:4" x14ac:dyDescent="0.25">
      <c r="C3178"/>
      <c r="D3178"/>
    </row>
    <row r="3179" spans="3:4" x14ac:dyDescent="0.25">
      <c r="C3179"/>
      <c r="D3179"/>
    </row>
    <row r="3180" spans="3:4" x14ac:dyDescent="0.25">
      <c r="C3180"/>
      <c r="D3180"/>
    </row>
    <row r="3181" spans="3:4" x14ac:dyDescent="0.25">
      <c r="C3181"/>
      <c r="D3181"/>
    </row>
    <row r="3182" spans="3:4" x14ac:dyDescent="0.25">
      <c r="C3182"/>
      <c r="D3182"/>
    </row>
    <row r="3183" spans="3:4" x14ac:dyDescent="0.25">
      <c r="C3183"/>
      <c r="D3183"/>
    </row>
    <row r="3184" spans="3:4" x14ac:dyDescent="0.25">
      <c r="C3184"/>
      <c r="D3184"/>
    </row>
    <row r="3185" spans="3:4" x14ac:dyDescent="0.25">
      <c r="C3185"/>
      <c r="D3185"/>
    </row>
    <row r="3186" spans="3:4" x14ac:dyDescent="0.25">
      <c r="C3186"/>
      <c r="D3186"/>
    </row>
    <row r="3187" spans="3:4" x14ac:dyDescent="0.25">
      <c r="C3187"/>
      <c r="D3187"/>
    </row>
    <row r="3188" spans="3:4" x14ac:dyDescent="0.25">
      <c r="C3188"/>
      <c r="D3188"/>
    </row>
    <row r="3189" spans="3:4" x14ac:dyDescent="0.25">
      <c r="C3189"/>
      <c r="D3189"/>
    </row>
    <row r="3190" spans="3:4" x14ac:dyDescent="0.25">
      <c r="C3190"/>
      <c r="D3190"/>
    </row>
    <row r="3191" spans="3:4" x14ac:dyDescent="0.25">
      <c r="C3191"/>
      <c r="D3191"/>
    </row>
    <row r="3192" spans="3:4" x14ac:dyDescent="0.25">
      <c r="C3192"/>
      <c r="D3192"/>
    </row>
    <row r="3193" spans="3:4" x14ac:dyDescent="0.25">
      <c r="C3193"/>
      <c r="D3193"/>
    </row>
    <row r="3194" spans="3:4" x14ac:dyDescent="0.25">
      <c r="C3194"/>
      <c r="D3194"/>
    </row>
    <row r="3195" spans="3:4" x14ac:dyDescent="0.25">
      <c r="C3195"/>
      <c r="D3195"/>
    </row>
    <row r="3196" spans="3:4" x14ac:dyDescent="0.25">
      <c r="C3196"/>
      <c r="D3196"/>
    </row>
    <row r="3197" spans="3:4" x14ac:dyDescent="0.25">
      <c r="C3197"/>
      <c r="D3197"/>
    </row>
    <row r="3198" spans="3:4" x14ac:dyDescent="0.25">
      <c r="C3198"/>
      <c r="D3198"/>
    </row>
    <row r="3199" spans="3:4" x14ac:dyDescent="0.25">
      <c r="C3199"/>
      <c r="D3199"/>
    </row>
    <row r="3200" spans="3:4" x14ac:dyDescent="0.25">
      <c r="C3200"/>
      <c r="D3200"/>
    </row>
    <row r="3201" spans="3:4" x14ac:dyDescent="0.25">
      <c r="C3201"/>
      <c r="D3201"/>
    </row>
    <row r="3202" spans="3:4" x14ac:dyDescent="0.25">
      <c r="C3202"/>
      <c r="D3202"/>
    </row>
    <row r="3203" spans="3:4" x14ac:dyDescent="0.25">
      <c r="C3203"/>
      <c r="D3203"/>
    </row>
    <row r="3204" spans="3:4" x14ac:dyDescent="0.25">
      <c r="C3204"/>
      <c r="D3204"/>
    </row>
    <row r="3205" spans="3:4" x14ac:dyDescent="0.25">
      <c r="C3205"/>
      <c r="D3205"/>
    </row>
    <row r="3206" spans="3:4" x14ac:dyDescent="0.25">
      <c r="C3206"/>
      <c r="D3206"/>
    </row>
    <row r="3207" spans="3:4" x14ac:dyDescent="0.25">
      <c r="C3207"/>
      <c r="D3207"/>
    </row>
    <row r="3208" spans="3:4" x14ac:dyDescent="0.25">
      <c r="C3208"/>
      <c r="D3208"/>
    </row>
    <row r="3209" spans="3:4" x14ac:dyDescent="0.25">
      <c r="C3209"/>
      <c r="D3209"/>
    </row>
    <row r="3210" spans="3:4" x14ac:dyDescent="0.25">
      <c r="C3210"/>
      <c r="D3210"/>
    </row>
    <row r="3211" spans="3:4" x14ac:dyDescent="0.25">
      <c r="C3211"/>
      <c r="D3211"/>
    </row>
    <row r="3212" spans="3:4" x14ac:dyDescent="0.25">
      <c r="C3212"/>
      <c r="D3212"/>
    </row>
    <row r="3213" spans="3:4" x14ac:dyDescent="0.25">
      <c r="C3213"/>
      <c r="D3213"/>
    </row>
    <row r="3214" spans="3:4" x14ac:dyDescent="0.25">
      <c r="C3214"/>
      <c r="D3214"/>
    </row>
    <row r="3215" spans="3:4" x14ac:dyDescent="0.25">
      <c r="C3215"/>
      <c r="D3215"/>
    </row>
    <row r="3216" spans="3:4" x14ac:dyDescent="0.25">
      <c r="C3216"/>
      <c r="D3216"/>
    </row>
    <row r="3217" spans="3:4" x14ac:dyDescent="0.25">
      <c r="C3217"/>
      <c r="D3217"/>
    </row>
    <row r="3218" spans="3:4" x14ac:dyDescent="0.25">
      <c r="C3218"/>
      <c r="D3218"/>
    </row>
    <row r="3219" spans="3:4" x14ac:dyDescent="0.25">
      <c r="C3219"/>
      <c r="D3219"/>
    </row>
    <row r="3220" spans="3:4" x14ac:dyDescent="0.25">
      <c r="C3220"/>
      <c r="D3220"/>
    </row>
    <row r="3221" spans="3:4" x14ac:dyDescent="0.25">
      <c r="C3221"/>
      <c r="D3221"/>
    </row>
    <row r="3222" spans="3:4" x14ac:dyDescent="0.25">
      <c r="C3222"/>
      <c r="D3222"/>
    </row>
    <row r="3223" spans="3:4" x14ac:dyDescent="0.25">
      <c r="C3223"/>
      <c r="D3223"/>
    </row>
    <row r="3224" spans="3:4" x14ac:dyDescent="0.25">
      <c r="C3224"/>
      <c r="D3224"/>
    </row>
    <row r="3225" spans="3:4" x14ac:dyDescent="0.25">
      <c r="C3225"/>
      <c r="D3225"/>
    </row>
    <row r="3226" spans="3:4" x14ac:dyDescent="0.25">
      <c r="C3226"/>
      <c r="D3226"/>
    </row>
    <row r="3227" spans="3:4" x14ac:dyDescent="0.25">
      <c r="C3227"/>
      <c r="D3227"/>
    </row>
    <row r="3228" spans="3:4" x14ac:dyDescent="0.25">
      <c r="C3228"/>
      <c r="D3228"/>
    </row>
    <row r="3229" spans="3:4" x14ac:dyDescent="0.25">
      <c r="C3229"/>
      <c r="D3229"/>
    </row>
    <row r="3230" spans="3:4" x14ac:dyDescent="0.25">
      <c r="C3230"/>
      <c r="D3230"/>
    </row>
    <row r="3231" spans="3:4" x14ac:dyDescent="0.25">
      <c r="C3231"/>
      <c r="D3231"/>
    </row>
    <row r="3232" spans="3:4" x14ac:dyDescent="0.25">
      <c r="C3232"/>
      <c r="D3232"/>
    </row>
    <row r="3233" spans="3:4" x14ac:dyDescent="0.25">
      <c r="C3233"/>
      <c r="D3233"/>
    </row>
    <row r="3234" spans="3:4" x14ac:dyDescent="0.25">
      <c r="C3234"/>
      <c r="D3234"/>
    </row>
    <row r="3235" spans="3:4" x14ac:dyDescent="0.25">
      <c r="C3235"/>
      <c r="D3235"/>
    </row>
    <row r="3236" spans="3:4" x14ac:dyDescent="0.25">
      <c r="C3236"/>
      <c r="D3236"/>
    </row>
    <row r="3237" spans="3:4" x14ac:dyDescent="0.25">
      <c r="C3237"/>
      <c r="D3237"/>
    </row>
    <row r="3238" spans="3:4" x14ac:dyDescent="0.25">
      <c r="C3238"/>
      <c r="D3238"/>
    </row>
    <row r="3239" spans="3:4" x14ac:dyDescent="0.25">
      <c r="C3239"/>
      <c r="D3239"/>
    </row>
    <row r="3240" spans="3:4" x14ac:dyDescent="0.25">
      <c r="C3240"/>
      <c r="D3240"/>
    </row>
    <row r="3241" spans="3:4" x14ac:dyDescent="0.25">
      <c r="C3241"/>
      <c r="D3241"/>
    </row>
    <row r="3242" spans="3:4" x14ac:dyDescent="0.25">
      <c r="C3242"/>
      <c r="D3242"/>
    </row>
    <row r="3243" spans="3:4" x14ac:dyDescent="0.25">
      <c r="C3243"/>
      <c r="D3243"/>
    </row>
    <row r="3244" spans="3:4" x14ac:dyDescent="0.25">
      <c r="C3244"/>
      <c r="D3244"/>
    </row>
    <row r="3245" spans="3:4" x14ac:dyDescent="0.25">
      <c r="C3245"/>
      <c r="D3245"/>
    </row>
    <row r="3246" spans="3:4" x14ac:dyDescent="0.25">
      <c r="C3246"/>
      <c r="D3246"/>
    </row>
    <row r="3247" spans="3:4" x14ac:dyDescent="0.25">
      <c r="C3247"/>
      <c r="D3247"/>
    </row>
    <row r="3248" spans="3:4" x14ac:dyDescent="0.25">
      <c r="C3248"/>
      <c r="D3248"/>
    </row>
    <row r="3249" spans="3:4" x14ac:dyDescent="0.25">
      <c r="C3249"/>
      <c r="D3249"/>
    </row>
    <row r="3250" spans="3:4" x14ac:dyDescent="0.25">
      <c r="C3250"/>
      <c r="D3250"/>
    </row>
    <row r="3251" spans="3:4" x14ac:dyDescent="0.25">
      <c r="C3251"/>
      <c r="D3251"/>
    </row>
    <row r="3252" spans="3:4" x14ac:dyDescent="0.25">
      <c r="C3252"/>
      <c r="D3252"/>
    </row>
    <row r="3253" spans="3:4" x14ac:dyDescent="0.25">
      <c r="C3253"/>
      <c r="D3253"/>
    </row>
    <row r="3254" spans="3:4" x14ac:dyDescent="0.25">
      <c r="C3254"/>
      <c r="D3254"/>
    </row>
    <row r="3255" spans="3:4" x14ac:dyDescent="0.25">
      <c r="C3255"/>
      <c r="D3255"/>
    </row>
    <row r="3256" spans="3:4" x14ac:dyDescent="0.25">
      <c r="C3256"/>
      <c r="D3256"/>
    </row>
    <row r="3257" spans="3:4" x14ac:dyDescent="0.25">
      <c r="C3257"/>
      <c r="D3257"/>
    </row>
    <row r="3258" spans="3:4" x14ac:dyDescent="0.25">
      <c r="C3258"/>
      <c r="D3258"/>
    </row>
    <row r="3259" spans="3:4" x14ac:dyDescent="0.25">
      <c r="C3259"/>
      <c r="D3259"/>
    </row>
    <row r="3260" spans="3:4" x14ac:dyDescent="0.25">
      <c r="C3260"/>
      <c r="D3260"/>
    </row>
    <row r="3261" spans="3:4" x14ac:dyDescent="0.25">
      <c r="C3261"/>
      <c r="D3261"/>
    </row>
    <row r="3262" spans="3:4" x14ac:dyDescent="0.25">
      <c r="C3262"/>
      <c r="D3262"/>
    </row>
    <row r="3263" spans="3:4" x14ac:dyDescent="0.25">
      <c r="C3263"/>
      <c r="D3263"/>
    </row>
    <row r="3264" spans="3:4" x14ac:dyDescent="0.25">
      <c r="C3264"/>
      <c r="D3264"/>
    </row>
    <row r="3265" spans="3:4" x14ac:dyDescent="0.25">
      <c r="C3265"/>
      <c r="D3265"/>
    </row>
    <row r="3266" spans="3:4" x14ac:dyDescent="0.25">
      <c r="C3266"/>
      <c r="D3266"/>
    </row>
    <row r="3267" spans="3:4" x14ac:dyDescent="0.25">
      <c r="C3267"/>
      <c r="D3267"/>
    </row>
    <row r="3268" spans="3:4" x14ac:dyDescent="0.25">
      <c r="C3268"/>
      <c r="D3268"/>
    </row>
    <row r="3269" spans="3:4" x14ac:dyDescent="0.25">
      <c r="C3269"/>
      <c r="D3269"/>
    </row>
    <row r="3270" spans="3:4" x14ac:dyDescent="0.25">
      <c r="C3270"/>
      <c r="D3270"/>
    </row>
    <row r="3271" spans="3:4" x14ac:dyDescent="0.25">
      <c r="C3271"/>
      <c r="D3271"/>
    </row>
    <row r="3272" spans="3:4" x14ac:dyDescent="0.25">
      <c r="C3272"/>
      <c r="D3272"/>
    </row>
    <row r="3273" spans="3:4" x14ac:dyDescent="0.25">
      <c r="C3273"/>
      <c r="D3273"/>
    </row>
    <row r="3274" spans="3:4" x14ac:dyDescent="0.25">
      <c r="C3274"/>
      <c r="D3274"/>
    </row>
    <row r="3275" spans="3:4" x14ac:dyDescent="0.25">
      <c r="C3275"/>
      <c r="D3275"/>
    </row>
    <row r="3276" spans="3:4" x14ac:dyDescent="0.25">
      <c r="C3276"/>
      <c r="D3276"/>
    </row>
    <row r="3277" spans="3:4" x14ac:dyDescent="0.25">
      <c r="C3277"/>
      <c r="D3277"/>
    </row>
    <row r="3278" spans="3:4" x14ac:dyDescent="0.25">
      <c r="C3278"/>
      <c r="D3278"/>
    </row>
    <row r="3279" spans="3:4" x14ac:dyDescent="0.25">
      <c r="C3279"/>
      <c r="D3279"/>
    </row>
    <row r="3280" spans="3:4" x14ac:dyDescent="0.25">
      <c r="C3280"/>
      <c r="D3280"/>
    </row>
    <row r="3281" spans="3:4" x14ac:dyDescent="0.25">
      <c r="C3281"/>
      <c r="D3281"/>
    </row>
    <row r="3282" spans="3:4" x14ac:dyDescent="0.25">
      <c r="C3282"/>
      <c r="D3282"/>
    </row>
    <row r="3283" spans="3:4" x14ac:dyDescent="0.25">
      <c r="C3283"/>
      <c r="D3283"/>
    </row>
    <row r="3284" spans="3:4" x14ac:dyDescent="0.25">
      <c r="C3284"/>
      <c r="D3284"/>
    </row>
    <row r="3285" spans="3:4" x14ac:dyDescent="0.25">
      <c r="C3285"/>
      <c r="D3285"/>
    </row>
    <row r="3286" spans="3:4" x14ac:dyDescent="0.25">
      <c r="C3286"/>
      <c r="D3286"/>
    </row>
    <row r="3287" spans="3:4" x14ac:dyDescent="0.25">
      <c r="C3287"/>
      <c r="D3287"/>
    </row>
    <row r="3288" spans="3:4" x14ac:dyDescent="0.25">
      <c r="C3288"/>
      <c r="D3288"/>
    </row>
    <row r="3289" spans="3:4" x14ac:dyDescent="0.25">
      <c r="C3289"/>
      <c r="D3289"/>
    </row>
    <row r="3290" spans="3:4" x14ac:dyDescent="0.25">
      <c r="C3290"/>
      <c r="D3290"/>
    </row>
    <row r="3291" spans="3:4" x14ac:dyDescent="0.25">
      <c r="C3291"/>
      <c r="D3291"/>
    </row>
    <row r="3292" spans="3:4" x14ac:dyDescent="0.25">
      <c r="C3292"/>
      <c r="D3292"/>
    </row>
    <row r="3293" spans="3:4" x14ac:dyDescent="0.25">
      <c r="C3293"/>
      <c r="D3293"/>
    </row>
    <row r="3294" spans="3:4" x14ac:dyDescent="0.25">
      <c r="C3294"/>
      <c r="D3294"/>
    </row>
    <row r="3295" spans="3:4" x14ac:dyDescent="0.25">
      <c r="C3295"/>
      <c r="D3295"/>
    </row>
    <row r="3296" spans="3:4" x14ac:dyDescent="0.25">
      <c r="C3296"/>
      <c r="D3296"/>
    </row>
    <row r="3297" spans="3:4" x14ac:dyDescent="0.25">
      <c r="C3297"/>
      <c r="D3297"/>
    </row>
    <row r="3298" spans="3:4" x14ac:dyDescent="0.25">
      <c r="C3298"/>
      <c r="D3298"/>
    </row>
    <row r="3299" spans="3:4" x14ac:dyDescent="0.25">
      <c r="C3299"/>
      <c r="D3299"/>
    </row>
    <row r="3300" spans="3:4" x14ac:dyDescent="0.25">
      <c r="C3300"/>
      <c r="D3300"/>
    </row>
    <row r="3301" spans="3:4" x14ac:dyDescent="0.25">
      <c r="C3301"/>
      <c r="D3301"/>
    </row>
    <row r="3302" spans="3:4" x14ac:dyDescent="0.25">
      <c r="C3302"/>
      <c r="D3302"/>
    </row>
    <row r="3303" spans="3:4" x14ac:dyDescent="0.25">
      <c r="C3303"/>
      <c r="D3303"/>
    </row>
    <row r="3304" spans="3:4" x14ac:dyDescent="0.25">
      <c r="C3304"/>
      <c r="D3304"/>
    </row>
    <row r="3305" spans="3:4" x14ac:dyDescent="0.25">
      <c r="C3305"/>
      <c r="D3305"/>
    </row>
    <row r="3306" spans="3:4" x14ac:dyDescent="0.25">
      <c r="C3306"/>
      <c r="D3306"/>
    </row>
    <row r="3307" spans="3:4" x14ac:dyDescent="0.25">
      <c r="C3307"/>
      <c r="D3307"/>
    </row>
    <row r="3308" spans="3:4" x14ac:dyDescent="0.25">
      <c r="C3308"/>
      <c r="D3308"/>
    </row>
    <row r="3309" spans="3:4" x14ac:dyDescent="0.25">
      <c r="C3309"/>
      <c r="D3309"/>
    </row>
    <row r="3310" spans="3:4" x14ac:dyDescent="0.25">
      <c r="C3310"/>
      <c r="D3310"/>
    </row>
    <row r="3311" spans="3:4" x14ac:dyDescent="0.25">
      <c r="C3311"/>
      <c r="D3311"/>
    </row>
    <row r="3312" spans="3:4" x14ac:dyDescent="0.25">
      <c r="C3312"/>
      <c r="D3312"/>
    </row>
    <row r="3313" spans="3:4" x14ac:dyDescent="0.25">
      <c r="C3313"/>
      <c r="D3313"/>
    </row>
    <row r="3314" spans="3:4" x14ac:dyDescent="0.25">
      <c r="C3314"/>
      <c r="D3314"/>
    </row>
    <row r="3315" spans="3:4" x14ac:dyDescent="0.25">
      <c r="C3315"/>
      <c r="D3315"/>
    </row>
    <row r="3316" spans="3:4" x14ac:dyDescent="0.25">
      <c r="C3316"/>
      <c r="D3316"/>
    </row>
    <row r="3317" spans="3:4" x14ac:dyDescent="0.25">
      <c r="C3317"/>
      <c r="D3317"/>
    </row>
    <row r="3318" spans="3:4" x14ac:dyDescent="0.25">
      <c r="C3318"/>
      <c r="D3318"/>
    </row>
    <row r="3319" spans="3:4" x14ac:dyDescent="0.25">
      <c r="C3319"/>
      <c r="D3319"/>
    </row>
    <row r="3320" spans="3:4" x14ac:dyDescent="0.25">
      <c r="C3320"/>
      <c r="D3320"/>
    </row>
    <row r="3321" spans="3:4" x14ac:dyDescent="0.25">
      <c r="C3321"/>
      <c r="D3321"/>
    </row>
    <row r="3322" spans="3:4" x14ac:dyDescent="0.25">
      <c r="C3322"/>
      <c r="D3322"/>
    </row>
    <row r="3323" spans="3:4" x14ac:dyDescent="0.25">
      <c r="C3323"/>
      <c r="D3323"/>
    </row>
    <row r="3324" spans="3:4" x14ac:dyDescent="0.25">
      <c r="C3324"/>
      <c r="D3324"/>
    </row>
    <row r="3325" spans="3:4" x14ac:dyDescent="0.25">
      <c r="C3325"/>
      <c r="D3325"/>
    </row>
    <row r="3326" spans="3:4" x14ac:dyDescent="0.25">
      <c r="C3326"/>
      <c r="D3326"/>
    </row>
    <row r="3327" spans="3:4" x14ac:dyDescent="0.25">
      <c r="C3327"/>
      <c r="D3327"/>
    </row>
    <row r="3328" spans="3:4" x14ac:dyDescent="0.25">
      <c r="C3328"/>
      <c r="D3328"/>
    </row>
    <row r="3329" spans="3:4" x14ac:dyDescent="0.25">
      <c r="C3329"/>
      <c r="D3329"/>
    </row>
    <row r="3330" spans="3:4" x14ac:dyDescent="0.25">
      <c r="C3330"/>
      <c r="D3330"/>
    </row>
    <row r="3331" spans="3:4" x14ac:dyDescent="0.25">
      <c r="C3331"/>
      <c r="D3331"/>
    </row>
    <row r="3332" spans="3:4" x14ac:dyDescent="0.25">
      <c r="C3332"/>
      <c r="D3332"/>
    </row>
    <row r="3333" spans="3:4" x14ac:dyDescent="0.25">
      <c r="C3333"/>
      <c r="D3333"/>
    </row>
    <row r="3334" spans="3:4" x14ac:dyDescent="0.25">
      <c r="C3334"/>
      <c r="D3334"/>
    </row>
    <row r="3335" spans="3:4" x14ac:dyDescent="0.25">
      <c r="C3335"/>
      <c r="D3335"/>
    </row>
    <row r="3336" spans="3:4" x14ac:dyDescent="0.25">
      <c r="C3336"/>
      <c r="D3336"/>
    </row>
    <row r="3337" spans="3:4" x14ac:dyDescent="0.25">
      <c r="C3337"/>
      <c r="D3337"/>
    </row>
    <row r="3338" spans="3:4" x14ac:dyDescent="0.25">
      <c r="C3338"/>
      <c r="D3338"/>
    </row>
    <row r="3339" spans="3:4" x14ac:dyDescent="0.25">
      <c r="C3339"/>
      <c r="D3339"/>
    </row>
    <row r="3340" spans="3:4" x14ac:dyDescent="0.25">
      <c r="C3340"/>
      <c r="D3340"/>
    </row>
    <row r="3341" spans="3:4" x14ac:dyDescent="0.25">
      <c r="C3341"/>
      <c r="D3341"/>
    </row>
    <row r="3342" spans="3:4" x14ac:dyDescent="0.25">
      <c r="C3342"/>
      <c r="D3342"/>
    </row>
    <row r="3343" spans="3:4" x14ac:dyDescent="0.25">
      <c r="C3343"/>
      <c r="D3343"/>
    </row>
    <row r="3344" spans="3:4" x14ac:dyDescent="0.25">
      <c r="C3344"/>
      <c r="D3344"/>
    </row>
    <row r="3345" spans="3:4" x14ac:dyDescent="0.25">
      <c r="C3345"/>
      <c r="D3345"/>
    </row>
    <row r="3346" spans="3:4" x14ac:dyDescent="0.25">
      <c r="C3346"/>
      <c r="D3346"/>
    </row>
    <row r="3347" spans="3:4" x14ac:dyDescent="0.25">
      <c r="C3347"/>
      <c r="D3347"/>
    </row>
    <row r="3348" spans="3:4" x14ac:dyDescent="0.25">
      <c r="C3348"/>
      <c r="D3348"/>
    </row>
    <row r="3349" spans="3:4" x14ac:dyDescent="0.25">
      <c r="C3349"/>
      <c r="D3349"/>
    </row>
    <row r="3350" spans="3:4" x14ac:dyDescent="0.25">
      <c r="C3350"/>
      <c r="D3350"/>
    </row>
    <row r="3351" spans="3:4" x14ac:dyDescent="0.25">
      <c r="C3351"/>
      <c r="D3351"/>
    </row>
    <row r="3352" spans="3:4" x14ac:dyDescent="0.25">
      <c r="C3352"/>
      <c r="D3352"/>
    </row>
    <row r="3353" spans="3:4" x14ac:dyDescent="0.25">
      <c r="C3353"/>
      <c r="D3353"/>
    </row>
    <row r="3354" spans="3:4" x14ac:dyDescent="0.25">
      <c r="C3354"/>
      <c r="D3354"/>
    </row>
    <row r="3355" spans="3:4" x14ac:dyDescent="0.25">
      <c r="C3355"/>
      <c r="D3355"/>
    </row>
    <row r="3356" spans="3:4" x14ac:dyDescent="0.25">
      <c r="C3356"/>
      <c r="D3356"/>
    </row>
    <row r="3357" spans="3:4" x14ac:dyDescent="0.25">
      <c r="C3357"/>
      <c r="D3357"/>
    </row>
    <row r="3358" spans="3:4" x14ac:dyDescent="0.25">
      <c r="C3358"/>
      <c r="D3358"/>
    </row>
    <row r="3359" spans="3:4" x14ac:dyDescent="0.25">
      <c r="C3359"/>
      <c r="D3359"/>
    </row>
    <row r="3360" spans="3:4" x14ac:dyDescent="0.25">
      <c r="C3360"/>
      <c r="D3360"/>
    </row>
    <row r="3361" spans="3:4" x14ac:dyDescent="0.25">
      <c r="C3361"/>
      <c r="D3361"/>
    </row>
    <row r="3362" spans="3:4" x14ac:dyDescent="0.25">
      <c r="C3362"/>
      <c r="D3362"/>
    </row>
    <row r="3363" spans="3:4" x14ac:dyDescent="0.25">
      <c r="C3363"/>
      <c r="D3363"/>
    </row>
    <row r="3364" spans="3:4" x14ac:dyDescent="0.25">
      <c r="C3364"/>
      <c r="D3364"/>
    </row>
    <row r="3365" spans="3:4" x14ac:dyDescent="0.25">
      <c r="C3365"/>
      <c r="D3365"/>
    </row>
    <row r="3366" spans="3:4" x14ac:dyDescent="0.25">
      <c r="C3366"/>
      <c r="D3366"/>
    </row>
    <row r="3367" spans="3:4" x14ac:dyDescent="0.25">
      <c r="C3367"/>
      <c r="D3367"/>
    </row>
    <row r="3368" spans="3:4" x14ac:dyDescent="0.25">
      <c r="C3368"/>
      <c r="D3368"/>
    </row>
    <row r="3369" spans="3:4" x14ac:dyDescent="0.25">
      <c r="C3369"/>
      <c r="D3369"/>
    </row>
    <row r="3370" spans="3:4" x14ac:dyDescent="0.25">
      <c r="C3370"/>
      <c r="D3370"/>
    </row>
    <row r="3371" spans="3:4" x14ac:dyDescent="0.25">
      <c r="C3371"/>
      <c r="D3371"/>
    </row>
    <row r="3372" spans="3:4" x14ac:dyDescent="0.25">
      <c r="C3372"/>
      <c r="D3372"/>
    </row>
    <row r="3373" spans="3:4" x14ac:dyDescent="0.25">
      <c r="C3373"/>
      <c r="D3373"/>
    </row>
    <row r="3374" spans="3:4" x14ac:dyDescent="0.25">
      <c r="C3374"/>
      <c r="D3374"/>
    </row>
    <row r="3375" spans="3:4" x14ac:dyDescent="0.25">
      <c r="C3375"/>
      <c r="D3375"/>
    </row>
    <row r="3376" spans="3:4" x14ac:dyDescent="0.25">
      <c r="C3376"/>
      <c r="D3376"/>
    </row>
    <row r="3377" spans="3:4" x14ac:dyDescent="0.25">
      <c r="C3377"/>
      <c r="D3377"/>
    </row>
    <row r="3378" spans="3:4" x14ac:dyDescent="0.25">
      <c r="C3378"/>
      <c r="D3378"/>
    </row>
    <row r="3379" spans="3:4" x14ac:dyDescent="0.25">
      <c r="C3379"/>
      <c r="D3379"/>
    </row>
    <row r="3380" spans="3:4" x14ac:dyDescent="0.25">
      <c r="C3380"/>
      <c r="D3380"/>
    </row>
    <row r="3381" spans="3:4" x14ac:dyDescent="0.25">
      <c r="C3381"/>
      <c r="D3381"/>
    </row>
    <row r="3382" spans="3:4" x14ac:dyDescent="0.25">
      <c r="C3382"/>
      <c r="D3382"/>
    </row>
    <row r="3383" spans="3:4" x14ac:dyDescent="0.25">
      <c r="C3383"/>
      <c r="D3383"/>
    </row>
    <row r="3384" spans="3:4" x14ac:dyDescent="0.25">
      <c r="C3384"/>
      <c r="D3384"/>
    </row>
    <row r="3385" spans="3:4" x14ac:dyDescent="0.25">
      <c r="C3385"/>
      <c r="D3385"/>
    </row>
    <row r="3386" spans="3:4" x14ac:dyDescent="0.25">
      <c r="C3386"/>
      <c r="D3386"/>
    </row>
    <row r="3387" spans="3:4" x14ac:dyDescent="0.25">
      <c r="C3387"/>
      <c r="D3387"/>
    </row>
    <row r="3388" spans="3:4" x14ac:dyDescent="0.25">
      <c r="C3388"/>
      <c r="D3388"/>
    </row>
    <row r="3389" spans="3:4" x14ac:dyDescent="0.25">
      <c r="C3389"/>
      <c r="D3389"/>
    </row>
    <row r="3390" spans="3:4" x14ac:dyDescent="0.25">
      <c r="C3390"/>
      <c r="D3390"/>
    </row>
    <row r="3391" spans="3:4" x14ac:dyDescent="0.25">
      <c r="C3391"/>
      <c r="D3391"/>
    </row>
    <row r="3392" spans="3:4" x14ac:dyDescent="0.25">
      <c r="C3392"/>
      <c r="D3392"/>
    </row>
    <row r="3393" spans="3:4" x14ac:dyDescent="0.25">
      <c r="C3393"/>
      <c r="D3393"/>
    </row>
    <row r="3394" spans="3:4" x14ac:dyDescent="0.25">
      <c r="C3394"/>
      <c r="D3394"/>
    </row>
    <row r="3395" spans="3:4" x14ac:dyDescent="0.25">
      <c r="C3395"/>
      <c r="D3395"/>
    </row>
    <row r="3396" spans="3:4" x14ac:dyDescent="0.25">
      <c r="C3396"/>
      <c r="D3396"/>
    </row>
    <row r="3397" spans="3:4" x14ac:dyDescent="0.25">
      <c r="C3397"/>
      <c r="D3397"/>
    </row>
    <row r="3398" spans="3:4" x14ac:dyDescent="0.25">
      <c r="C3398"/>
      <c r="D3398"/>
    </row>
    <row r="3399" spans="3:4" x14ac:dyDescent="0.25">
      <c r="C3399"/>
      <c r="D3399"/>
    </row>
    <row r="3400" spans="3:4" x14ac:dyDescent="0.25">
      <c r="C3400"/>
      <c r="D3400"/>
    </row>
    <row r="3401" spans="3:4" x14ac:dyDescent="0.25">
      <c r="C3401"/>
      <c r="D3401"/>
    </row>
    <row r="3402" spans="3:4" x14ac:dyDescent="0.25">
      <c r="C3402"/>
      <c r="D3402"/>
    </row>
    <row r="3403" spans="3:4" x14ac:dyDescent="0.25">
      <c r="C3403"/>
      <c r="D3403"/>
    </row>
    <row r="3404" spans="3:4" x14ac:dyDescent="0.25">
      <c r="C3404"/>
      <c r="D3404"/>
    </row>
    <row r="3405" spans="3:4" x14ac:dyDescent="0.25">
      <c r="C3405"/>
      <c r="D3405"/>
    </row>
    <row r="3406" spans="3:4" x14ac:dyDescent="0.25">
      <c r="C3406"/>
      <c r="D3406"/>
    </row>
    <row r="3407" spans="3:4" x14ac:dyDescent="0.25">
      <c r="C3407"/>
      <c r="D3407"/>
    </row>
    <row r="3408" spans="3:4" x14ac:dyDescent="0.25">
      <c r="C3408"/>
      <c r="D3408"/>
    </row>
    <row r="3409" spans="3:4" x14ac:dyDescent="0.25">
      <c r="C3409"/>
      <c r="D3409"/>
    </row>
    <row r="3410" spans="3:4" x14ac:dyDescent="0.25">
      <c r="C3410"/>
      <c r="D3410"/>
    </row>
    <row r="3411" spans="3:4" x14ac:dyDescent="0.25">
      <c r="C3411"/>
      <c r="D3411"/>
    </row>
    <row r="3412" spans="3:4" x14ac:dyDescent="0.25">
      <c r="C3412"/>
      <c r="D3412"/>
    </row>
    <row r="3413" spans="3:4" x14ac:dyDescent="0.25">
      <c r="C3413"/>
      <c r="D3413"/>
    </row>
    <row r="3414" spans="3:4" x14ac:dyDescent="0.25">
      <c r="C3414"/>
      <c r="D3414"/>
    </row>
    <row r="3415" spans="3:4" x14ac:dyDescent="0.25">
      <c r="C3415"/>
      <c r="D3415"/>
    </row>
    <row r="3416" spans="3:4" x14ac:dyDescent="0.25">
      <c r="C3416"/>
      <c r="D3416"/>
    </row>
    <row r="3417" spans="3:4" x14ac:dyDescent="0.25">
      <c r="C3417"/>
      <c r="D3417"/>
    </row>
    <row r="3418" spans="3:4" x14ac:dyDescent="0.25">
      <c r="C3418"/>
      <c r="D3418"/>
    </row>
    <row r="3419" spans="3:4" x14ac:dyDescent="0.25">
      <c r="C3419"/>
      <c r="D3419"/>
    </row>
    <row r="3420" spans="3:4" x14ac:dyDescent="0.25">
      <c r="C3420"/>
      <c r="D3420"/>
    </row>
    <row r="3421" spans="3:4" x14ac:dyDescent="0.25">
      <c r="C3421"/>
      <c r="D3421"/>
    </row>
    <row r="3422" spans="3:4" x14ac:dyDescent="0.25">
      <c r="C3422"/>
      <c r="D3422"/>
    </row>
    <row r="3423" spans="3:4" x14ac:dyDescent="0.25">
      <c r="C3423"/>
      <c r="D3423"/>
    </row>
    <row r="3424" spans="3:4" x14ac:dyDescent="0.25">
      <c r="C3424"/>
      <c r="D3424"/>
    </row>
    <row r="3425" spans="3:4" x14ac:dyDescent="0.25">
      <c r="C3425"/>
      <c r="D3425"/>
    </row>
    <row r="3426" spans="3:4" x14ac:dyDescent="0.25">
      <c r="C3426"/>
      <c r="D3426"/>
    </row>
    <row r="3427" spans="3:4" x14ac:dyDescent="0.25">
      <c r="C3427"/>
      <c r="D3427"/>
    </row>
    <row r="3428" spans="3:4" x14ac:dyDescent="0.25">
      <c r="C3428"/>
      <c r="D3428"/>
    </row>
    <row r="3429" spans="3:4" x14ac:dyDescent="0.25">
      <c r="C3429"/>
      <c r="D3429"/>
    </row>
    <row r="3430" spans="3:4" x14ac:dyDescent="0.25">
      <c r="C3430"/>
      <c r="D3430"/>
    </row>
    <row r="3431" spans="3:4" x14ac:dyDescent="0.25">
      <c r="C3431"/>
      <c r="D3431"/>
    </row>
    <row r="3432" spans="3:4" x14ac:dyDescent="0.25">
      <c r="C3432"/>
      <c r="D3432"/>
    </row>
    <row r="3433" spans="3:4" x14ac:dyDescent="0.25">
      <c r="C3433"/>
      <c r="D3433"/>
    </row>
    <row r="3434" spans="3:4" x14ac:dyDescent="0.25">
      <c r="C3434"/>
      <c r="D3434"/>
    </row>
    <row r="3435" spans="3:4" x14ac:dyDescent="0.25">
      <c r="C3435"/>
      <c r="D3435"/>
    </row>
    <row r="3436" spans="3:4" x14ac:dyDescent="0.25">
      <c r="C3436"/>
      <c r="D3436"/>
    </row>
    <row r="3437" spans="3:4" x14ac:dyDescent="0.25">
      <c r="C3437"/>
      <c r="D3437"/>
    </row>
    <row r="3438" spans="3:4" x14ac:dyDescent="0.25">
      <c r="C3438"/>
      <c r="D3438"/>
    </row>
    <row r="3439" spans="3:4" x14ac:dyDescent="0.25">
      <c r="C3439"/>
      <c r="D3439"/>
    </row>
    <row r="3440" spans="3:4" x14ac:dyDescent="0.25">
      <c r="C3440"/>
      <c r="D3440"/>
    </row>
    <row r="3441" spans="3:4" x14ac:dyDescent="0.25">
      <c r="C3441"/>
      <c r="D3441"/>
    </row>
    <row r="3442" spans="3:4" x14ac:dyDescent="0.25">
      <c r="C3442"/>
      <c r="D3442"/>
    </row>
    <row r="3443" spans="3:4" x14ac:dyDescent="0.25">
      <c r="C3443"/>
      <c r="D3443"/>
    </row>
    <row r="3444" spans="3:4" x14ac:dyDescent="0.25">
      <c r="C3444"/>
      <c r="D3444"/>
    </row>
    <row r="3445" spans="3:4" x14ac:dyDescent="0.25">
      <c r="C3445"/>
      <c r="D3445"/>
    </row>
    <row r="3446" spans="3:4" x14ac:dyDescent="0.25">
      <c r="C3446"/>
      <c r="D3446"/>
    </row>
    <row r="3447" spans="3:4" x14ac:dyDescent="0.25">
      <c r="C3447"/>
      <c r="D3447"/>
    </row>
    <row r="3448" spans="3:4" x14ac:dyDescent="0.25">
      <c r="C3448"/>
      <c r="D3448"/>
    </row>
    <row r="3449" spans="3:4" x14ac:dyDescent="0.25">
      <c r="C3449"/>
      <c r="D3449"/>
    </row>
    <row r="3450" spans="3:4" x14ac:dyDescent="0.25">
      <c r="C3450"/>
      <c r="D3450"/>
    </row>
    <row r="3451" spans="3:4" x14ac:dyDescent="0.25">
      <c r="C3451"/>
      <c r="D3451"/>
    </row>
    <row r="3452" spans="3:4" x14ac:dyDescent="0.25">
      <c r="C3452"/>
      <c r="D3452"/>
    </row>
    <row r="3453" spans="3:4" x14ac:dyDescent="0.25">
      <c r="C3453"/>
      <c r="D3453"/>
    </row>
    <row r="3454" spans="3:4" x14ac:dyDescent="0.25">
      <c r="C3454"/>
      <c r="D3454"/>
    </row>
    <row r="3455" spans="3:4" x14ac:dyDescent="0.25">
      <c r="C3455"/>
      <c r="D3455"/>
    </row>
    <row r="3456" spans="3:4" x14ac:dyDescent="0.25">
      <c r="C3456"/>
      <c r="D3456"/>
    </row>
    <row r="3457" spans="3:4" x14ac:dyDescent="0.25">
      <c r="C3457"/>
      <c r="D3457"/>
    </row>
    <row r="3458" spans="3:4" x14ac:dyDescent="0.25">
      <c r="C3458"/>
      <c r="D3458"/>
    </row>
    <row r="3459" spans="3:4" x14ac:dyDescent="0.25">
      <c r="C3459"/>
      <c r="D3459"/>
    </row>
    <row r="3460" spans="3:4" x14ac:dyDescent="0.25">
      <c r="C3460"/>
      <c r="D3460"/>
    </row>
    <row r="3461" spans="3:4" x14ac:dyDescent="0.25">
      <c r="C3461"/>
      <c r="D3461"/>
    </row>
    <row r="3462" spans="3:4" x14ac:dyDescent="0.25">
      <c r="C3462"/>
      <c r="D3462"/>
    </row>
    <row r="3463" spans="3:4" x14ac:dyDescent="0.25">
      <c r="C3463"/>
      <c r="D3463"/>
    </row>
    <row r="3464" spans="3:4" x14ac:dyDescent="0.25">
      <c r="C3464"/>
      <c r="D3464"/>
    </row>
    <row r="3465" spans="3:4" x14ac:dyDescent="0.25">
      <c r="C3465"/>
      <c r="D3465"/>
    </row>
    <row r="3466" spans="3:4" x14ac:dyDescent="0.25">
      <c r="C3466"/>
      <c r="D3466"/>
    </row>
    <row r="3467" spans="3:4" x14ac:dyDescent="0.25">
      <c r="C3467"/>
      <c r="D3467"/>
    </row>
    <row r="3468" spans="3:4" x14ac:dyDescent="0.25">
      <c r="C3468"/>
      <c r="D3468"/>
    </row>
    <row r="3469" spans="3:4" x14ac:dyDescent="0.25">
      <c r="C3469"/>
      <c r="D3469"/>
    </row>
    <row r="3470" spans="3:4" x14ac:dyDescent="0.25">
      <c r="C3470"/>
      <c r="D3470"/>
    </row>
    <row r="3471" spans="3:4" x14ac:dyDescent="0.25">
      <c r="C3471"/>
      <c r="D3471"/>
    </row>
    <row r="3472" spans="3:4" x14ac:dyDescent="0.25">
      <c r="C3472"/>
      <c r="D3472"/>
    </row>
    <row r="3473" spans="3:4" x14ac:dyDescent="0.25">
      <c r="C3473"/>
      <c r="D3473"/>
    </row>
    <row r="3474" spans="3:4" x14ac:dyDescent="0.25">
      <c r="C3474"/>
      <c r="D3474"/>
    </row>
    <row r="3475" spans="3:4" x14ac:dyDescent="0.25">
      <c r="C3475"/>
      <c r="D3475"/>
    </row>
    <row r="3476" spans="3:4" x14ac:dyDescent="0.25">
      <c r="C3476"/>
      <c r="D3476"/>
    </row>
    <row r="3477" spans="3:4" x14ac:dyDescent="0.25">
      <c r="C3477"/>
      <c r="D3477"/>
    </row>
    <row r="3478" spans="3:4" x14ac:dyDescent="0.25">
      <c r="C3478"/>
      <c r="D3478"/>
    </row>
    <row r="3479" spans="3:4" x14ac:dyDescent="0.25">
      <c r="C3479"/>
      <c r="D3479"/>
    </row>
    <row r="3480" spans="3:4" x14ac:dyDescent="0.25">
      <c r="C3480"/>
      <c r="D3480"/>
    </row>
    <row r="3481" spans="3:4" x14ac:dyDescent="0.25">
      <c r="C3481"/>
      <c r="D3481"/>
    </row>
    <row r="3482" spans="3:4" x14ac:dyDescent="0.25">
      <c r="C3482"/>
      <c r="D3482"/>
    </row>
    <row r="3483" spans="3:4" x14ac:dyDescent="0.25">
      <c r="C3483"/>
      <c r="D3483"/>
    </row>
    <row r="3484" spans="3:4" x14ac:dyDescent="0.25">
      <c r="C3484"/>
      <c r="D3484"/>
    </row>
    <row r="3485" spans="3:4" x14ac:dyDescent="0.25">
      <c r="C3485"/>
      <c r="D3485"/>
    </row>
    <row r="3486" spans="3:4" x14ac:dyDescent="0.25">
      <c r="C3486"/>
      <c r="D3486"/>
    </row>
    <row r="3487" spans="3:4" x14ac:dyDescent="0.25">
      <c r="C3487"/>
      <c r="D3487"/>
    </row>
    <row r="3488" spans="3:4" x14ac:dyDescent="0.25">
      <c r="C3488"/>
      <c r="D3488"/>
    </row>
    <row r="3489" spans="3:4" x14ac:dyDescent="0.25">
      <c r="C3489"/>
      <c r="D3489"/>
    </row>
    <row r="3490" spans="3:4" x14ac:dyDescent="0.25">
      <c r="C3490"/>
      <c r="D3490"/>
    </row>
    <row r="3491" spans="3:4" x14ac:dyDescent="0.25">
      <c r="C3491"/>
      <c r="D3491"/>
    </row>
    <row r="3492" spans="3:4" x14ac:dyDescent="0.25">
      <c r="C3492"/>
      <c r="D3492"/>
    </row>
    <row r="3493" spans="3:4" x14ac:dyDescent="0.25">
      <c r="C3493"/>
      <c r="D3493"/>
    </row>
    <row r="3494" spans="3:4" x14ac:dyDescent="0.25">
      <c r="C3494"/>
      <c r="D3494"/>
    </row>
    <row r="3495" spans="3:4" x14ac:dyDescent="0.25">
      <c r="C3495"/>
      <c r="D3495"/>
    </row>
    <row r="3496" spans="3:4" x14ac:dyDescent="0.25">
      <c r="C3496"/>
      <c r="D3496"/>
    </row>
    <row r="3497" spans="3:4" x14ac:dyDescent="0.25">
      <c r="C3497"/>
      <c r="D3497"/>
    </row>
    <row r="3498" spans="3:4" x14ac:dyDescent="0.25">
      <c r="C3498"/>
      <c r="D3498"/>
    </row>
    <row r="3499" spans="3:4" x14ac:dyDescent="0.25">
      <c r="C3499"/>
      <c r="D3499"/>
    </row>
    <row r="3500" spans="3:4" x14ac:dyDescent="0.25">
      <c r="C3500"/>
      <c r="D3500"/>
    </row>
  </sheetData>
  <customSheetViews>
    <customSheetView guid="{1762FAF3-23CF-40D2-BD75-20B953FDC76D}" scale="85" state="hidden">
      <selection activeCell="A382" sqref="A382"/>
      <pageMargins left="0.7" right="0.7" top="0.75" bottom="0.75" header="0.3" footer="0.3"/>
      <pageSetup paperSize="9" orientation="portrait" r:id="rId1"/>
    </customSheetView>
  </customSheetViews>
  <mergeCells count="1">
    <mergeCell ref="E3:F4"/>
  </mergeCells>
  <pageMargins left="0.7" right="0.7" top="0.75" bottom="0.75" header="0.3" footer="0.3"/>
  <pageSetup paperSize="9"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WSP Extranet - Document" ma:contentTypeID="0x0101004795B54EDCD24B81828CE859463BC7320073F0983904176D4BA24226AC4DBE129C" ma:contentTypeVersion="0" ma:contentTypeDescription="WSP Extranet document Content Type" ma:contentTypeScope="" ma:versionID="dd2ac8446fb8660d0ae83ed92c3b3d1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FF71EB3-B306-4401-9894-00DBB653B3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23E66C4-66C0-478C-B788-4A03733B3189}">
  <ds:schemaRefs>
    <ds:schemaRef ds:uri="http://schemas.microsoft.com/sharepoint/v3/contenttype/forms"/>
  </ds:schemaRefs>
</ds:datastoreItem>
</file>

<file path=customXml/itemProps3.xml><?xml version="1.0" encoding="utf-8"?>
<ds:datastoreItem xmlns:ds="http://schemas.openxmlformats.org/officeDocument/2006/customXml" ds:itemID="{F29E811D-AA6D-479C-9F16-70299E077481}">
  <ds:schemaRefs>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_control</vt:lpstr>
      <vt:lpstr>Consolidado</vt:lpstr>
      <vt:lpstr>Hoja1</vt:lpstr>
      <vt:lpstr>Reporte WO</vt:lpstr>
      <vt:lpstr>Consolidado!Área_de_impresión</vt:lpstr>
      <vt:lpstr>Consolidado!Títulos_a_imprimir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David Julián Erazo Bolaños</dc:creator>
  <cp:lastModifiedBy>Jhonatan Espinosa</cp:lastModifiedBy>
  <cp:lastPrinted>2016-06-15T19:58:03Z</cp:lastPrinted>
  <dcterms:created xsi:type="dcterms:W3CDTF">2016-02-25T19:25:49Z</dcterms:created>
  <dcterms:modified xsi:type="dcterms:W3CDTF">2016-07-07T23:17:08Z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0x0101004795B54EDCD24B81828CE859463BC7320073F0983904176D4BA24226AC4DBE129C</vt:lpwstr>
  </property>
</Properties>
</file>